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Journal" sheetId="1" r:id="rId5"/>
    <sheet state="visible" name="Sheet1" sheetId="2" r:id="rId6"/>
    <sheet state="visible" name="Strategy_Test" sheetId="3" r:id="rId7"/>
    <sheet state="visible" name="Notes" sheetId="4" r:id="rId8"/>
  </sheets>
  <definedNames>
    <definedName hidden="1" localSheetId="0" name="_xlnm._FilterDatabase">'ROI Journal'!$A$1:$N$561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tc={1d2350c2-42b8-402c-b747-cb0269334eb0}</author>
    <author>tc={39b62b2d-d09d-4942-a088-4fb7a30ab595}</author>
    <author>tc={4d41d447-acf1-43d6-b588-bbbaa289ca07}</author>
    <author>tc={4e4e833f-f893-4f60-b6ab-cb59487ec410}</author>
    <author>tc={922651f6-848e-441e-a1f2-a9106fbfe2e0}</author>
    <author>tc={95c9771b-d963-41af-9cec-f708910e40eb}</author>
    <author>tc={ea815f29-8e91-4463-9eb4-43725cfdcc67}</author>
    <author>tc={f831f479-ed89-47fb-a792-1dbc56bfa761}</author>
  </authors>
  <commentList>
    <comment authorId="0" xr:uid="{1d2350c2-42b8-402c-b747-cb0269334eb0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Good RR and entry
</t>
      </text>
    </comment>
    <comment authorId="1" xr:uid="{39b62b2d-d09d-4942-a088-4fb7a30ab595}" ref="A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2
</t>
      </text>
    </comment>
    <comment authorId="2" xr:uid="{4d41d447-acf1-43d6-b588-bbbaa289ca07}" ref="A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Observe Pull back
</t>
      </text>
    </comment>
    <comment authorId="3" xr:uid="{4e4e833f-f893-4f60-b6ab-cb59487ec410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2.26
Reply:
	@shijujohn.bard@gmail.com
</t>
      </text>
    </comment>
    <comment authorId="4" xr:uid="{922651f6-848e-441e-a1f2-a9106fbfe2e0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time high! Be watchful
</t>
      </text>
    </comment>
    <comment authorId="5" xr:uid="{95c9771b-d963-41af-9cec-f708910e40eb}" ref="A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0.5
</t>
      </text>
    </comment>
    <comment authorId="6" xr:uid="{ea815f29-8e91-4463-9eb4-43725cfdcc67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 and Watch
</t>
      </text>
    </comment>
    <comment authorId="7" xr:uid="{f831f479-ed89-47fb-a792-1dbc56bfa761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on Pullback
Observe
</t>
      </text>
    </comment>
  </commentList>
</comments>
</file>

<file path=xl/sharedStrings.xml><?xml version="1.0" encoding="utf-8"?>
<sst xmlns="http://schemas.openxmlformats.org/spreadsheetml/2006/main" count="6207" uniqueCount="565">
  <si>
    <t>https://www.youtube.com/watch?v=Eqf95xfXPd4</t>
  </si>
  <si>
    <t>Stocks</t>
  </si>
  <si>
    <t>Signal_Date</t>
  </si>
  <si>
    <t>Date_Identified</t>
  </si>
  <si>
    <t>ADX_Drop_Date</t>
  </si>
  <si>
    <t>Day</t>
  </si>
  <si>
    <t>DI+_Cross_DI-_Date</t>
  </si>
  <si>
    <t>Stock_Symbol</t>
  </si>
  <si>
    <t>Strategy</t>
  </si>
  <si>
    <t>Price on Signal Date</t>
  </si>
  <si>
    <t>CMP</t>
  </si>
  <si>
    <t>ADX_Crossover_Date</t>
  </si>
  <si>
    <t>Gain_or_Loss</t>
  </si>
  <si>
    <t>Market_Cap</t>
  </si>
  <si>
    <t>ADX_Zero_Cross_Date</t>
  </si>
  <si>
    <t>performance_bucket</t>
  </si>
  <si>
    <t>Holding Days</t>
  </si>
  <si>
    <t>Price_Asof</t>
  </si>
  <si>
    <t>Investment_Amount</t>
  </si>
  <si>
    <t>Current_Value</t>
  </si>
  <si>
    <t>Price_Latest</t>
  </si>
  <si>
    <t>Profit_loss_Amt</t>
  </si>
  <si>
    <t>Signal_Day</t>
  </si>
  <si>
    <t>ENTRY - ATR</t>
  </si>
  <si>
    <t>Signal_Days</t>
  </si>
  <si>
    <t>Win_Flag</t>
  </si>
  <si>
    <t>TARGET1</t>
  </si>
  <si>
    <t>Technical Analysis Indicator B or S Observation</t>
  </si>
  <si>
    <t>Profit_Loss</t>
  </si>
  <si>
    <t>TARGET2</t>
  </si>
  <si>
    <t>TARGET3</t>
  </si>
  <si>
    <t>Actual_Return</t>
  </si>
  <si>
    <t>STOPLOSS</t>
  </si>
  <si>
    <t>CMP_DI+_X_DI-</t>
  </si>
  <si>
    <t>CMP_ADX_CrossDate</t>
  </si>
  <si>
    <t>MorningStar</t>
  </si>
  <si>
    <t>SSGR</t>
  </si>
  <si>
    <t>CMP Today</t>
  </si>
  <si>
    <t>M%</t>
  </si>
  <si>
    <t>SSGR%</t>
  </si>
  <si>
    <t>Margin_Crossover</t>
  </si>
  <si>
    <t>Promoter %</t>
  </si>
  <si>
    <t>As on Date</t>
  </si>
  <si>
    <t>Public %</t>
  </si>
  <si>
    <t>Max_Profit</t>
  </si>
  <si>
    <t>NSE Status</t>
  </si>
  <si>
    <t>BATLIBOI</t>
  </si>
  <si>
    <t>23/09/2026</t>
  </si>
  <si>
    <t>CMP_Zero_Crossover</t>
  </si>
  <si>
    <t>ADX_TOP_TURN_Date</t>
  </si>
  <si>
    <t>Margin_Zero_Crossover</t>
  </si>
  <si>
    <t>CMP_ADX_TOP_TURN</t>
  </si>
  <si>
    <t>Margin_ADX_TOP_TURN</t>
  </si>
  <si>
    <t>Min Profit</t>
  </si>
  <si>
    <t>Entry Price</t>
  </si>
  <si>
    <t>Exit Price</t>
  </si>
  <si>
    <t>Stop Loss</t>
  </si>
  <si>
    <t>ASTEC</t>
  </si>
  <si>
    <t>Journal</t>
  </si>
  <si>
    <t>AJANTPHARM</t>
  </si>
  <si>
    <t>EPIGRAL</t>
  </si>
  <si>
    <t>GRPLTD</t>
  </si>
  <si>
    <t>BELLACASA</t>
  </si>
  <si>
    <t>INVPRECQ</t>
  </si>
  <si>
    <t>EICHERMOT</t>
  </si>
  <si>
    <t>BAJAJ_AUTO</t>
  </si>
  <si>
    <t>M&amp;MFIN</t>
  </si>
  <si>
    <t>CARBORUNIV</t>
  </si>
  <si>
    <t>INOXINDIA</t>
  </si>
  <si>
    <t>SIKKO</t>
  </si>
  <si>
    <t>ACE</t>
  </si>
  <si>
    <t>DELTACORP</t>
  </si>
  <si>
    <t>ANANDRATHI</t>
  </si>
  <si>
    <t>2015-2050</t>
  </si>
  <si>
    <t>DRREDDY</t>
  </si>
  <si>
    <t>IIFL</t>
  </si>
  <si>
    <t>EDELWEISS</t>
  </si>
  <si>
    <t>113-118</t>
  </si>
  <si>
    <t>TDPOWERSYS</t>
  </si>
  <si>
    <t>1145-1181</t>
  </si>
  <si>
    <t>DSFCL</t>
  </si>
  <si>
    <t>JINDWORLD</t>
  </si>
  <si>
    <t>Total</t>
  </si>
  <si>
    <t>GLOBE</t>
  </si>
  <si>
    <t>SICALLOG</t>
  </si>
  <si>
    <t>JINDALSAW</t>
  </si>
  <si>
    <t>JASH</t>
  </si>
  <si>
    <t>ARVIND</t>
  </si>
  <si>
    <t>KUSUMGAR</t>
  </si>
  <si>
    <t>BHARTIHEXA</t>
  </si>
  <si>
    <t>SHUKRAPHAR</t>
  </si>
  <si>
    <t>MARKSANS</t>
  </si>
  <si>
    <t>SMSPHARMA</t>
  </si>
  <si>
    <t>PCBL</t>
  </si>
  <si>
    <t>SOMANYCERA</t>
  </si>
  <si>
    <t>SHRIPISTON</t>
  </si>
  <si>
    <t>IOLCP</t>
  </si>
  <si>
    <t>VBL</t>
  </si>
  <si>
    <t>ZOTA</t>
  </si>
  <si>
    <t>AURUM</t>
  </si>
  <si>
    <t>FINOPB</t>
  </si>
  <si>
    <t>ADX+IB+EB</t>
  </si>
  <si>
    <t>LTFOODS</t>
  </si>
  <si>
    <t>HAWKINCOOK</t>
  </si>
  <si>
    <t>BHEL</t>
  </si>
  <si>
    <t>HEG</t>
  </si>
  <si>
    <t>ICICIPRULI</t>
  </si>
  <si>
    <t>403-406</t>
  </si>
  <si>
    <t>HUHTAMAKI</t>
  </si>
  <si>
    <t>JLHL</t>
  </si>
  <si>
    <t>PRINCEPIPE</t>
  </si>
  <si>
    <t>146.50–149</t>
  </si>
  <si>
    <t>JUSTDIAL</t>
  </si>
  <si>
    <t>KAJARIACER</t>
  </si>
  <si>
    <t>UNIVASTU</t>
  </si>
  <si>
    <t>INDOBORAX</t>
  </si>
  <si>
    <t>MAJESAUT</t>
  </si>
  <si>
    <t>NETWEB</t>
  </si>
  <si>
    <t>MANGLMCEM</t>
  </si>
  <si>
    <t>UNIONBANK</t>
  </si>
  <si>
    <t>4420–4500.</t>
  </si>
  <si>
    <t>MRPL</t>
  </si>
  <si>
    <t>THAKDEV</t>
  </si>
  <si>
    <t>HINDZINC</t>
  </si>
  <si>
    <t>BELRISE</t>
  </si>
  <si>
    <t>APOLLOTYRE</t>
  </si>
  <si>
    <t>BAJAJHCARE</t>
  </si>
  <si>
    <t>ZFSTEERING</t>
  </si>
  <si>
    <t>SCHNEIDER</t>
  </si>
  <si>
    <t>BLUESTARCO</t>
  </si>
  <si>
    <t>BLUESTONE</t>
  </si>
  <si>
    <t>GRWRHITECH</t>
  </si>
  <si>
    <t>SJS</t>
  </si>
  <si>
    <t>DDEVPLSTIK</t>
  </si>
  <si>
    <t>ELLEN</t>
  </si>
  <si>
    <t>APARINDS</t>
  </si>
  <si>
    <t>RML</t>
  </si>
  <si>
    <t>PUNJABCHEM</t>
  </si>
  <si>
    <t>Exited with Profit.</t>
  </si>
  <si>
    <t>AVALON</t>
  </si>
  <si>
    <t>MALLCOM</t>
  </si>
  <si>
    <t>NAZARA</t>
  </si>
  <si>
    <t>VENKEYS</t>
  </si>
  <si>
    <t>BLIL</t>
  </si>
  <si>
    <t>VIDHIING</t>
  </si>
  <si>
    <t>FMGOETZE</t>
  </si>
  <si>
    <t>AEQUS</t>
  </si>
  <si>
    <t>KAYNES</t>
  </si>
  <si>
    <t>AETHER</t>
  </si>
  <si>
    <t>JIOFIN</t>
  </si>
  <si>
    <t>AKUMS</t>
  </si>
  <si>
    <t>INFY</t>
  </si>
  <si>
    <t>ARKADE</t>
  </si>
  <si>
    <t>GLENMARK</t>
  </si>
  <si>
    <t>BCONCEPTS</t>
  </si>
  <si>
    <t>LUPIN</t>
  </si>
  <si>
    <t>Weekly Buy</t>
  </si>
  <si>
    <t>ALKALI</t>
  </si>
  <si>
    <t>CDSL</t>
  </si>
  <si>
    <t>SAHYADRI</t>
  </si>
  <si>
    <t>ANUHPHR</t>
  </si>
  <si>
    <t>ITDC</t>
  </si>
  <si>
    <t>ARVEE</t>
  </si>
  <si>
    <t>IVALUE</t>
  </si>
  <si>
    <t>NEWGEN</t>
  </si>
  <si>
    <t>BAIDFIN</t>
  </si>
  <si>
    <t>MPHASIS</t>
  </si>
  <si>
    <t>RAJRATAN</t>
  </si>
  <si>
    <t>SOBHA</t>
  </si>
  <si>
    <t>BAJAJCON</t>
  </si>
  <si>
    <t>BRITANNIA</t>
  </si>
  <si>
    <t>AARTECH</t>
  </si>
  <si>
    <t>DALMIASUG</t>
  </si>
  <si>
    <t>CROWN</t>
  </si>
  <si>
    <t>NH</t>
  </si>
  <si>
    <t>IXIGO</t>
  </si>
  <si>
    <t>MANBA</t>
  </si>
  <si>
    <t>ELANTAS</t>
  </si>
  <si>
    <t>EXCELINDUS</t>
  </si>
  <si>
    <t>MINDACORP</t>
  </si>
  <si>
    <t>PHOENIXLTD</t>
  </si>
  <si>
    <t>FINCABLES</t>
  </si>
  <si>
    <t>BLUEDART</t>
  </si>
  <si>
    <t>TAALTECH</t>
  </si>
  <si>
    <t>TBOTEK</t>
  </si>
  <si>
    <t>GENESYS</t>
  </si>
  <si>
    <t>DEEPINDS</t>
  </si>
  <si>
    <t>ABDL</t>
  </si>
  <si>
    <t>AVG</t>
  </si>
  <si>
    <t>GOPAL</t>
  </si>
  <si>
    <t>GOACARBON</t>
  </si>
  <si>
    <t>IPCALAB</t>
  </si>
  <si>
    <t>JTEKTINDIA</t>
  </si>
  <si>
    <t>GRAPHITE</t>
  </si>
  <si>
    <t>SSWL</t>
  </si>
  <si>
    <t xml:space="preserve">Entered due to DI+ crossed over DI- with above avg volume. The price was between ATR SMA and ATR -1 range. The weekly trend is not down. </t>
  </si>
  <si>
    <t>HARIOMPIPE</t>
  </si>
  <si>
    <t>THEJO</t>
  </si>
  <si>
    <t>CINEVISTA</t>
  </si>
  <si>
    <t>INDOMIM</t>
  </si>
  <si>
    <t>DIFFNKG</t>
  </si>
  <si>
    <t>LOTUSDEV</t>
  </si>
  <si>
    <t>JSL</t>
  </si>
  <si>
    <t>PPL</t>
  </si>
  <si>
    <t>TIRUPATIFL</t>
  </si>
  <si>
    <t>MVELECTRO</t>
  </si>
  <si>
    <t>AKCAPIT</t>
  </si>
  <si>
    <t>PFOCUS</t>
  </si>
  <si>
    <t>GUJALKALI</t>
  </si>
  <si>
    <t>EVERESTIND</t>
  </si>
  <si>
    <t>PODDARMENT</t>
  </si>
  <si>
    <t>LIBERTSHOE</t>
  </si>
  <si>
    <t>NRAIL</t>
  </si>
  <si>
    <t>MAHEPC</t>
  </si>
  <si>
    <t>QUICKHEAL</t>
  </si>
  <si>
    <t>MARKOLINES</t>
  </si>
  <si>
    <t>KAYA</t>
  </si>
  <si>
    <t>MIRZAINT</t>
  </si>
  <si>
    <t>RATNAMANI</t>
  </si>
  <si>
    <t>ONMOBILE</t>
  </si>
  <si>
    <t>OIL</t>
  </si>
  <si>
    <t>REPCOHOME</t>
  </si>
  <si>
    <t>RHETAN</t>
  </si>
  <si>
    <t>UBL</t>
  </si>
  <si>
    <t>RPPL</t>
  </si>
  <si>
    <t>SEIL</t>
  </si>
  <si>
    <t>RIR</t>
  </si>
  <si>
    <t>Entered because ADX showing strength. DI+ crossed over DI- on July 14th
The stop loss was increased to 1432 and it got stopped. I sensed the weakness as volume wasn't rising and price struggling to go up. I increase my stop loss. It didn't make or loss money on this trade</t>
  </si>
  <si>
    <t>TIMETECHNO</t>
  </si>
  <si>
    <t>VLSFINANCE</t>
  </si>
  <si>
    <t>ROSSTECH</t>
  </si>
  <si>
    <t>WPIL</t>
  </si>
  <si>
    <t>AARTIPHARM</t>
  </si>
  <si>
    <t>INDIACEM</t>
  </si>
  <si>
    <t>RUCHIRA</t>
  </si>
  <si>
    <t>DELHIVERY</t>
  </si>
  <si>
    <t>SATIA</t>
  </si>
  <si>
    <t>FERMENTA</t>
  </si>
  <si>
    <t>CNL</t>
  </si>
  <si>
    <t>LAL</t>
  </si>
  <si>
    <t>SOLARA</t>
  </si>
  <si>
    <t>MAFATIND</t>
  </si>
  <si>
    <t>SUPRIYA</t>
  </si>
  <si>
    <t>SANSERA</t>
  </si>
  <si>
    <t>SHAKTIPUMP</t>
  </si>
  <si>
    <t>TARC</t>
  </si>
  <si>
    <t>TATACOMM</t>
  </si>
  <si>
    <t>SKMEGGPROD</t>
  </si>
  <si>
    <t>TECHNOCRAF</t>
  </si>
  <si>
    <t>DIXON</t>
  </si>
  <si>
    <t>UNIMECH</t>
  </si>
  <si>
    <t>FEDDERSHOL</t>
  </si>
  <si>
    <t>Transformer Model</t>
  </si>
  <si>
    <t>GKENERGY</t>
  </si>
  <si>
    <t>SIYSIL</t>
  </si>
  <si>
    <t>HATHWAY</t>
  </si>
  <si>
    <t>RAYMONDLSL</t>
  </si>
  <si>
    <t>INDIAMART</t>
  </si>
  <si>
    <t>HEROMOTOCO</t>
  </si>
  <si>
    <t>TITAGARH</t>
  </si>
  <si>
    <t>ENDURANCE</t>
  </si>
  <si>
    <t>ZFCVINDIA</t>
  </si>
  <si>
    <t>M&amp;M</t>
  </si>
  <si>
    <t>AIIL</t>
  </si>
  <si>
    <t>BHAGERIA</t>
  </si>
  <si>
    <t>DEVYANI</t>
  </si>
  <si>
    <t>IDBI</t>
  </si>
  <si>
    <t>IOB</t>
  </si>
  <si>
    <t>BEML</t>
  </si>
  <si>
    <t>MAITHANALL</t>
  </si>
  <si>
    <t>PATELENG</t>
  </si>
  <si>
    <t>SAPPHIRE</t>
  </si>
  <si>
    <t>TBZ</t>
  </si>
  <si>
    <t>REDINGTON</t>
  </si>
  <si>
    <t>WABAG</t>
  </si>
  <si>
    <t>RKFORGE</t>
  </si>
  <si>
    <t>APTECHT</t>
  </si>
  <si>
    <t>CYIENT</t>
  </si>
  <si>
    <t>MOTOUR</t>
  </si>
  <si>
    <t>JYOTICNC</t>
  </si>
  <si>
    <t>ASHOKA</t>
  </si>
  <si>
    <t>TMCV</t>
  </si>
  <si>
    <t>DECNGOLD</t>
  </si>
  <si>
    <t>AXISBANK</t>
  </si>
  <si>
    <t>CONCORDBIO</t>
  </si>
  <si>
    <t>VINCOFE</t>
  </si>
  <si>
    <t>JMA</t>
  </si>
  <si>
    <t>ZENTEC</t>
  </si>
  <si>
    <t>TCIFINANCE</t>
  </si>
  <si>
    <t>ARROWGREEN</t>
  </si>
  <si>
    <t>SHIVAUM</t>
  </si>
  <si>
    <t>ACSTECH</t>
  </si>
  <si>
    <t>TEJASNET</t>
  </si>
  <si>
    <t>RAMCOSYS</t>
  </si>
  <si>
    <t>IZMO</t>
  </si>
  <si>
    <t>INTELLECT</t>
  </si>
  <si>
    <t>SIS</t>
  </si>
  <si>
    <t>MSTCLTD</t>
  </si>
  <si>
    <t>GLAND</t>
  </si>
  <si>
    <t>BALAMINES</t>
  </si>
  <si>
    <t>PANACEABIO</t>
  </si>
  <si>
    <t>GABRIEL</t>
  </si>
  <si>
    <t>THANGAMAYL</t>
  </si>
  <si>
    <t>HCC</t>
  </si>
  <si>
    <t>MEESHO</t>
  </si>
  <si>
    <t>ACMESOLAR</t>
  </si>
  <si>
    <t>ICIL</t>
  </si>
  <si>
    <t>SUDEEPPHRM</t>
  </si>
  <si>
    <t>TEGA</t>
  </si>
  <si>
    <t>SAIPARENT</t>
  </si>
  <si>
    <t>ELGIEQUIP</t>
  </si>
  <si>
    <t>EXIDEIND</t>
  </si>
  <si>
    <t>RRKABEL</t>
  </si>
  <si>
    <t>ADANIENT</t>
  </si>
  <si>
    <t>ELECON</t>
  </si>
  <si>
    <t>SKIPPER</t>
  </si>
  <si>
    <t>JSWENERGY</t>
  </si>
  <si>
    <t>PWL</t>
  </si>
  <si>
    <t>GOCLCORP</t>
  </si>
  <si>
    <t>KOPRAN</t>
  </si>
  <si>
    <t>BIRLAPREC</t>
  </si>
  <si>
    <t>SAREGAMA</t>
  </si>
  <si>
    <t>TOTAL</t>
  </si>
  <si>
    <t>PAGEIND</t>
  </si>
  <si>
    <t>AEGISVOPAK</t>
  </si>
  <si>
    <t>UNIDT</t>
  </si>
  <si>
    <t>PURVA</t>
  </si>
  <si>
    <t>CEMPRO</t>
  </si>
  <si>
    <t>RUBFILA</t>
  </si>
  <si>
    <t>HEXT</t>
  </si>
  <si>
    <t>KIRLOSIND</t>
  </si>
  <si>
    <t>POLICYBZR</t>
  </si>
  <si>
    <t>ZENSARTECH</t>
  </si>
  <si>
    <t>SUVEN</t>
  </si>
  <si>
    <t>PRESTIGE</t>
  </si>
  <si>
    <t>DI+Minervini</t>
  </si>
  <si>
    <t>ONELIFECAP</t>
  </si>
  <si>
    <t>GARFIBRES</t>
  </si>
  <si>
    <t>WELSPUNLIV</t>
  </si>
  <si>
    <t>TRITURBINE</t>
  </si>
  <si>
    <t>KPIL</t>
  </si>
  <si>
    <t>ZYDUSLIFE</t>
  </si>
  <si>
    <t>JAYAGROGN</t>
  </si>
  <si>
    <t>Knoxville+Envelope</t>
  </si>
  <si>
    <t>SOMATEX</t>
  </si>
  <si>
    <t>MODINATUR</t>
  </si>
  <si>
    <t>EUROBOND</t>
  </si>
  <si>
    <t>ADX Crossover</t>
  </si>
  <si>
    <t>SWARAJENG</t>
  </si>
  <si>
    <t>SPECTRUM</t>
  </si>
  <si>
    <t>SHARDACROP</t>
  </si>
  <si>
    <t>DOMS</t>
  </si>
  <si>
    <t>SMARTLINK</t>
  </si>
  <si>
    <t>MEGASTAR</t>
  </si>
  <si>
    <t>SASKEN</t>
  </si>
  <si>
    <t>NIVABUPA</t>
  </si>
  <si>
    <t>KSOLVES</t>
  </si>
  <si>
    <t>VTL</t>
  </si>
  <si>
    <t>LATTEYS</t>
  </si>
  <si>
    <t>JAINREC</t>
  </si>
  <si>
    <t>ACI</t>
  </si>
  <si>
    <t>AEROFLEX</t>
  </si>
  <si>
    <t>GAEL</t>
  </si>
  <si>
    <t>IGL</t>
  </si>
  <si>
    <t>APCOTEXIND</t>
  </si>
  <si>
    <t>MOSCHIP</t>
  </si>
  <si>
    <t>POLYCAB</t>
  </si>
  <si>
    <t>MANKIND</t>
  </si>
  <si>
    <t>BHARATWIRE</t>
  </si>
  <si>
    <t>SALZERELEC</t>
  </si>
  <si>
    <t>JMFINANCIL</t>
  </si>
  <si>
    <t>TINNARUBR</t>
  </si>
  <si>
    <t>AVANTEL</t>
  </si>
  <si>
    <t>SUMICHEM</t>
  </si>
  <si>
    <t>PLAZACABLE</t>
  </si>
  <si>
    <t>REMSONSIND</t>
  </si>
  <si>
    <t>ELECTCAST</t>
  </si>
  <si>
    <t>AUTOIND</t>
  </si>
  <si>
    <t>NITTAGELA</t>
  </si>
  <si>
    <t>SHRIRAMPPS</t>
  </si>
  <si>
    <t>TATATECH</t>
  </si>
  <si>
    <t>MEDICAMEQ</t>
  </si>
  <si>
    <t>IGPL</t>
  </si>
  <si>
    <t>SUNFLAG</t>
  </si>
  <si>
    <t>SUNCLAY</t>
  </si>
  <si>
    <t>EQUITASBNK</t>
  </si>
  <si>
    <t>LALPATHLAB</t>
  </si>
  <si>
    <t>ASTERDM</t>
  </si>
  <si>
    <t>UNIVCABLES</t>
  </si>
  <si>
    <t>MANORG</t>
  </si>
  <si>
    <t>INNOVACAP</t>
  </si>
  <si>
    <t>PRIMO</t>
  </si>
  <si>
    <t>UNIPARTS</t>
  </si>
  <si>
    <t>PSPPROJECT</t>
  </si>
  <si>
    <t>PTC</t>
  </si>
  <si>
    <t>DI+Minervini+FVG</t>
  </si>
  <si>
    <t>TORNTPHARM</t>
  </si>
  <si>
    <t>DIVISLAB</t>
  </si>
  <si>
    <t>KIRLOSENG</t>
  </si>
  <si>
    <t>INDIAGLYCO</t>
  </si>
  <si>
    <t>SURYODAY</t>
  </si>
  <si>
    <t>SOLARINDS</t>
  </si>
  <si>
    <t>NITINSPIN</t>
  </si>
  <si>
    <t>JAYNECOIND</t>
  </si>
  <si>
    <t>PPLPHARMA</t>
  </si>
  <si>
    <t>ADVENZYMES</t>
  </si>
  <si>
    <t>TITAN</t>
  </si>
  <si>
    <t>AGIIL</t>
  </si>
  <si>
    <t>RPGLIFE</t>
  </si>
  <si>
    <t>JTLIND</t>
  </si>
  <si>
    <t>KINGFA</t>
  </si>
  <si>
    <t>MITCON</t>
  </si>
  <si>
    <t>STEELXIND</t>
  </si>
  <si>
    <t>AMBIKCO</t>
  </si>
  <si>
    <t>INTERARCH</t>
  </si>
  <si>
    <t>NOVARTIND</t>
  </si>
  <si>
    <t>KERNEX</t>
  </si>
  <si>
    <t>ROLEXRINGS</t>
  </si>
  <si>
    <t>LCCINFOTEC</t>
  </si>
  <si>
    <t>TRIVENI</t>
  </si>
  <si>
    <t>SHAILY</t>
  </si>
  <si>
    <t>RISHABH</t>
  </si>
  <si>
    <t>FIBERWEB</t>
  </si>
  <si>
    <t>AHLEAST</t>
  </si>
  <si>
    <t>RNBDENIMS</t>
  </si>
  <si>
    <t>BHAGCHEM</t>
  </si>
  <si>
    <t>CURAA</t>
  </si>
  <si>
    <t>AUROPHARMA</t>
  </si>
  <si>
    <t>TIRUMALCHM</t>
  </si>
  <si>
    <t>CHENNPETRO</t>
  </si>
  <si>
    <t>AARTIIND</t>
  </si>
  <si>
    <t>DCBBANK</t>
  </si>
  <si>
    <t>JSWINFRA</t>
  </si>
  <si>
    <t>AZAD</t>
  </si>
  <si>
    <t>JINDALSTEL</t>
  </si>
  <si>
    <t>%Win</t>
  </si>
  <si>
    <t>HAPPYFORGE</t>
  </si>
  <si>
    <t>Net ROI</t>
  </si>
  <si>
    <t>TMB</t>
  </si>
  <si>
    <t>NESTLEIND</t>
  </si>
  <si>
    <t>Max Possible Net ROI</t>
  </si>
  <si>
    <t>SOUTHBANK</t>
  </si>
  <si>
    <t>GOKULAGRO</t>
  </si>
  <si>
    <t>HINDCOPPER</t>
  </si>
  <si>
    <t>CHEVIOT</t>
  </si>
  <si>
    <t>MHRIL</t>
  </si>
  <si>
    <t>AEROENTER</t>
  </si>
  <si>
    <t>TREJHARA</t>
  </si>
  <si>
    <t>EUREKAFORB</t>
  </si>
  <si>
    <t>Very low volume, no market interest</t>
  </si>
  <si>
    <t>NEOGEN</t>
  </si>
  <si>
    <t>More than 40%</t>
  </si>
  <si>
    <t>Wednesday</t>
  </si>
  <si>
    <t>TERASOFT</t>
  </si>
  <si>
    <t>&gt;10% to 20%</t>
  </si>
  <si>
    <t>HPL</t>
  </si>
  <si>
    <t>DEEPAKFERT</t>
  </si>
  <si>
    <t>USHAMART</t>
  </si>
  <si>
    <t>OLECTRA</t>
  </si>
  <si>
    <t>SRM</t>
  </si>
  <si>
    <t>COUNTA of Stock_Symbol</t>
  </si>
  <si>
    <t>SUM of Investment_Amount</t>
  </si>
  <si>
    <t>SUM of Profit_loss_Amt</t>
  </si>
  <si>
    <t>Group ROI</t>
  </si>
  <si>
    <t>Base Chance</t>
  </si>
  <si>
    <t>FACT</t>
  </si>
  <si>
    <t>SWANCORP</t>
  </si>
  <si>
    <t>Loss</t>
  </si>
  <si>
    <t>MASFIN</t>
  </si>
  <si>
    <t>MIDHANI</t>
  </si>
  <si>
    <t/>
  </si>
  <si>
    <t>TORNTPOWER</t>
  </si>
  <si>
    <t>HUDCO</t>
  </si>
  <si>
    <t>GRANULES</t>
  </si>
  <si>
    <t>ATLANTAELE</t>
  </si>
  <si>
    <t>&gt;20% to 30%</t>
  </si>
  <si>
    <t>ENTERO</t>
  </si>
  <si>
    <t>POWERICA</t>
  </si>
  <si>
    <t>Grand Total</t>
  </si>
  <si>
    <t>20MICRONS</t>
  </si>
  <si>
    <t>ARCHIDPLY</t>
  </si>
  <si>
    <t>DCMNVL</t>
  </si>
  <si>
    <t>GIPCL</t>
  </si>
  <si>
    <t>GSPCROP</t>
  </si>
  <si>
    <t>KCP</t>
  </si>
  <si>
    <t>NIRAJISPAT</t>
  </si>
  <si>
    <t>NSLNISP</t>
  </si>
  <si>
    <t>OMAXE</t>
  </si>
  <si>
    <t>PRECWIRE</t>
  </si>
  <si>
    <t>XTRANET</t>
  </si>
  <si>
    <t>RMC</t>
  </si>
  <si>
    <t>BHARATRAS</t>
  </si>
  <si>
    <t>JAMNAAUTO</t>
  </si>
  <si>
    <t>PARAGMILK</t>
  </si>
  <si>
    <t>LINDEINDIA</t>
  </si>
  <si>
    <t>IRCON</t>
  </si>
  <si>
    <t>LAXMIDENTL</t>
  </si>
  <si>
    <t>GRINFRA</t>
  </si>
  <si>
    <t>INSECTICID</t>
  </si>
  <si>
    <t>VIPIND</t>
  </si>
  <si>
    <t>BANCOINDIA</t>
  </si>
  <si>
    <t>ACC</t>
  </si>
  <si>
    <t>AGRITECH</t>
  </si>
  <si>
    <t>SBIN</t>
  </si>
  <si>
    <t>TRAVELFOOD</t>
  </si>
  <si>
    <t>SHRIRAMFIN</t>
  </si>
  <si>
    <t>LEMONTREE</t>
  </si>
  <si>
    <t>APOLLO</t>
  </si>
  <si>
    <t>CREST</t>
  </si>
  <si>
    <t>MARATHON</t>
  </si>
  <si>
    <t>THEINVEST</t>
  </si>
  <si>
    <t>BNAGROCHEM</t>
  </si>
  <si>
    <t>LGEINDIA</t>
  </si>
  <si>
    <t>RELCHEMQ</t>
  </si>
  <si>
    <t>NAVA</t>
  </si>
  <si>
    <t>MODISONLTD</t>
  </si>
  <si>
    <t>FORTIS</t>
  </si>
  <si>
    <t>RELIABLE</t>
  </si>
  <si>
    <t>KIOCL</t>
  </si>
  <si>
    <t>SIRCA</t>
  </si>
  <si>
    <t>THOMASCOOK</t>
  </si>
  <si>
    <t>ADVAIT</t>
  </si>
  <si>
    <t>MUFIN</t>
  </si>
  <si>
    <t>PARKHOSPS</t>
  </si>
  <si>
    <t>FORCEMOT</t>
  </si>
  <si>
    <t>JSLL</t>
  </si>
  <si>
    <t>SUBROS</t>
  </si>
  <si>
    <t>CLEANMAX</t>
  </si>
  <si>
    <t>SRHHYPOLTD</t>
  </si>
  <si>
    <t>ULTRACEMCO</t>
  </si>
  <si>
    <t>SBCL</t>
  </si>
  <si>
    <t>ITI</t>
  </si>
  <si>
    <t>IREDA</t>
  </si>
  <si>
    <t>TRANSRAILL</t>
  </si>
  <si>
    <t>HERANBA</t>
  </si>
  <si>
    <t>ZIMLAB</t>
  </si>
  <si>
    <t>HECPROJECT</t>
  </si>
  <si>
    <t>GICHSGFIN</t>
  </si>
  <si>
    <t>KSHINTL</t>
  </si>
  <si>
    <t>PIGL</t>
  </si>
  <si>
    <t>SURAKSHA</t>
  </si>
  <si>
    <t>CANARYS</t>
  </si>
  <si>
    <t>CMNL</t>
  </si>
  <si>
    <t>CURIS</t>
  </si>
  <si>
    <t>DKEGL</t>
  </si>
  <si>
    <t>EFCIL</t>
  </si>
  <si>
    <t>GIRIRAJ</t>
  </si>
  <si>
    <t>GREENCHEF</t>
  </si>
  <si>
    <t>MUTHOOTFIN</t>
  </si>
  <si>
    <t>ATULAUTO</t>
  </si>
  <si>
    <t>HALDER</t>
  </si>
  <si>
    <t>VINDHYATEL</t>
  </si>
  <si>
    <t>PETRONET</t>
  </si>
  <si>
    <t>SUPRAJIT</t>
  </si>
  <si>
    <t>KARURVYSYA</t>
  </si>
  <si>
    <t>APOLLOHOSP</t>
  </si>
  <si>
    <t>NYKAA</t>
  </si>
  <si>
    <t>ANTHEM</t>
  </si>
  <si>
    <t>IDEA</t>
  </si>
  <si>
    <t>IITL</t>
  </si>
  <si>
    <t>INDGN</t>
  </si>
  <si>
    <t>INFINIUM</t>
  </si>
  <si>
    <t>MANIPALHOS</t>
  </si>
  <si>
    <t>TATACAP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</si>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</sst>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dd/MM/yyyy"/>
    <numFmt numFmtId="166" formatCode="[$₹]#,##0"/>
    <numFmt numFmtId="167" formatCode="dd/mm/yyyy"/>
    <numFmt numFmtId="168" formatCode="[$₹]#,##0.00"/>
  </numFmts>
  <fonts count="35">
    <font>
      <sz val="10.0"/>
      <color rgb="FF000000"/>
      <name val="Arial"/>
      <scheme val="minor"/>
    </font>
    <font>
      <b/>
      <sz val="13.0"/>
      <color rgb="FFFFFFFF"/>
      <name val="Georgia"/>
    </font>
    <font>
      <sz val="12.0"/>
      <color theme="1"/>
      <name val="Cambria"/>
    </font>
    <font>
      <b/>
      <sz val="12.0"/>
      <color rgb="FFFFFFFF"/>
      <name val="Courier New"/>
    </font>
    <font>
      <sz val="11.0"/>
      <color rgb="FFFFFFFF"/>
      <name val="Georgia"/>
    </font>
    <font>
      <u/>
      <color rgb="FF0000FF"/>
    </font>
    <font>
      <sz val="11.0"/>
      <color theme="1"/>
      <name val="Georgia"/>
    </font>
    <font>
      <b/>
      <sz val="12.0"/>
      <color theme="1"/>
      <name val="Cambria"/>
    </font>
    <font>
      <b/>
      <sz val="12.0"/>
      <color rgb="FF000000"/>
      <name val="Courier New"/>
    </font>
    <font>
      <color theme="1"/>
      <name val="Arial"/>
      <scheme val="minor"/>
    </font>
    <font>
      <sz val="12.0"/>
      <color theme="1"/>
      <name val="Georgia"/>
    </font>
    <font>
      <b/>
      <sz val="12.0"/>
      <color rgb="FFB7B7B7"/>
      <name val="Cambria"/>
    </font>
    <font>
      <color rgb="FFB7B7B7"/>
      <name val="Cambria"/>
    </font>
    <font>
      <b/>
      <color rgb="FFB7B7B7"/>
      <name val="Cambria"/>
    </font>
    <font>
      <color rgb="FFB7B7B7"/>
      <name val="Georgia"/>
    </font>
    <font>
      <sz val="12.0"/>
      <color rgb="FF1F2937"/>
      <name val="Cambria"/>
    </font>
    <font>
      <color rgb="FFFFFFFF"/>
      <name val="Courier New"/>
    </font>
    <font>
      <b/>
      <sz val="13.0"/>
      <color theme="1"/>
      <name val="Georgia"/>
    </font>
    <font>
      <b/>
      <sz val="12.0"/>
      <color theme="1"/>
      <name val="Courier New"/>
    </font>
    <font>
      <sz val="12.0"/>
      <color rgb="FF000000"/>
      <name val="Georgia"/>
    </font>
    <font>
      <sz val="12.0"/>
      <color theme="1"/>
      <name val="Arial"/>
      <scheme val="minor"/>
    </font>
    <font>
      <sz val="12.0"/>
      <color rgb="FFB7B7B7"/>
      <name val="Georgia"/>
    </font>
    <font>
      <color theme="1"/>
      <name val="Courier New"/>
    </font>
    <font>
      <color theme="1"/>
      <name val="Cambria"/>
    </font>
    <font>
      <color rgb="FFB7B7B7"/>
      <name val="Arial"/>
      <scheme val="minor"/>
    </font>
    <font>
      <b/>
      <sz val="13.0"/>
      <color theme="1"/>
      <name val="Arial"/>
      <scheme val="minor"/>
    </font>
    <font>
      <b/>
      <sz val="13.0"/>
      <color rgb="FF000000"/>
      <name val="Georgia"/>
    </font>
    <font>
      <sz val="11.0"/>
      <color rgb="FF000000"/>
      <name val="Georgia"/>
    </font>
    <font>
      <sz val="11.0"/>
      <color rgb="FF0000FF"/>
      <name val="Georgia"/>
    </font>
    <font>
      <b/>
      <sz val="11.0"/>
      <color theme="1"/>
      <name val="Georgia"/>
    </font>
    <font>
      <b/>
      <sz val="11.0"/>
      <color rgb="FFFF0000"/>
      <name val="Georgia"/>
    </font>
    <font>
      <b/>
      <sz val="12.0"/>
      <color rgb="FFB7B7B7"/>
      <name val="Arial"/>
      <scheme val="minor"/>
    </font>
    <font>
      <b/>
      <color rgb="FFB7B7B7"/>
      <name val="Arial"/>
      <scheme val="minor"/>
    </font>
    <font>
      <sz val="12.0"/>
      <color rgb="FF000000"/>
      <name val="Cambria"/>
    </font>
    <font>
      <b/>
      <color theme="1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F4FAF8"/>
        <bgColor rgb="FFF4FAF8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FF6D01"/>
      </left>
      <right style="medium">
        <color rgb="FFFF6D01"/>
      </right>
      <top style="medium">
        <color rgb="FFFF6D01"/>
      </top>
    </border>
    <border>
      <left style="medium">
        <color rgb="FFFF6D01"/>
      </left>
      <right style="medium">
        <color rgb="FFFF6D01"/>
      </right>
      <top style="medium">
        <color rgb="FFFF6D01"/>
      </top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left style="medium">
        <color rgb="FFFF6D01"/>
      </left>
      <right style="medium">
        <color rgb="FFFF6D01"/>
      </right>
      <bottom style="medium">
        <color rgb="FFFF6D0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6D01"/>
      </right>
      <top style="medium">
        <color rgb="FFFF6D01"/>
      </top>
    </border>
    <border>
      <right style="medium">
        <color rgb="FFFF6D01"/>
      </right>
      <bottom style="medium">
        <color rgb="FFFF6D01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horizontal="center" readingOrder="0"/>
    </xf>
    <xf borderId="1" fillId="2" fontId="3" numFmtId="0" xfId="0" applyAlignment="1" applyBorder="1" applyFill="1" applyFont="1">
      <alignment readingOrder="0"/>
    </xf>
    <xf borderId="0" fillId="2" fontId="4" numFmtId="165" xfId="0" applyAlignment="1" applyFill="1" applyFont="1" applyNumberFormat="1">
      <alignment readingOrder="0"/>
    </xf>
    <xf borderId="2" fillId="2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readingOrder="0"/>
    </xf>
    <xf borderId="0" fillId="2" fontId="4" numFmtId="10" xfId="0" applyAlignment="1" applyFill="1" applyFont="1" applyNumberFormat="1">
      <alignment readingOrder="0"/>
    </xf>
    <xf borderId="0" fillId="0" fontId="2" numFmtId="1" xfId="0" applyAlignment="1" applyFont="1" applyNumberFormat="1">
      <alignment horizontal="center" readingOrder="0"/>
    </xf>
    <xf borderId="0" fillId="2" fontId="4" numFmtId="0" xfId="0" applyAlignment="1" applyFill="1" applyFont="1">
      <alignment readingOrder="0" shrinkToFit="0" wrapText="1"/>
    </xf>
    <xf borderId="2" fillId="2" fontId="3" numFmtId="165" xfId="0" applyAlignment="1" applyBorder="1" applyFill="1" applyFont="1" applyNumberFormat="1">
      <alignment readingOrder="0"/>
    </xf>
    <xf borderId="0" fillId="0" fontId="6" numFmtId="0" xfId="0" applyFont="1"/>
    <xf borderId="0" fillId="0" fontId="2" numFmtId="166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2" fillId="3" fontId="8" numFmtId="0" xfId="0" applyAlignment="1" applyBorder="1" applyFill="1" applyFont="1">
      <alignment readingOrder="0"/>
    </xf>
    <xf borderId="0" fillId="0" fontId="9" numFmtId="10" xfId="0" applyAlignment="1" applyFont="1" applyNumberFormat="1">
      <alignment readingOrder="0"/>
    </xf>
    <xf borderId="2" fillId="4" fontId="3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4" fontId="6" numFmtId="165" xfId="0" applyAlignment="1" applyFill="1" applyFont="1" applyNumberFormat="1">
      <alignment readingOrder="0"/>
    </xf>
    <xf borderId="2" fillId="5" fontId="8" numFmtId="166" xfId="0" applyAlignment="1" applyBorder="1" applyFill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10" numFmtId="164" xfId="0" applyAlignment="1" applyFont="1" applyNumberFormat="1">
      <alignment horizontal="center" readingOrder="0"/>
    </xf>
    <xf borderId="0" fillId="2" fontId="11" numFmtId="4" xfId="0" applyAlignment="1" applyFill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2" fontId="12" numFmtId="0" xfId="0" applyAlignment="1" applyFill="1" applyFont="1">
      <alignment readingOrder="0"/>
    </xf>
    <xf borderId="0" fillId="6" fontId="13" numFmtId="9" xfId="0" applyAlignment="1" applyFill="1" applyFont="1" applyNumberFormat="1">
      <alignment readingOrder="0"/>
    </xf>
    <xf borderId="0" fillId="4" fontId="13" numFmtId="0" xfId="0" applyAlignment="1" applyFill="1" applyFont="1">
      <alignment readingOrder="0"/>
    </xf>
    <xf borderId="0" fillId="2" fontId="12" numFmtId="1" xfId="0" applyAlignment="1" applyFill="1" applyFont="1" applyNumberFormat="1">
      <alignment readingOrder="0"/>
    </xf>
    <xf borderId="0" fillId="7" fontId="14" numFmtId="0" xfId="0" applyAlignment="1" applyFill="1" applyFont="1">
      <alignment readingOrder="0"/>
    </xf>
    <xf borderId="0" fillId="8" fontId="15" numFmtId="1" xfId="0" applyAlignment="1" applyFill="1" applyFont="1" applyNumberFormat="1">
      <alignment horizontal="center" readingOrder="0"/>
    </xf>
    <xf borderId="0" fillId="8" fontId="15" numFmtId="0" xfId="0" applyAlignment="1" applyFill="1" applyFont="1">
      <alignment horizontal="center" readingOrder="0"/>
    </xf>
    <xf borderId="0" fillId="7" fontId="16" numFmtId="0" xfId="0" applyAlignment="1" applyFill="1" applyFont="1">
      <alignment readingOrder="0" shrinkToFit="0" wrapText="1"/>
    </xf>
    <xf borderId="0" fillId="4" fontId="6" numFmtId="0" xfId="0" applyFill="1" applyFont="1"/>
    <xf borderId="0" fillId="0" fontId="17" numFmtId="0" xfId="0" applyAlignment="1" applyFont="1">
      <alignment readingOrder="0"/>
    </xf>
    <xf borderId="3" fillId="0" fontId="18" numFmtId="167" xfId="0" applyAlignment="1" applyBorder="1" applyFont="1" applyNumberFormat="1">
      <alignment readingOrder="0"/>
    </xf>
    <xf borderId="2" fillId="0" fontId="18" numFmtId="167" xfId="0" applyAlignment="1" applyBorder="1" applyFont="1" applyNumberFormat="1">
      <alignment readingOrder="0"/>
    </xf>
    <xf borderId="2" fillId="0" fontId="18" numFmtId="165" xfId="0" applyAlignment="1" applyBorder="1" applyFont="1" applyNumberFormat="1">
      <alignment readingOrder="0"/>
    </xf>
    <xf borderId="0" fillId="0" fontId="19" numFmtId="0" xfId="0" applyAlignment="1" applyFont="1">
      <alignment horizontal="center"/>
    </xf>
    <xf borderId="2" fillId="0" fontId="18" numFmtId="0" xfId="0" applyAlignment="1" applyBorder="1" applyFont="1">
      <alignment readingOrder="0"/>
    </xf>
    <xf borderId="4" fillId="0" fontId="18" numFmtId="0" xfId="0" applyBorder="1" applyFont="1"/>
    <xf borderId="0" fillId="0" fontId="2" numFmtId="0" xfId="0" applyAlignment="1" applyFont="1">
      <alignment horizontal="center"/>
    </xf>
    <xf borderId="4" fillId="3" fontId="8" numFmtId="0" xfId="0" applyBorder="1" applyFill="1" applyFont="1"/>
    <xf borderId="4" fillId="4" fontId="3" numFmtId="9" xfId="0" applyBorder="1" applyFill="1" applyFont="1" applyNumberFormat="1"/>
    <xf borderId="4" fillId="5" fontId="18" numFmtId="166" xfId="0" applyBorder="1" applyFill="1" applyFont="1" applyNumberFormat="1"/>
    <xf borderId="0" fillId="4" fontId="6" numFmtId="10" xfId="0" applyFill="1" applyFont="1" applyNumberFormat="1"/>
    <xf borderId="0" fillId="0" fontId="11" numFmtId="4" xfId="0" applyFont="1" applyNumberFormat="1"/>
    <xf borderId="0" fillId="4" fontId="6" numFmtId="0" xfId="0" applyAlignment="1" applyFill="1" applyFont="1">
      <alignment shrinkToFit="0" wrapText="1"/>
    </xf>
    <xf borderId="0" fillId="0" fontId="12" numFmtId="167" xfId="0" applyAlignment="1" applyFont="1" applyNumberFormat="1">
      <alignment readingOrder="0"/>
    </xf>
    <xf borderId="0" fillId="0" fontId="13" numFmtId="9" xfId="0" applyFont="1" applyNumberFormat="1"/>
    <xf borderId="0" fillId="0" fontId="12" numFmtId="0" xfId="0" applyFont="1"/>
    <xf borderId="0" fillId="0" fontId="12" numFmtId="1" xfId="0" applyFont="1" applyNumberFormat="1"/>
    <xf borderId="0" fillId="0" fontId="20" numFmtId="0" xfId="0" applyAlignment="1" applyFont="1">
      <alignment horizontal="center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shrinkToFit="0" wrapText="1"/>
    </xf>
    <xf borderId="0" fillId="0" fontId="6" numFmtId="165" xfId="0" applyAlignment="1" applyFont="1" applyNumberFormat="1">
      <alignment readingOrder="0"/>
    </xf>
    <xf borderId="0" fillId="0" fontId="2" numFmtId="10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2" numFmtId="166" xfId="0" applyAlignment="1" applyFont="1" applyNumberFormat="1">
      <alignment horizontal="center"/>
    </xf>
    <xf borderId="0" fillId="9" fontId="17" numFmtId="0" xfId="0" applyAlignment="1" applyFill="1" applyFont="1">
      <alignment readingOrder="0"/>
    </xf>
    <xf borderId="0" fillId="0" fontId="23" numFmtId="0" xfId="0" applyAlignment="1" applyFont="1">
      <alignment horizontal="center" readingOrder="0"/>
    </xf>
    <xf borderId="0" fillId="9" fontId="9" numFmtId="0" xfId="0" applyFill="1" applyFont="1"/>
    <xf borderId="0" fillId="0" fontId="6" numFmtId="10" xfId="0" applyFont="1" applyNumberFormat="1"/>
    <xf borderId="3" fillId="9" fontId="18" numFmtId="167" xfId="0" applyAlignment="1" applyBorder="1" applyFill="1" applyFont="1" applyNumberFormat="1">
      <alignment readingOrder="0"/>
    </xf>
    <xf borderId="0" fillId="0" fontId="6" numFmtId="0" xfId="0" applyAlignment="1" applyFont="1">
      <alignment shrinkToFit="0" wrapText="1"/>
    </xf>
    <xf borderId="2" fillId="9" fontId="18" numFmtId="167" xfId="0" applyAlignment="1" applyBorder="1" applyFill="1" applyFont="1" applyNumberFormat="1">
      <alignment readingOrder="0"/>
    </xf>
    <xf borderId="0" fillId="0" fontId="9" numFmtId="10" xfId="0" applyFont="1" applyNumberFormat="1"/>
    <xf borderId="0" fillId="3" fontId="6" numFmtId="0" xfId="0" applyFill="1" applyFont="1"/>
    <xf borderId="2" fillId="9" fontId="18" numFmtId="165" xfId="0" applyAlignment="1" applyBorder="1" applyFill="1" applyFont="1" applyNumberFormat="1">
      <alignment readingOrder="0"/>
    </xf>
    <xf borderId="2" fillId="9" fontId="18" numFmtId="0" xfId="0" applyAlignment="1" applyBorder="1" applyFill="1" applyFont="1">
      <alignment readingOrder="0"/>
    </xf>
    <xf borderId="4" fillId="9" fontId="18" numFmtId="0" xfId="0" applyBorder="1" applyFill="1" applyFont="1"/>
    <xf borderId="4" fillId="9" fontId="8" numFmtId="0" xfId="0" applyBorder="1" applyFill="1" applyFont="1"/>
    <xf borderId="4" fillId="9" fontId="3" numFmtId="9" xfId="0" applyBorder="1" applyFill="1" applyFont="1" applyNumberFormat="1"/>
    <xf borderId="4" fillId="9" fontId="18" numFmtId="166" xfId="0" applyBorder="1" applyFill="1" applyFont="1" applyNumberFormat="1"/>
    <xf borderId="0" fillId="9" fontId="11" numFmtId="4" xfId="0" applyFill="1" applyFont="1" applyNumberFormat="1"/>
    <xf borderId="5" fillId="0" fontId="6" numFmtId="0" xfId="0" applyBorder="1" applyFont="1"/>
    <xf borderId="0" fillId="9" fontId="12" numFmtId="167" xfId="0" applyAlignment="1" applyFill="1" applyFont="1" applyNumberFormat="1">
      <alignment readingOrder="0"/>
    </xf>
    <xf borderId="0" fillId="9" fontId="13" numFmtId="9" xfId="0" applyFill="1" applyFont="1" applyNumberFormat="1"/>
    <xf borderId="0" fillId="9" fontId="12" numFmtId="0" xfId="0" applyFill="1" applyFont="1"/>
    <xf borderId="0" fillId="9" fontId="12" numFmtId="1" xfId="0" applyFill="1" applyFont="1" applyNumberFormat="1"/>
    <xf borderId="0" fillId="9" fontId="21" numFmtId="0" xfId="0" applyAlignment="1" applyFill="1" applyFont="1">
      <alignment readingOrder="0"/>
    </xf>
    <xf borderId="0" fillId="9" fontId="21" numFmtId="0" xfId="0" applyFill="1" applyFont="1"/>
    <xf borderId="0" fillId="9" fontId="22" numFmtId="0" xfId="0" applyAlignment="1" applyFill="1" applyFont="1">
      <alignment shrinkToFit="0" wrapText="1"/>
    </xf>
    <xf borderId="0" fillId="3" fontId="6" numFmtId="165" xfId="0" applyAlignment="1" applyFill="1" applyFont="1" applyNumberFormat="1">
      <alignment readingOrder="0"/>
    </xf>
    <xf borderId="0" fillId="3" fontId="6" numFmtId="0" xfId="0" applyAlignment="1" applyFill="1" applyFont="1">
      <alignment readingOrder="0"/>
    </xf>
    <xf borderId="0" fillId="3" fontId="6" numFmtId="10" xfId="0" applyFill="1" applyFont="1" applyNumberFormat="1"/>
    <xf borderId="0" fillId="3" fontId="6" numFmtId="0" xfId="0" applyAlignment="1" applyFill="1" applyFont="1">
      <alignment shrinkToFit="0" wrapText="1"/>
    </xf>
    <xf borderId="5" fillId="3" fontId="6" numFmtId="0" xfId="0" applyBorder="1" applyFill="1" applyFont="1"/>
    <xf borderId="0" fillId="10" fontId="6" numFmtId="0" xfId="0" applyFill="1" applyFont="1"/>
    <xf borderId="0" fillId="9" fontId="1" numFmtId="0" xfId="0" applyAlignment="1" applyFill="1" applyFont="1">
      <alignment readingOrder="0"/>
    </xf>
    <xf borderId="4" fillId="9" fontId="3" numFmtId="166" xfId="0" applyBorder="1" applyFill="1" applyFont="1" applyNumberFormat="1"/>
    <xf borderId="5" fillId="4" fontId="6" numFmtId="0" xfId="0" applyBorder="1" applyFill="1" applyFont="1"/>
    <xf borderId="6" fillId="0" fontId="18" numFmtId="167" xfId="0" applyAlignment="1" applyBorder="1" applyFont="1" applyNumberFormat="1">
      <alignment readingOrder="0"/>
    </xf>
    <xf borderId="1" fillId="0" fontId="18" numFmtId="167" xfId="0" applyAlignment="1" applyBorder="1" applyFont="1" applyNumberFormat="1">
      <alignment readingOrder="0"/>
    </xf>
    <xf borderId="1" fillId="0" fontId="18" numFmtId="165" xfId="0" applyAlignment="1" applyBorder="1" applyFont="1" applyNumberFormat="1">
      <alignment readingOrder="0"/>
    </xf>
    <xf borderId="1" fillId="0" fontId="18" numFmtId="0" xfId="0" applyAlignment="1" applyBorder="1" applyFont="1">
      <alignment readingOrder="0"/>
    </xf>
    <xf borderId="0" fillId="0" fontId="18" numFmtId="167" xfId="0" applyAlignment="1" applyFont="1" applyNumberFormat="1">
      <alignment readingOrder="0"/>
    </xf>
    <xf borderId="0" fillId="0" fontId="18" numFmtId="165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11" fontId="6" numFmtId="165" xfId="0" applyAlignment="1" applyFill="1" applyFont="1" applyNumberFormat="1">
      <alignment readingOrder="0"/>
    </xf>
    <xf borderId="0" fillId="11" fontId="6" numFmtId="0" xfId="0" applyAlignment="1" applyFill="1" applyFont="1">
      <alignment readingOrder="0"/>
    </xf>
    <xf borderId="5" fillId="9" fontId="1" numFmtId="0" xfId="0" applyAlignment="1" applyBorder="1" applyFill="1" applyFont="1">
      <alignment readingOrder="0"/>
    </xf>
    <xf borderId="0" fillId="11" fontId="6" numFmtId="0" xfId="0" applyFill="1" applyFont="1"/>
    <xf borderId="5" fillId="9" fontId="9" numFmtId="0" xfId="0" applyBorder="1" applyFill="1" applyFont="1"/>
    <xf borderId="5" fillId="9" fontId="18" numFmtId="167" xfId="0" applyAlignment="1" applyBorder="1" applyFill="1" applyFont="1" applyNumberFormat="1">
      <alignment readingOrder="0"/>
    </xf>
    <xf borderId="0" fillId="11" fontId="6" numFmtId="10" xfId="0" applyFill="1" applyFont="1" applyNumberFormat="1"/>
    <xf borderId="0" fillId="11" fontId="6" numFmtId="0" xfId="0" applyAlignment="1" applyFill="1" applyFont="1">
      <alignment shrinkToFit="0" wrapText="1"/>
    </xf>
    <xf borderId="5" fillId="9" fontId="18" numFmtId="165" xfId="0" applyAlignment="1" applyBorder="1" applyFill="1" applyFont="1" applyNumberFormat="1">
      <alignment readingOrder="0"/>
    </xf>
    <xf borderId="5" fillId="9" fontId="18" numFmtId="0" xfId="0" applyAlignment="1" applyBorder="1" applyFill="1" applyFont="1">
      <alignment readingOrder="0"/>
    </xf>
    <xf borderId="0" fillId="12" fontId="4" numFmtId="165" xfId="0" applyAlignment="1" applyFill="1" applyFont="1" applyNumberFormat="1">
      <alignment readingOrder="0"/>
    </xf>
    <xf borderId="0" fillId="12" fontId="4" numFmtId="0" xfId="0" applyAlignment="1" applyFill="1" applyFont="1">
      <alignment readingOrder="0"/>
    </xf>
    <xf borderId="0" fillId="12" fontId="4" numFmtId="0" xfId="0" applyFill="1" applyFont="1"/>
    <xf borderId="0" fillId="12" fontId="4" numFmtId="10" xfId="0" applyFill="1" applyFont="1" applyNumberFormat="1"/>
    <xf borderId="0" fillId="12" fontId="4" numFmtId="0" xfId="0" applyAlignment="1" applyFill="1" applyFont="1">
      <alignment shrinkToFit="0" wrapText="1"/>
    </xf>
    <xf borderId="5" fillId="9" fontId="11" numFmtId="4" xfId="0" applyBorder="1" applyFill="1" applyFont="1" applyNumberFormat="1"/>
    <xf borderId="5" fillId="9" fontId="12" numFmtId="167" xfId="0" applyAlignment="1" applyBorder="1" applyFill="1" applyFont="1" applyNumberFormat="1">
      <alignment readingOrder="0"/>
    </xf>
    <xf borderId="5" fillId="9" fontId="13" numFmtId="9" xfId="0" applyBorder="1" applyFill="1" applyFont="1" applyNumberFormat="1"/>
    <xf borderId="5" fillId="9" fontId="12" numFmtId="0" xfId="0" applyBorder="1" applyFill="1" applyFont="1"/>
    <xf borderId="5" fillId="9" fontId="12" numFmtId="1" xfId="0" applyBorder="1" applyFill="1" applyFont="1" applyNumberFormat="1"/>
    <xf borderId="5" fillId="9" fontId="21" numFmtId="0" xfId="0" applyAlignment="1" applyBorder="1" applyFill="1" applyFont="1">
      <alignment readingOrder="0"/>
    </xf>
    <xf borderId="5" fillId="9" fontId="21" numFmtId="0" xfId="0" applyBorder="1" applyFill="1" applyFont="1"/>
    <xf borderId="5" fillId="9" fontId="22" numFmtId="0" xfId="0" applyAlignment="1" applyBorder="1" applyFill="1" applyFont="1">
      <alignment shrinkToFit="0" wrapText="1"/>
    </xf>
    <xf borderId="5" fillId="4" fontId="17" numFmtId="0" xfId="0" applyAlignment="1" applyBorder="1" applyFill="1" applyFont="1">
      <alignment readingOrder="0"/>
    </xf>
    <xf borderId="5" fillId="0" fontId="9" numFmtId="0" xfId="0" applyBorder="1" applyFont="1"/>
    <xf borderId="7" fillId="0" fontId="18" numFmtId="167" xfId="0" applyAlignment="1" applyBorder="1" applyFont="1" applyNumberFormat="1">
      <alignment readingOrder="0"/>
    </xf>
    <xf borderId="4" fillId="0" fontId="18" numFmtId="167" xfId="0" applyAlignment="1" applyBorder="1" applyFont="1" applyNumberFormat="1">
      <alignment readingOrder="0"/>
    </xf>
    <xf borderId="4" fillId="0" fontId="18" numFmtId="165" xfId="0" applyAlignment="1" applyBorder="1" applyFont="1" applyNumberFormat="1">
      <alignment readingOrder="0"/>
    </xf>
    <xf borderId="4" fillId="0" fontId="18" numFmtId="0" xfId="0" applyAlignment="1" applyBorder="1" applyFont="1">
      <alignment readingOrder="0"/>
    </xf>
    <xf borderId="2" fillId="0" fontId="18" numFmtId="0" xfId="0" applyBorder="1" applyFont="1"/>
    <xf borderId="2" fillId="3" fontId="8" numFmtId="0" xfId="0" applyBorder="1" applyFill="1" applyFont="1"/>
    <xf borderId="2" fillId="4" fontId="3" numFmtId="9" xfId="0" applyBorder="1" applyFill="1" applyFont="1" applyNumberFormat="1"/>
    <xf borderId="2" fillId="5" fontId="18" numFmtId="166" xfId="0" applyBorder="1" applyFill="1" applyFont="1" applyNumberFormat="1"/>
    <xf borderId="0" fillId="13" fontId="17" numFmtId="0" xfId="0" applyAlignment="1" applyFill="1" applyFont="1">
      <alignment readingOrder="0"/>
    </xf>
    <xf borderId="0" fillId="4" fontId="17" numFmtId="0" xfId="0" applyAlignment="1" applyFill="1" applyFont="1">
      <alignment readingOrder="0"/>
    </xf>
    <xf borderId="2" fillId="9" fontId="18" numFmtId="0" xfId="0" applyBorder="1" applyFill="1" applyFont="1"/>
    <xf borderId="2" fillId="9" fontId="8" numFmtId="0" xfId="0" applyBorder="1" applyFill="1" applyFont="1"/>
    <xf borderId="2" fillId="9" fontId="3" numFmtId="9" xfId="0" applyBorder="1" applyFill="1" applyFont="1" applyNumberFormat="1"/>
    <xf borderId="0" fillId="14" fontId="6" numFmtId="165" xfId="0" applyAlignment="1" applyFill="1" applyFont="1" applyNumberFormat="1">
      <alignment readingOrder="0"/>
    </xf>
    <xf borderId="2" fillId="9" fontId="3" numFmtId="166" xfId="0" applyBorder="1" applyFill="1" applyFont="1" applyNumberFormat="1"/>
    <xf borderId="0" fillId="14" fontId="6" numFmtId="0" xfId="0" applyAlignment="1" applyFill="1" applyFont="1">
      <alignment readingOrder="0"/>
    </xf>
    <xf borderId="0" fillId="14" fontId="6" numFmtId="0" xfId="0" applyFill="1" applyFont="1"/>
    <xf borderId="0" fillId="15" fontId="17" numFmtId="0" xfId="0" applyAlignment="1" applyFill="1" applyFont="1">
      <alignment readingOrder="0"/>
    </xf>
    <xf borderId="0" fillId="14" fontId="6" numFmtId="10" xfId="0" applyFill="1" applyFont="1" applyNumberFormat="1"/>
    <xf borderId="0" fillId="14" fontId="6" numFmtId="0" xfId="0" applyAlignment="1" applyFill="1" applyFont="1">
      <alignment shrinkToFit="0" wrapText="1"/>
    </xf>
    <xf borderId="4" fillId="9" fontId="18" numFmtId="167" xfId="0" applyAlignment="1" applyBorder="1" applyFill="1" applyFont="1" applyNumberFormat="1">
      <alignment readingOrder="0"/>
    </xf>
    <xf borderId="0" fillId="0" fontId="22" numFmtId="0" xfId="0" applyAlignment="1" applyFont="1">
      <alignment readingOrder="0" shrinkToFit="0" wrapText="1"/>
    </xf>
    <xf borderId="0" fillId="16" fontId="17" numFmtId="0" xfId="0" applyAlignment="1" applyFill="1" applyFont="1">
      <alignment readingOrder="0"/>
    </xf>
    <xf borderId="2" fillId="16" fontId="18" numFmtId="167" xfId="0" applyAlignment="1" applyBorder="1" applyFill="1" applyFont="1" applyNumberFormat="1">
      <alignment readingOrder="0"/>
    </xf>
    <xf borderId="2" fillId="16" fontId="18" numFmtId="165" xfId="0" applyAlignment="1" applyBorder="1" applyFill="1" applyFont="1" applyNumberFormat="1">
      <alignment readingOrder="0"/>
    </xf>
    <xf borderId="2" fillId="16" fontId="18" numFmtId="0" xfId="0" applyBorder="1" applyFill="1" applyFont="1"/>
    <xf borderId="2" fillId="16" fontId="8" numFmtId="0" xfId="0" applyBorder="1" applyFill="1" applyFont="1"/>
    <xf borderId="2" fillId="16" fontId="3" numFmtId="9" xfId="0" applyBorder="1" applyFill="1" applyFont="1" applyNumberFormat="1"/>
    <xf borderId="2" fillId="16" fontId="18" numFmtId="166" xfId="0" applyBorder="1" applyFill="1" applyFont="1" applyNumberFormat="1"/>
    <xf borderId="0" fillId="16" fontId="11" numFmtId="4" xfId="0" applyFill="1" applyFont="1" applyNumberFormat="1"/>
    <xf borderId="0" fillId="16" fontId="12" numFmtId="167" xfId="0" applyAlignment="1" applyFill="1" applyFont="1" applyNumberFormat="1">
      <alignment readingOrder="0"/>
    </xf>
    <xf borderId="0" fillId="16" fontId="13" numFmtId="9" xfId="0" applyFill="1" applyFont="1" applyNumberFormat="1"/>
    <xf borderId="0" fillId="16" fontId="12" numFmtId="0" xfId="0" applyFill="1" applyFont="1"/>
    <xf borderId="0" fillId="16" fontId="12" numFmtId="1" xfId="0" applyFill="1" applyFont="1" applyNumberFormat="1"/>
    <xf borderId="0" fillId="16" fontId="21" numFmtId="0" xfId="0" applyAlignment="1" applyFill="1" applyFont="1">
      <alignment readingOrder="0"/>
    </xf>
    <xf borderId="0" fillId="16" fontId="22" numFmtId="0" xfId="0" applyAlignment="1" applyFill="1" applyFont="1">
      <alignment readingOrder="0" shrinkToFit="0" wrapText="1"/>
    </xf>
    <xf borderId="0" fillId="16" fontId="9" numFmtId="0" xfId="0" applyFill="1" applyFont="1"/>
    <xf borderId="0" fillId="17" fontId="1" numFmtId="0" xfId="0" applyAlignment="1" applyFill="1" applyFont="1">
      <alignment readingOrder="0"/>
    </xf>
    <xf borderId="2" fillId="17" fontId="18" numFmtId="167" xfId="0" applyAlignment="1" applyBorder="1" applyFill="1" applyFont="1" applyNumberFormat="1">
      <alignment readingOrder="0"/>
    </xf>
    <xf borderId="2" fillId="17" fontId="18" numFmtId="165" xfId="0" applyAlignment="1" applyBorder="1" applyFill="1" applyFont="1" applyNumberFormat="1">
      <alignment readingOrder="0"/>
    </xf>
    <xf borderId="2" fillId="17" fontId="18" numFmtId="0" xfId="0" applyBorder="1" applyFill="1" applyFont="1"/>
    <xf borderId="2" fillId="17" fontId="8" numFmtId="0" xfId="0" applyBorder="1" applyFill="1" applyFont="1"/>
    <xf borderId="2" fillId="17" fontId="3" numFmtId="9" xfId="0" applyBorder="1" applyFill="1" applyFont="1" applyNumberFormat="1"/>
    <xf borderId="2" fillId="17" fontId="3" numFmtId="166" xfId="0" applyBorder="1" applyFill="1" applyFont="1" applyNumberFormat="1"/>
    <xf borderId="0" fillId="17" fontId="11" numFmtId="4" xfId="0" applyFill="1" applyFont="1" applyNumberFormat="1"/>
    <xf borderId="0" fillId="17" fontId="12" numFmtId="167" xfId="0" applyAlignment="1" applyFill="1" applyFont="1" applyNumberFormat="1">
      <alignment readingOrder="0"/>
    </xf>
    <xf borderId="0" fillId="17" fontId="13" numFmtId="9" xfId="0" applyFill="1" applyFont="1" applyNumberFormat="1"/>
    <xf borderId="0" fillId="17" fontId="12" numFmtId="0" xfId="0" applyFill="1" applyFont="1"/>
    <xf borderId="0" fillId="17" fontId="12" numFmtId="1" xfId="0" applyFill="1" applyFont="1" applyNumberFormat="1"/>
    <xf borderId="0" fillId="17" fontId="24" numFmtId="0" xfId="0" applyAlignment="1" applyFill="1" applyFont="1">
      <alignment readingOrder="0"/>
    </xf>
    <xf borderId="0" fillId="17" fontId="24" numFmtId="0" xfId="0" applyFill="1" applyFont="1"/>
    <xf borderId="0" fillId="17" fontId="22" numFmtId="0" xfId="0" applyAlignment="1" applyFill="1" applyFont="1">
      <alignment shrinkToFit="0" wrapText="1"/>
    </xf>
    <xf borderId="0" fillId="17" fontId="9" numFmtId="0" xfId="0" applyFill="1" applyFont="1"/>
    <xf borderId="0" fillId="3" fontId="11" numFmtId="4" xfId="0" applyFill="1" applyFont="1" applyNumberFormat="1"/>
    <xf borderId="0" fillId="3" fontId="12" numFmtId="167" xfId="0" applyAlignment="1" applyFill="1" applyFont="1" applyNumberFormat="1">
      <alignment readingOrder="0"/>
    </xf>
    <xf borderId="0" fillId="3" fontId="13" numFmtId="9" xfId="0" applyFill="1" applyFont="1" applyNumberFormat="1"/>
    <xf borderId="0" fillId="3" fontId="12" numFmtId="0" xfId="0" applyFill="1" applyFont="1"/>
    <xf borderId="0" fillId="3" fontId="12" numFmtId="1" xfId="0" applyFill="1" applyFont="1" applyNumberFormat="1"/>
    <xf borderId="0" fillId="3" fontId="24" numFmtId="0" xfId="0" applyAlignment="1" applyFill="1" applyFont="1">
      <alignment readingOrder="0"/>
    </xf>
    <xf borderId="0" fillId="3" fontId="24" numFmtId="0" xfId="0" applyFill="1" applyFont="1"/>
    <xf borderId="0" fillId="3" fontId="22" numFmtId="0" xfId="0" applyAlignment="1" applyFill="1" applyFont="1">
      <alignment shrinkToFit="0" wrapText="1"/>
    </xf>
    <xf borderId="0" fillId="3" fontId="9" numFmtId="0" xfId="0" applyFill="1" applyFont="1"/>
    <xf borderId="0" fillId="6" fontId="13" numFmtId="9" xfId="0" applyFill="1" applyFont="1" applyNumberFormat="1"/>
    <xf borderId="0" fillId="4" fontId="13" numFmtId="9" xfId="0" applyFill="1" applyFont="1" applyNumberFormat="1"/>
    <xf borderId="0" fillId="0" fontId="24" numFmtId="0" xfId="0" applyFont="1"/>
    <xf borderId="0" fillId="9" fontId="24" numFmtId="0" xfId="0" applyFill="1" applyFont="1"/>
    <xf borderId="0" fillId="0" fontId="25" numFmtId="0" xfId="0" applyAlignment="1" applyFont="1">
      <alignment readingOrder="0"/>
    </xf>
    <xf borderId="0" fillId="18" fontId="17" numFmtId="0" xfId="0" applyAlignment="1" applyFill="1" applyFont="1">
      <alignment readingOrder="0"/>
    </xf>
    <xf borderId="0" fillId="0" fontId="26" numFmtId="0" xfId="0" applyAlignment="1" applyFont="1">
      <alignment readingOrder="0"/>
    </xf>
    <xf borderId="0" fillId="6" fontId="12" numFmtId="0" xfId="0" applyFill="1" applyFont="1"/>
    <xf borderId="0" fillId="19" fontId="27" numFmtId="0" xfId="0" applyAlignment="1" applyFill="1" applyFont="1">
      <alignment readingOrder="0"/>
    </xf>
    <xf borderId="0" fillId="14" fontId="17" numFmtId="0" xfId="0" applyAlignment="1" applyFill="1" applyFont="1">
      <alignment readingOrder="0"/>
    </xf>
    <xf borderId="0" fillId="3" fontId="27" numFmtId="0" xfId="0" applyAlignment="1" applyFill="1" applyFont="1">
      <alignment readingOrder="0"/>
    </xf>
    <xf borderId="2" fillId="0" fontId="18" numFmtId="165" xfId="0" applyBorder="1" applyFont="1" applyNumberFormat="1"/>
    <xf borderId="0" fillId="0" fontId="27" numFmtId="0" xfId="0" applyAlignment="1" applyFont="1">
      <alignment readingOrder="0"/>
    </xf>
    <xf borderId="5" fillId="0" fontId="6" numFmtId="165" xfId="0" applyAlignment="1" applyBorder="1" applyFont="1" applyNumberFormat="1">
      <alignment readingOrder="0"/>
    </xf>
    <xf borderId="5" fillId="19" fontId="27" numFmtId="0" xfId="0" applyAlignment="1" applyBorder="1" applyFill="1" applyFont="1">
      <alignment readingOrder="0"/>
    </xf>
    <xf borderId="5" fillId="0" fontId="6" numFmtId="10" xfId="0" applyBorder="1" applyFont="1" applyNumberFormat="1"/>
    <xf borderId="5" fillId="0" fontId="6" numFmtId="0" xfId="0" applyAlignment="1" applyBorder="1" applyFont="1">
      <alignment shrinkToFit="0" wrapText="1"/>
    </xf>
    <xf borderId="5" fillId="12" fontId="4" numFmtId="0" xfId="0" applyBorder="1" applyFill="1" applyFont="1"/>
    <xf borderId="0" fillId="3" fontId="17" numFmtId="0" xfId="0" applyAlignment="1" applyFill="1" applyFont="1">
      <alignment readingOrder="0"/>
    </xf>
    <xf borderId="0" fillId="0" fontId="15" numFmtId="1" xfId="0" applyAlignment="1" applyFont="1" applyNumberFormat="1">
      <alignment horizontal="center" readingOrder="0"/>
    </xf>
    <xf borderId="0" fillId="10" fontId="6" numFmtId="165" xfId="0" applyAlignment="1" applyFill="1" applyFont="1" applyNumberFormat="1">
      <alignment readingOrder="0"/>
    </xf>
    <xf borderId="0" fillId="10" fontId="27" numFmtId="0" xfId="0" applyAlignment="1" applyFill="1" applyFont="1">
      <alignment readingOrder="0"/>
    </xf>
    <xf borderId="0" fillId="10" fontId="6" numFmtId="10" xfId="0" applyFill="1" applyFont="1" applyNumberFormat="1"/>
    <xf borderId="0" fillId="10" fontId="6" numFmtId="0" xfId="0" applyAlignment="1" applyFill="1" applyFont="1">
      <alignment shrinkToFit="0" wrapText="1"/>
    </xf>
    <xf borderId="0" fillId="10" fontId="6" numFmtId="168" xfId="0" applyFill="1" applyFont="1" applyNumberFormat="1"/>
    <xf borderId="0" fillId="10" fontId="6" numFmtId="9" xfId="0" applyFill="1" applyFont="1" applyNumberFormat="1"/>
    <xf borderId="0" fillId="0" fontId="6" numFmtId="168" xfId="0" applyFont="1" applyNumberFormat="1"/>
    <xf borderId="0" fillId="0" fontId="6" numFmtId="9" xfId="0" applyFont="1" applyNumberFormat="1"/>
    <xf borderId="0" fillId="0" fontId="28" numFmtId="1" xfId="0" applyFont="1" applyNumberFormat="1"/>
    <xf borderId="0" fillId="0" fontId="29" numFmtId="0" xfId="0" applyAlignment="1" applyFont="1">
      <alignment readingOrder="0"/>
    </xf>
    <xf borderId="0" fillId="0" fontId="29" numFmtId="9" xfId="0" applyFont="1" applyNumberFormat="1"/>
    <xf borderId="0" fillId="0" fontId="29" numFmtId="10" xfId="0" applyFont="1" applyNumberFormat="1"/>
    <xf borderId="0" fillId="19" fontId="26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0" fillId="3" fontId="2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0" fontId="30" numFmtId="9" xfId="0" applyFont="1" applyNumberFormat="1"/>
    <xf borderId="0" fillId="0" fontId="6" numFmtId="165" xfId="0" applyFont="1" applyNumberFormat="1"/>
    <xf borderId="5" fillId="19" fontId="26" numFmtId="0" xfId="0" applyAlignment="1" applyBorder="1" applyFill="1" applyFont="1">
      <alignment readingOrder="0"/>
    </xf>
    <xf borderId="0" fillId="10" fontId="26" numFmtId="0" xfId="0" applyAlignment="1" applyFill="1" applyFont="1">
      <alignment readingOrder="0"/>
    </xf>
    <xf borderId="0" fillId="18" fontId="10" numFmtId="164" xfId="0" applyAlignment="1" applyFill="1" applyFont="1" applyNumberFormat="1">
      <alignment horizontal="center" readingOrder="0"/>
    </xf>
    <xf borderId="0" fillId="18" fontId="10" numFmtId="0" xfId="0" applyAlignment="1" applyFill="1" applyFont="1">
      <alignment horizontal="center" readingOrder="0"/>
    </xf>
    <xf borderId="0" fillId="18" fontId="2" numFmtId="0" xfId="0" applyAlignment="1" applyFill="1" applyFont="1">
      <alignment horizontal="center" readingOrder="0"/>
    </xf>
    <xf borderId="0" fillId="18" fontId="2" numFmtId="0" xfId="0" applyAlignment="1" applyFill="1" applyFont="1">
      <alignment horizontal="center"/>
    </xf>
    <xf borderId="0" fillId="18" fontId="2" numFmtId="10" xfId="0" applyAlignment="1" applyFill="1" applyFont="1" applyNumberFormat="1">
      <alignment horizontal="center"/>
    </xf>
    <xf borderId="0" fillId="18" fontId="2" numFmtId="166" xfId="0" applyAlignment="1" applyFill="1" applyFont="1" applyNumberFormat="1">
      <alignment horizontal="center"/>
    </xf>
    <xf borderId="0" fillId="18" fontId="9" numFmtId="0" xfId="0" applyFill="1" applyFont="1"/>
    <xf borderId="0" fillId="10" fontId="17" numFmtId="0" xfId="0" applyAlignment="1" applyFill="1" applyFont="1">
      <alignment readingOrder="0"/>
    </xf>
    <xf borderId="0" fillId="0" fontId="17" numFmtId="0" xfId="0" applyFont="1"/>
    <xf borderId="0" fillId="0" fontId="31" numFmtId="4" xfId="0" applyFont="1" applyNumberFormat="1"/>
    <xf borderId="0" fillId="6" fontId="32" numFmtId="9" xfId="0" applyFill="1" applyFont="1" applyNumberFormat="1"/>
    <xf borderId="0" fillId="4" fontId="32" numFmtId="0" xfId="0" applyFill="1" applyFont="1"/>
    <xf borderId="0" fillId="0" fontId="24" numFmtId="1" xfId="0" applyFont="1" applyNumberFormat="1"/>
    <xf borderId="0" fillId="0" fontId="19" numFmtId="164" xfId="0" applyAlignment="1" applyFont="1" applyNumberFormat="1">
      <alignment horizontal="center" readingOrder="0"/>
    </xf>
    <xf borderId="0" fillId="0" fontId="19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25" numFmtId="0" xfId="0" applyFont="1"/>
    <xf borderId="5" fillId="0" fontId="10" numFmtId="164" xfId="0" applyAlignment="1" applyBorder="1" applyFont="1" applyNumberFormat="1">
      <alignment horizontal="center" readingOrder="0"/>
    </xf>
    <xf borderId="5" fillId="0" fontId="33" numFmtId="0" xfId="0" applyAlignment="1" applyBorder="1" applyFont="1">
      <alignment horizontal="center" readingOrder="0"/>
    </xf>
    <xf borderId="0" fillId="0" fontId="23" numFmtId="164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3" numFmtId="1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0" fontId="23" numFmtId="10" xfId="0" applyAlignment="1" applyFont="1" applyNumberFormat="1">
      <alignment horizontal="center"/>
    </xf>
    <xf borderId="0" fillId="0" fontId="23" numFmtId="16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rror Neuron" id="{48d91ac4-977a-4911-91e6-4c6cc7b65773}" providerId="google-sheets"/>
  <x18tc:person displayName="shijujohn.bard@gmail.com" id="{c7bf7cea-de2d-452a-83ae-d18df57d0de4}" userId="shijujohn.bard@gmail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995" sheet="Sheet1"/>
  </cacheSource>
  <cacheFields>
    <cacheField name="Stock_Symbol" numFmtId="0">
      <sharedItems containsBlank="1">
        <s v="BATLIBOI"/>
        <s v="EPIGRAL"/>
        <s v="GRPLTD"/>
        <s v="INVPRECQ"/>
        <s v="M&amp;MFIN"/>
        <s v="SIKKO"/>
        <s v="ACE"/>
        <s v="IIFL"/>
        <s v="JINDWORLD"/>
        <s v="SICALLOG"/>
        <s v="BHARTIHEXA"/>
        <s v="PCBL"/>
        <s v="SHRIPISTON"/>
        <s v="AURUM"/>
        <s v="FINOPB"/>
        <s v="HAWKINCOOK"/>
        <s v="HEG"/>
        <s v="HUHTAMAKI"/>
        <s v="JLHL"/>
        <s v="JUSTDIAL"/>
        <s v="KAJARIACER"/>
        <s v="MAJESAUT"/>
        <s v="MANGLMCEM"/>
        <s v="MRPL"/>
        <s v="THAKDEV"/>
        <s v="BAJAJHCARE"/>
        <s v="BHEL"/>
        <s v="BLUESTARCO"/>
        <s v="BLUESTONE"/>
        <s v="DDEVPLSTIK"/>
        <s v="ELLEN"/>
        <s v="VENKEYS"/>
        <s v="VIDHIING"/>
        <s v="AEQUS"/>
        <s v="AETHER"/>
        <s v="AKUMS"/>
        <s v="ARKADE"/>
        <s v="BCONCEPTS"/>
        <s v="CDSL"/>
        <s v="ITDC"/>
        <s v="IVALUE"/>
        <s v="NEWGEN"/>
        <s v="RAJRATAN"/>
        <s v="SOBHA"/>
        <s v="AARTECH"/>
        <s v="DALMIASUG"/>
        <s v="IXIGO"/>
        <s v="MANBA"/>
        <s v="MINDACORP"/>
        <s v="PHOENIXLTD"/>
        <s v="TAALTECH"/>
        <s v="TBOTEK"/>
        <s v="ABDL"/>
        <s v="AVG"/>
        <s v="IPCALAB"/>
        <s v="JTEKTINDIA"/>
        <s v="SSWL"/>
        <s v="THEJO"/>
        <s v="CINEVISTA"/>
        <s v="DIFFNKG"/>
        <s v="PPL"/>
        <s v="TIRUPATIFL"/>
        <s v="AKCAPIT"/>
        <s v="EVERESTIND"/>
        <s v="LIBERTSHOE"/>
        <s v="MAHEPC"/>
        <s v="MARKOLINES"/>
        <s v="MIRZAINT"/>
        <s v="ONMOBILE"/>
        <s v="REPCOHOME"/>
        <s v="RPPL"/>
        <s v="SEIL"/>
        <s v="TIMETECHNO"/>
        <s v="VLSFINANCE"/>
        <s v="WPIL"/>
        <s v="AARTIPHARM"/>
        <s v="DELHIVERY"/>
        <s v="FERMENTA"/>
        <s v="LAL"/>
        <s v="MAFATIND"/>
        <s v="SANSERA"/>
        <s v="SHAKTIPUMP"/>
        <s v="SKMEGGPROD"/>
        <s v="DIXON"/>
        <s v="FEDDERSHOL"/>
        <s v="GKENERGY"/>
        <s v="HATHWAY"/>
        <s v="INDIAMART"/>
        <s v="TITAGARH"/>
        <s v="ZFCVINDIA"/>
        <s v="AIIL"/>
        <s v="BHAGERIA"/>
        <s v="IDBI"/>
        <s v="IOB"/>
        <s v="MAITHANALL"/>
        <s v="PATELENG"/>
        <s v="TBZ"/>
        <s v="WABAG"/>
        <s v="APTECHT"/>
        <s v="MOTOUR"/>
        <s v="ASHOKA"/>
        <s v="DECNGOLD"/>
        <s v="AXISBANK"/>
        <s v="CONCORDBIO"/>
        <s v="VINCOFE"/>
        <s v="JMA"/>
        <s v="TCIFINANCE"/>
        <s v="ARROWGREEN"/>
        <s v="SHIVAUM"/>
        <s v="ACSTECH"/>
        <s v="RAMCOSYS"/>
        <s v="IZMO"/>
        <s v="SIS"/>
        <s v="MSTCLTD"/>
        <s v="BALAMINES"/>
        <s v="PANACEABIO"/>
        <s v="THANGAMAYL"/>
        <s v="HCC"/>
        <s v="ACMESOLAR"/>
        <s v="ICIL"/>
        <s v="SUDEEPPHRM"/>
        <s v="TEGA"/>
        <s v="SAIPARENT"/>
        <s v="ELGIEQUIP"/>
        <s v="EXIDEIND"/>
        <s v="RRKABEL"/>
        <s v="ADANIENT"/>
        <s v="SKIPPER"/>
        <s v="JSWENERGY"/>
        <s v="GOCLCORP"/>
        <s v="KOPRAN"/>
        <s v="BIRLAPREC"/>
        <s v="PAGEIND"/>
        <s v="UNIDT"/>
        <s v="PURVA"/>
        <s v="RUBFILA"/>
        <s v="HEXT"/>
        <s v="KIRLOSIND"/>
        <s v="POLICYBZR"/>
        <s v="SUVEN"/>
        <s v="GLAND"/>
        <s v="ONELIFECAP"/>
        <s v="WELSPUNLIV"/>
        <s v="TRITURBINE"/>
        <s v="ZYDUSLIFE"/>
        <s v="JAYAGROGN"/>
        <s v="MODINATUR"/>
        <s v="EUROBOND"/>
        <s v="SPECTRUM"/>
        <s v="SHARDACROP"/>
        <s v="SMARTLINK"/>
        <s v="MEGASTAR"/>
        <s v="SASKEN"/>
        <s v="NIVABUPA"/>
        <s v="IOLCP"/>
        <s v="LATTEYS"/>
        <s v="JAINREC"/>
        <s v="AEROFLEX"/>
        <s v="GAEL"/>
        <s v="APCOTEXIND"/>
        <s v="MOSCHIP"/>
        <s v="MANKIND"/>
        <s v="BHARATWIRE"/>
        <s v="SALZERELEC"/>
        <s v="TINNARUBR"/>
        <s v="SUMICHEM"/>
        <s v="PLAZACABLE"/>
        <s v="ELECTCAST"/>
        <s v="AUTOIND"/>
        <s v="SHRIRAMPPS"/>
        <s v="TATATECH"/>
        <s v="IGPL"/>
        <s v="SUNFLAG"/>
        <s v="EQUITASBNK"/>
        <s v="LALPATHLAB"/>
        <s v="ASTERDM"/>
        <s v="UNIVCABLES"/>
        <s v="MANORG"/>
        <s v="INNOVACAP"/>
        <s v="PRIMO"/>
        <s v="UNIPARTS"/>
        <s v="PSPPROJECT"/>
        <s v="PTC"/>
        <s v="DIVISLAB"/>
        <s v="KIRLOSENG"/>
        <s v="INDIAGLYCO"/>
        <s v="SURYODAY"/>
        <s v="NITINSPIN"/>
        <s v="JAYNECOIND"/>
        <s v="ADVENZYMES"/>
        <s v="SUPRIYA"/>
        <s v="AGIIL"/>
        <s v="FMGOETZE"/>
        <s v="RPGLIFE"/>
        <s v="JTLIND"/>
        <s v="MITCON"/>
        <s v="STEELXIND"/>
        <s v="AMBIKCO"/>
        <s v="INTERARCH"/>
        <s v="NOVARTIND"/>
        <s v="KERNEX"/>
        <s v="ROLEXRINGS"/>
        <s v="TRIVENI"/>
        <s v="SHAILY"/>
        <s v="RISHABH"/>
        <s v="AHLEAST"/>
        <s v="DEEPINDS"/>
        <s v="BHAGCHEM"/>
        <s v="AUROPHARMA"/>
        <s v="CHENNPETRO"/>
        <s v="DCBBANK"/>
        <s v="AZAD"/>
        <s v="JINDALSTEL"/>
        <s v="HAPPYFORGE"/>
        <s v="NESTLEIND"/>
        <s v="GOKULAGRO"/>
        <s v="NEOGEN"/>
        <s v="NETWEB"/>
        <s v="FACT"/>
        <s v="MASFIN"/>
        <s v="TORNTPOWER"/>
        <s v="GRANULES"/>
        <s v="ENTERO"/>
        <m/>
      </sharedItems>
    </cacheField>
    <cacheField name="Price on Signal Date" numFmtId="0">
      <sharedItems containsString="0" containsBlank="1" containsNumber="1">
        <n v="84.93"/>
        <n v="1162.7"/>
        <n v="2007.5"/>
        <n v="979.85"/>
        <n v="356.5"/>
        <n v="4.7"/>
        <n v="979.0"/>
        <n v="87.17"/>
        <n v="568.75"/>
        <n v="942.8"/>
        <n v="34.04"/>
        <n v="370.35"/>
        <n v="97.49"/>
        <n v="4.72"/>
        <n v="88.25"/>
        <n v="1635.2"/>
        <n v="1138.8"/>
        <n v="923.6"/>
        <n v="37.15"/>
        <n v="378.15"/>
        <n v="322.1"/>
        <n v="4394.4"/>
        <n v="4.75"/>
        <n v="4.77"/>
        <n v="234.8"/>
        <n v="168.49"/>
        <n v="9253.5"/>
        <n v="594.3"/>
        <n v="249.79"/>
        <n v="311.62"/>
        <n v="747.35"/>
        <n v="1242.2"/>
        <n v="421.2"/>
        <n v="980.15"/>
        <n v="170.92"/>
        <n v="146.47"/>
        <n v="241.19"/>
        <n v="372.9"/>
        <n v="435.4"/>
        <n v="1741.7"/>
        <n v="605.2"/>
        <n v="287.0"/>
        <n v="295.0"/>
        <n v="158.24"/>
        <n v="608.45"/>
        <n v="310.8"/>
        <n v="793.35"/>
        <n v="1241.8"/>
        <n v="394.25"/>
        <n v="986.35"/>
        <n v="1480.7"/>
        <n v="297.2"/>
        <n v="244.69"/>
        <n v="1452.8"/>
        <n v="683.85"/>
        <n v="140.85"/>
        <n v="214.89"/>
        <n v="1444.5"/>
        <n v="704.4"/>
        <n v="309.1"/>
        <n v="590.5"/>
        <n v="480.8"/>
        <n v="1517.6"/>
        <n v="53.07"/>
        <n v="362.0"/>
        <n v="222.23"/>
        <n v="139.15"/>
        <n v="703.15"/>
        <n v="2047.6"/>
        <n v="798.32"/>
        <n v="1522.1"/>
        <n v="672.95"/>
        <n v="209.04"/>
        <n v="1719.4"/>
        <n v="151.48"/>
        <n v="248.06"/>
        <n v="724.5"/>
        <n v="1894.8"/>
        <n v="17.45"/>
        <n v="424.2"/>
        <n v="323.58"/>
        <n v="64.07"/>
        <n v="1777.1"/>
        <n v="473.1"/>
        <n v="273.64"/>
        <n v="118.66"/>
        <n v="178.74"/>
        <n v="35.06"/>
        <n v="60.22"/>
        <n v="421.45"/>
        <n v="20.46"/>
        <n v="206.46"/>
        <n v="179.56"/>
        <n v="257.23"/>
        <n v="493.05"/>
        <n v="690.7"/>
        <n v="84.83"/>
        <n v="464.8"/>
        <n v="366.35"/>
        <n v="9.17"/>
        <n v="143.54"/>
        <n v="20.94"/>
        <n v="3146.2"/>
        <n v="580.9"/>
        <n v="276.01"/>
        <n v="12517.0"/>
        <n v="39.03"/>
        <n v="151.24"/>
        <n v="12.18"/>
        <n v="2089.4"/>
        <n v="922.45"/>
        <n v="2632.5"/>
        <n v="551.55"/>
        <n v="226.35"/>
        <n v="84.62"/>
        <n v="35.23"/>
        <n v="1136.2"/>
        <n v="30.01"/>
        <n v="189.67"/>
        <n v="1821.8"/>
        <n v="119.72"/>
        <n v="76.03"/>
        <n v="132.61"/>
        <n v="201.75"/>
        <n v="1356.3"/>
        <n v="1353.8"/>
        <n v="159.45"/>
        <n v="94.45"/>
        <n v="25.3"/>
        <n v="573.05"/>
        <n v="355.75"/>
        <n v="39.8"/>
        <n v="562.25"/>
        <n v="917.4"/>
        <n v="417.05"/>
        <n v="512.35"/>
        <n v="2043.3"/>
        <n v="540.2"/>
        <n v="5351.9"/>
        <n v="24.02"/>
        <n v="2122.2"/>
        <n v="329.05"/>
        <n v="344.65"/>
        <n v="776.9"/>
        <n v="1827.1"/>
        <n v="501.4"/>
        <n v="573.45"/>
        <n v="386.5"/>
        <n v="2056.3"/>
        <n v="2937.4"/>
        <n v="549.35"/>
        <n v="595.05"/>
        <n v="367.45"/>
        <n v="206.27"/>
        <n v="44.93"/>
        <n v="38285.0"/>
        <n v="235.48"/>
        <n v="221.23"/>
        <n v="76.01"/>
        <n v="512.2"/>
        <n v="3175.9"/>
        <n v="1804.8"/>
        <n v="269.43"/>
        <n v="2251.1"/>
        <n v="20.96"/>
        <n v="138.67"/>
        <n v="596.65"/>
        <n v="1011.7"/>
        <n v="223.1"/>
        <n v="423.25"/>
        <n v="182.34"/>
        <n v="1364.1"/>
        <n v="958.5"/>
        <n v="184.58"/>
        <n v="306.4"/>
        <n v="1581.1"/>
        <n v="1737.3"/>
        <n v="84.31"/>
        <n v="108.77"/>
        <n v="1634.6"/>
        <n v="26.19"/>
        <n v="571.5"/>
        <n v="439.35"/>
        <n v="166.46"/>
        <n v="520.65"/>
        <n v="227.65"/>
        <n v="2430.8"/>
        <n v="250.78"/>
        <n v="734.4"/>
        <n v="815.15"/>
        <n v="476.95"/>
        <n v="49.27"/>
        <n v="93.29"/>
        <n v="77.3"/>
        <n v="90.61"/>
        <n v="624.05"/>
        <n v="350.8"/>
        <n v="70.9"/>
        <n v="321.15"/>
        <n v="1573.4"/>
        <n v="744.85"/>
        <n v="968.25"/>
        <n v="537.0"/>
        <n v="844.4"/>
        <n v="25.56"/>
        <n v="534.35"/>
        <n v="787.15"/>
        <n v="207.7"/>
        <n v="6502.5"/>
        <n v="1698.2"/>
        <n v="1042.05"/>
        <n v="152.89"/>
        <n v="461.9"/>
        <n v="110.79"/>
        <n v="347.7"/>
        <n v="694.9"/>
        <n v="740.25"/>
        <n v="395.55"/>
        <n v="469.9"/>
        <n v="2295.0"/>
        <n v="79.5"/>
        <n v="79.96"/>
        <n v="9.98"/>
        <n v="1489.7"/>
        <n v="2088.3"/>
        <n v="1030.5"/>
        <n v="1296.45"/>
        <n v="155.27"/>
        <n v="417.55"/>
        <n v="2503.1"/>
        <n v="489.45"/>
        <n v="167.45"/>
        <n v="495.6"/>
        <n v="259.29"/>
        <n v="1435.4"/>
        <n v="1069.3"/>
        <n v="191.89"/>
        <n v="419.9"/>
        <n v="2111.0"/>
        <n v="1254.5"/>
        <n v="1349.5"/>
        <n v="1410.5"/>
        <n v="78.05"/>
        <n v="235.49"/>
        <n v="1658.6"/>
        <n v="4019.6"/>
        <n v="932.2"/>
        <n v="323.05"/>
        <n v="1657.4"/>
        <n v="672.75"/>
        <n v="1263.9"/>
        <m/>
      </sharedItems>
    </cacheField>
    <cacheField name="CMP" numFmtId="0">
      <sharedItems containsString="0" containsBlank="1" containsNumber="1">
        <n v="83.16"/>
        <n v="1069.9"/>
        <n v="2000.0"/>
        <n v="1451.6"/>
        <n v="338.95"/>
        <n v="6.42"/>
        <n v="1238.9"/>
        <n v="620.3"/>
        <n v="48.55"/>
        <n v="94.0"/>
        <n v="1497.7"/>
        <n v="338.05"/>
        <n v="4544.4"/>
        <n v="220.15"/>
        <n v="129.47"/>
        <n v="8000.0"/>
        <n v="248.5"/>
        <n v="245.4"/>
        <n v="268.1"/>
        <n v="676.05"/>
        <n v="1227.1"/>
        <n v="366.0"/>
        <n v="1027.8"/>
        <n v="164.44"/>
        <n v="127.8"/>
        <n v="352.5"/>
        <n v="417.2"/>
        <n v="1525.0"/>
        <n v="809.6"/>
        <n v="257.55"/>
        <n v="358.75"/>
        <n v="1655.8"/>
        <n v="346.4"/>
        <n v="242.61"/>
        <n v="1639.5"/>
        <n v="816.15"/>
        <n v="124.57"/>
        <n v="152.01"/>
        <n v="1324.0"/>
        <n v="682.75"/>
        <n v="233.74"/>
        <n v="494.45"/>
        <n v="470.7"/>
        <n v="1239.5"/>
        <n v="50.0"/>
        <n v="398.0"/>
        <n v="159.21"/>
        <n v="142.05"/>
        <n v="681.2"/>
        <n v="1976.4"/>
        <n v="1059.6"/>
        <n v="1697.4"/>
        <n v="696.55"/>
        <n v="163.7"/>
        <n v="1995.8"/>
        <n v="118.21"/>
        <n v="379.15"/>
        <n v="2149.0"/>
        <n v="14.1"/>
        <n v="428.85"/>
        <n v="268.0"/>
        <n v="77.21"/>
        <n v="1749.2"/>
        <n v="435.0"/>
        <n v="236.0"/>
        <n v="98.02"/>
        <n v="166.1"/>
        <n v="29.0"/>
        <n v="52.4"/>
        <n v="351.05"/>
        <n v="20.43"/>
        <n v="193.02"/>
        <n v="178.32"/>
        <n v="237.6"/>
        <n v="432.8"/>
        <n v="935.1"/>
        <n v="424.6"/>
        <n v="485.7"/>
        <n v="9.14"/>
        <n v="120.5"/>
        <n v="4627.0"/>
        <n v="466.1"/>
        <n v="222.7"/>
        <n v="13214.0"/>
        <n v="65.1"/>
        <n v="124.21"/>
        <n v="9.95"/>
        <n v="1622.5"/>
        <n v="820.15"/>
        <n v="2332.3"/>
        <n v="552.65"/>
        <n v="355.0"/>
        <n v="81.65"/>
        <n v="31.82"/>
        <n v="977.0"/>
        <n v="27.45"/>
        <n v="680.0"/>
        <n v="2036.1"/>
        <n v="91.74"/>
        <n v="77.43"/>
        <n v="111.38"/>
        <n v="214.44"/>
        <n v="1178.5"/>
        <n v="1480.9"/>
        <n v="184.52"/>
        <n v="88.0"/>
        <n v="14.86"/>
        <n v="895.6"/>
        <n v="513.0"/>
        <n v="78.15"/>
        <n v="586.0"/>
        <n v="908.25"/>
        <n v="418.75"/>
        <n v="742.15"/>
        <n v="2224.4"/>
        <n v="374.65"/>
        <n v="5106.0"/>
        <n v="21.6"/>
        <n v="444.85"/>
        <n v="452.0"/>
        <n v="1155.4"/>
        <n v="2058.0"/>
        <n v="509.2"/>
        <n v="607.55"/>
        <n v="426.75"/>
        <n v="2507.0"/>
        <n v="2910.7"/>
        <n v="551.45"/>
        <n v="508.85"/>
        <n v="380.95"/>
        <n v="274.56"/>
        <n v="56.8"/>
        <n v="37410.0"/>
        <n v="264.17"/>
        <n v="212.23"/>
        <n v="65.69"/>
        <n v="497.65"/>
        <n v="3627.2"/>
        <n v="1282.3"/>
        <n v="333.45"/>
        <n v="2912.7"/>
        <n v="35.0"/>
        <n v="218.33"/>
        <n v="551.95"/>
        <n v="1176.0"/>
        <n v="229.87"/>
        <n v="336.1"/>
        <n v="148.73"/>
        <n v="3319.9"/>
        <n v="739.9"/>
        <n v="215.06"/>
        <n v="260.0"/>
        <n v="1740.0"/>
        <n v="76.4"/>
        <n v="203.69"/>
        <n v="20.19"/>
        <n v="291.75"/>
        <n v="526.9"/>
        <n v="161.29"/>
        <n v="602.9"/>
        <n v="203.29"/>
        <n v="2484.1"/>
        <n v="165.6"/>
        <n v="534.05"/>
        <n v="993.95"/>
        <n v="448.3"/>
        <n v="61.19"/>
        <n v="71.75"/>
        <n v="84.48"/>
        <n v="70.85"/>
        <n v="719.35"/>
        <n v="591.0"/>
        <n v="393.65"/>
        <n v="70.13"/>
        <n v="1964.0"/>
        <n v="770.7"/>
        <n v="1504.2"/>
        <n v="453.0"/>
        <n v="1291.2"/>
        <n v="22.3"/>
        <n v="854.8"/>
        <n v="804.1"/>
        <n v="156.45"/>
        <n v="9628.5"/>
        <n v="2185.3"/>
        <n v="306.4"/>
        <n v="144.35"/>
        <n v="607.3"/>
        <n v="89.59"/>
        <n v="294.05"/>
        <n v="966.25"/>
        <n v="267.65"/>
        <n v="457.45"/>
        <n v="2916.3"/>
        <n v="90.24"/>
        <n v="86.89"/>
        <n v="11.67"/>
        <n v="1555.0"/>
        <n v="1674.4"/>
        <n v="1980.5"/>
        <n v="1713.1"/>
        <n v="181.63"/>
        <n v="240.4"/>
        <n v="3135.6"/>
        <n v="710.0"/>
        <n v="135.65"/>
        <n v="753.0"/>
        <n v="244.0"/>
        <n v="1726.1"/>
        <n v="1374.9"/>
        <n v="213.41"/>
        <n v="2684.1"/>
        <n v="1153.0"/>
        <n v="2089.6"/>
        <n v="1358.6"/>
        <n v="227.5"/>
        <n v="2335.1"/>
        <n v="4666.0"/>
        <n v="778.0"/>
        <n v="278.25"/>
        <n v="1243.1"/>
        <n v="853.45"/>
        <n v="1847.7"/>
        <m/>
      </sharedItems>
    </cacheField>
    <cacheField name="Gain_or_Loss" numFmtId="10">
      <sharedItems containsString="0" containsBlank="1" containsNumber="1">
        <n v="-0.020840692334864123"/>
        <n v="-0.0798142255095897"/>
        <n v="-0.0037359900373599006"/>
        <n v="0.4814512425371229"/>
        <n v="-0.04922861150070129"/>
        <n v="0.36595744680851056"/>
        <n v="0.2654749744637386"/>
        <n v="-0.04600206493059544"/>
        <n v="0.09063736263736255"/>
        <n v="0.5396690708527789"/>
        <n v="0.42626321974148057"/>
        <n v="-0.08478466315647369"/>
        <n v="-0.035798543440352805"/>
        <n v="0.36016949152542377"/>
        <n v="-0.05767705382436265"/>
        <n v="-0.08408757338551859"/>
        <n v="-0.06050228310502272"/>
        <n v="0.5716760502381982"/>
        <n v="0.30686406460296095"/>
        <n v="-0.10366256776411474"/>
        <n v="0.04951878298665007"/>
        <n v="0.034134352812670674"/>
        <n v="0.35157894736842105"/>
        <n v="0.3459119496855347"/>
        <n v="-0.06239352640545147"/>
        <n v="-0.231586444299365"/>
        <n v="-0.13546225752418004"/>
        <n v="-0.5818610129564192"/>
        <n v="-0.01757476280075258"/>
        <n v="-0.13965727488607915"/>
        <n v="-0.09540375995182988"/>
        <n v="-0.012155852519723181"/>
        <n v="-0.13105413105413102"/>
        <n v="0.048615007906952994"/>
        <n v="-0.037912473671893224"/>
        <n v="-0.12746637536696936"/>
        <n v="-0.08723413076827394"/>
        <n v="-0.05470635559131128"/>
        <n v="-0.0418006430868167"/>
        <n v="-0.12441867141298733"/>
        <n v="0.3377395902181097"/>
        <n v="-0.10261324041811842"/>
        <n v="0.21610169491525424"/>
        <n v="-0.18181243680485343"/>
        <n v="-0.5915851754458049"/>
        <n v="-0.13738738738738734"/>
        <n v="-0.14785403667990177"/>
        <n v="-0.011837655016910973"/>
        <n v="-0.07165504121750159"/>
        <n v="0.0420236224463932"/>
        <n v="0.11825487944890924"/>
        <n v="0.16554508748317628"/>
        <n v="-0.008500551718500896"/>
        <n v="0.12851046255506612"/>
        <n v="0.19346347883307735"/>
        <n v="-0.11558395456159036"/>
        <n v="-0.2926148261901438"/>
        <n v="-0.08341986846659744"/>
        <n v="-0.030735377626348634"/>
        <n v="-0.24380459398252996"/>
        <n v="-0.16265876375952584"/>
        <n v="-0.02100665557404331"/>
        <n v="-0.1832498682129678"/>
        <n v="-0.05784812511776899"/>
        <n v="0.09944751381215469"/>
        <n v="-0.2835800746973855"/>
        <n v="0.020840819259791633"/>
        <n v="-0.031216667851809616"/>
        <n v="-0.034772416487595145"/>
        <n v="0.3272873033370075"/>
        <n v="0.11516983115432639"/>
        <n v="0.03506947024295996"/>
        <n v="-0.2168962877918102"/>
        <n v="0.16075375130859593"/>
        <n v="-0.21963295484552414"/>
        <n v="0.5284608562444569"/>
        <n v="0.46252587991718414"/>
        <n v="0.13415663922313703"/>
        <n v="-0.19197707736389683"/>
        <n v="0.010961810466761042"/>
        <n v="-0.17176586933679458"/>
        <n v="0.20508818479787735"/>
        <n v="-0.015699735524168514"/>
        <n v="-0.08053265694356378"/>
        <n v="-0.13755298932904542"/>
        <n v="-0.17394235631215238"/>
        <n v="-0.07071724292268107"/>
        <n v="-0.17284654877353114"/>
        <n v="-0.12985719030222517"/>
        <n v="-0.16704235377862137"/>
        <n v="-0.0014662756598241024"/>
        <n v="-0.06509735541993605"/>
        <n v="-0.0069057696591669025"/>
        <n v="-0.07631302725187585"/>
        <n v="-0.12219855998377446"/>
        <n v="0.35384392645142604"/>
        <n v="-0.01968643168690324"/>
        <n v="-0.08648881239242683"/>
        <n v="0.325781356626177"/>
        <n v="-0.003271537622682591"/>
        <n v="-0.16051274905949556"/>
        <n v="-0.024355300859598927"/>
        <n v="0.4706630220583562"/>
        <n v="-0.19762437596832494"/>
        <n v="-0.19314517589942395"/>
        <n v="0.05568426939362467"/>
        <n v="0.667947732513451"/>
        <n v="-0.1787225601692675"/>
        <n v="-0.18308702791461415"/>
        <n v="-0.2234612807504547"/>
        <n v="-0.11090031980053126"/>
        <n v="-0.11403608736942063"/>
        <n v="0.001994379476022161"/>
        <n v="0.5683675723437155"/>
        <n v="-0.0350980855589695"/>
        <n v="-0.09679250638660224"/>
        <n v="-0.14011617672944907"/>
        <n v="-0.085304898367211"/>
        <n v="2.585174250013181"/>
        <n v="0.11763091448018441"/>
        <n v="-0.23371199465419315"/>
        <n v="0.018413784032618778"/>
        <n v="-0.16009350727697771"/>
        <n v="0.0628996282527881"/>
        <n v="-0.1310919413109194"/>
        <n v="0.0938838824050821"/>
        <n v="0.15722797115083112"/>
        <n v="-0.06829010058231871"/>
        <n v="-0.4126482213438736"/>
        <n v="0.5628653695140042"/>
        <n v="0.44202389318341534"/>
        <n v="0.9635678391959802"/>
        <n v="0.04224099599822143"/>
        <n v="-0.009973839110529733"/>
        <n v="0.004076249850137846"/>
        <n v="0.4485215184932174"/>
        <n v="0.08863113590760052"/>
        <n v="-0.3064605701592004"/>
        <n v="-0.04594629944505683"/>
        <n v="-0.10074937552039959"/>
        <n v="0.04815757233060045"/>
        <n v="0.3519222002735147"/>
        <n v="0.31147540983606564"/>
        <n v="0.48719268889174944"/>
        <n v="0.1263751299874118"/>
        <n v="0.015556441962505009"/>
        <n v="0.05946464382247782"/>
        <n v="0.10413971539456662"/>
        <n v="0.21918008072752018"/>
        <n v="-0.009089671137740951"/>
        <n v="0.0038226995540184268"/>
        <n v="-0.14486177632131744"/>
        <n v="0.03673969247516669"/>
        <n v="0.33107092645561637"/>
        <n v="0.2641887380369463"/>
        <n v="-0.02285490400940316"/>
        <n v="0.12183624936300334"/>
        <n v="-0.040681643538398954"/>
        <n v="-0.13577160899881605"/>
        <n v="-0.028406872315501888"/>
        <n v="0.14210145155703885"/>
        <n v="-0.2895057624113475"/>
        <n v="0.23761273800244953"/>
        <n v="0.293900759628626"/>
        <n v="0.6698473282442747"/>
        <n v="0.5744573447753663"/>
        <n v="-0.07491829380708948"/>
        <n v="0.16239992092517538"/>
        <n v="0.030345136709995564"/>
        <n v="-0.20590667454223266"/>
        <n v="-0.1843259844247012"/>
        <n v="1.4337658529433328"/>
        <n v="-0.2280646844027126"/>
        <n v="0.16513165023296125"/>
        <n v="-0.1514360313315926"/>
        <n v="0.047245588514325504"/>
        <n v="0.0015541357278535922"/>
        <n v="-0.09382042462341356"/>
        <n v="0.8726670957065368"/>
        <n v="0.06448060687630007"/>
        <n v="-0.2290950744558992"/>
        <n v="-0.489501312335958"/>
        <n v="0.19927165130306124"/>
        <n v="-0.031058512555569"/>
        <n v="0.15797560741380967"/>
        <n v="-0.10700636942675165"/>
        <n v="0.021926937633700724"/>
        <n v="-0.33966025998883487"/>
        <n v="-0.2728077342047931"/>
        <n v="0.21934613261362948"/>
        <n v="-0.060069189642520136"/>
        <n v="0.24193221026994102"/>
        <n v="-0.23089291456747782"/>
        <n v="0.09288486416558871"/>
        <n v="-0.21807747489239604"/>
        <n v="0.15271212242608778"/>
        <n v="0.3451689996585865"/>
        <n v="0.12214937286202955"/>
        <n v="-0.010860366713681385"/>
        <n v="0.22575120660127668"/>
        <n v="0.24825219270369892"/>
        <n v="0.03470497415587034"/>
        <n v="0.5535243996901628"/>
        <n v="-0.1564245810055866"/>
        <n v="0.5291331122690669"/>
        <n v="-0.12754303599374014"/>
        <n v="0.5997005707869373"/>
        <n v="0.021533379914882862"/>
        <n v="-0.2467501203659124"/>
        <n v="0.4807381776239908"/>
        <n v="0.28683311741844314"/>
        <n v="-0.7059642051724966"/>
        <n v="-0.055857152200928725"/>
        <n v="0.31478675037886983"/>
        <n v="-0.1913530101994765"/>
        <n v="-0.15429968363531774"/>
        <n v="0.39048783997697517"/>
        <n v="0.2632218844984803"/>
        <n v="-0.323347238023006"/>
        <n v="-0.026494998935943793"/>
        <n v="0.2707189542483661"/>
        <n v="0.13509433962264145"/>
        <n v="0.08666833416708364"/>
        <n v="0.16933867735470937"/>
        <n v="0.04383432905954216"/>
        <n v="-0.19819949241009435"/>
        <n v="0.9218825812712276"/>
        <n v="0.3213776080836128"/>
        <n v="0.1697687898499387"/>
        <n v="-0.424260567596695"/>
        <n v="0.25268666853102156"/>
        <n v="0.4506078251098172"/>
        <n v="-0.18990743505524027"/>
        <n v="0.5193704600484261"/>
        <n v="-0.05896872228007258"/>
        <n v="0.20252194510241034"/>
        <n v="0.28579444496399525"/>
        <n v="0.11214758455365059"/>
        <n v="-0.42748273398428194"/>
        <n v="0.27148270961629556"/>
        <n v="-0.08090872857712236"/>
        <n v="0.5484253427195257"/>
        <n v="-0.036795462601914276"/>
        <n v="-0.02114029468289547"/>
        <n v="-0.03392925389613151"/>
        <n v="0.4078741106957675"/>
        <n v="0.16081202109662657"/>
        <n v="-0.1654151469641708"/>
        <n v="-0.13867822318526546"/>
        <n v="-0.24996983226740688"/>
        <n v="0.2685990338164252"/>
        <n v="0.4619036316164253"/>
        <m/>
      </sharedItems>
    </cacheField>
    <cacheField name="performance_bucket" numFmtId="0">
      <sharedItems containsBlank="1">
        <m/>
        <s v="Loss"/>
        <s v="More than 40%"/>
        <s v="&gt;10% to 20%"/>
        <s v="&gt;20% to 30%"/>
        <s v=""/>
      </sharedItems>
    </cacheField>
    <cacheField name="Holding Days" numFmtId="0">
      <sharedItems containsString="0" containsBlank="1" containsNumber="1" containsInteger="1">
        <n v="62.0"/>
        <n v="63.0"/>
        <n v="64.0"/>
        <n v="65.0"/>
        <n v="66.0"/>
        <n v="70.0"/>
        <n v="73.0"/>
        <n v="79.0"/>
        <n v="83.0"/>
        <n v="84.0"/>
        <n v="86.0"/>
        <n v="87.0"/>
        <n v="91.0"/>
        <n v="97.0"/>
        <n v="98.0"/>
        <n v="99.0"/>
        <n v="100.0"/>
        <n v="104.0"/>
        <n v="105.0"/>
        <n v="109.0"/>
        <n v="111.0"/>
        <n v="113.0"/>
        <n v="114.0"/>
        <n v="118.0"/>
        <n v="121.0"/>
        <n v="127.0"/>
        <n v="128.0"/>
        <n v="129.0"/>
        <n v="132.0"/>
        <n v="133.0"/>
        <n v="136.0"/>
        <n v="137.0"/>
        <n v="142.0"/>
        <n v="143.0"/>
        <n v="144.0"/>
        <n v="146.0"/>
        <n v="147.0"/>
        <n v="151.0"/>
        <n v="154.0"/>
        <n v="155.0"/>
        <m/>
      </sharedItems>
    </cacheField>
    <cacheField name="Investment_Amount">
      <sharedItems containsBlank="1" containsMixedTypes="1" containsNumber="1" containsInteger="1">
        <m/>
        <n v="100000.0"/>
        <s v=""/>
      </sharedItems>
    </cacheField>
    <cacheField name="Current_Value">
      <sharedItems containsBlank="1" containsMixedTypes="1" containsNumber="1">
        <m/>
        <n v="96607.07461038684"/>
        <n v="140787.41106957674"/>
        <n v="116081.20210966266"/>
        <n v="83458.48530358291"/>
        <n v="86132.17768147345"/>
        <n v="75003.01677325931"/>
        <n v="126859.90338164252"/>
        <n v="146190.36316164254"/>
        <s v=""/>
      </sharedItems>
    </cacheField>
    <cacheField name="Profit_loss_Amt">
      <sharedItems containsBlank="1" containsMixedTypes="1" containsNumber="1">
        <m/>
        <n v="-3392.925389613151"/>
        <n v="40787.41106957675"/>
        <n v="16081.202109662656"/>
        <n v="-16541.51469641708"/>
        <n v="-13867.822318526545"/>
        <n v="-24996.98322674069"/>
        <n v="26859.903381642518"/>
        <n v="46190.36316164253"/>
        <s v=""/>
      </sharedItems>
    </cacheField>
    <cacheField name="Signal_Day" numFmtId="0">
      <sharedItems containsBlank="1">
        <m/>
        <s v="Wednesday"/>
        <s v=""/>
      </sharedItems>
    </cacheField>
    <cacheField name="Win_Flag">
      <sharedItems containsBlank="1" containsMixedTypes="1" containsNumber="1" containsInteger="1">
        <m/>
        <n v="0.0"/>
        <n v="1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N248:Q255" firstHeaderRow="0" firstDataRow="2" firstDataCol="0"/>
  <pivotFields>
    <pivotField name="Stock_Symb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Price on Signal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C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Gain_or_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performance_bucket" axis="axisRow" compact="0" outline="0" multipleItemSelectionAllowed="1" showAll="0" sortType="ascending">
      <items>
        <item x="0"/>
        <item x="5"/>
        <item x="3"/>
        <item x="4"/>
        <item x="1"/>
        <item x="2"/>
        <item t="default"/>
      </items>
    </pivotField>
    <pivotField name="Holding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nvestment_Amount" dataField="1" compact="0" outline="0" multipleItemSelectionAllowed="1" showAll="0">
      <items>
        <item x="0"/>
        <item x="1"/>
        <item x="2"/>
        <item t="default"/>
      </items>
    </pivotField>
    <pivotField name="Current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_loss_Am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ignal_Day" compact="0" outline="0" multipleItemSelectionAllowed="1" showAll="0">
      <items>
        <item x="0"/>
        <item x="1"/>
        <item x="2"/>
        <item t="default"/>
      </items>
    </pivotField>
    <pivotField name="Win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COUNTA of Stock_Symbol" fld="0" subtotal="count" baseField="0"/>
    <dataField name="SUM of Investment_Amount" fld="6" baseField="0"/>
    <dataField name="SUM of Profit_loss_Am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6" dT="2026-07-30T14:58:02.00" personId="{48d91ac4-977a-4911-91e6-4c6cc7b65773}" id="{ea815f29-8e91-4463-9eb4-43725cfdcc67}" done="0">
    <x18tc:text xml:space="preserve">Wait and Watch</x18tc:text>
  </x18tc:threadedComment>
  <x18tc:threadedComment ref="A58" dT="2026-07-26T09:08:28.00" personId="{48d91ac4-977a-4911-91e6-4c6cc7b65773}" id="{1d2350c2-42b8-402c-b747-cb0269334eb0}" done="0">
    <x18tc:text xml:space="preserve">Good RR and entry</x18tc:text>
  </x18tc:threadedComment>
  <x18tc:threadedComment ref="A54" dT="2026-07-26T07:51:55.00" personId="{48d91ac4-977a-4911-91e6-4c6cc7b65773}" id="{4e4e833f-f893-4f60-b6ab-cb59487ec410}" done="0">
    <x18tc:text xml:space="preserve">R:R 2.26</x18tc:text>
  </x18tc:threadedComment>
  <x18tc:threadedComment ref="A54" dT="2026-07-26T13:58:35.00" personId="{48d91ac4-977a-4911-91e6-4c6cc7b65773}" id="{adb2c551-0e37-4e4d-bb02-f2c435b973cb}" parentId="{4e4e833f-f893-4f60-b6ab-cb59487ec410}">
    <x18tc:text xml:space="preserve">@shijujohn.bard@gmail.com</x18tc:text>
    <x18tc:mentions>
      <x18tc:mention mentionpersonId="{c7bf7cea-de2d-452a-83ae-d18df57d0de4}" mentionId="{30fba112-bd25-4f65-be1e-45572856d6aa}" startIndex="0" length="25"/>
    </x18tc:mentions>
  </x18tc:threadedComment>
  <x18tc:threadedComment ref="A57" dT="2026-07-26T08:55:38.00" personId="{48d91ac4-977a-4911-91e6-4c6cc7b65773}" id="{39b62b2d-d09d-4942-a088-4fb7a30ab595}" done="0">
    <x18tc:text xml:space="preserve">R:R 2</x18tc:text>
  </x18tc:threadedComment>
  <x18tc:threadedComment ref="A53" dT="2026-07-26T07:42:22.00" personId="{48d91ac4-977a-4911-91e6-4c6cc7b65773}" id="{f831f479-ed89-47fb-a792-1dbc56bfa761}" done="0">
    <x18tc:text xml:space="preserve">Enter on Pullback
Observe</x18tc:text>
  </x18tc:threadedComment>
  <x18tc:threadedComment ref="A29" dT="2026-08-02T16:20:42.00" personId="{48d91ac4-977a-4911-91e6-4c6cc7b65773}" id="{922651f6-848e-441e-a1f2-a9106fbfe2e0}" done="0">
    <x18tc:text xml:space="preserve">All time high! Be watchful</x18tc:text>
  </x18tc:threadedComment>
  <x18tc:threadedComment ref="A60" dT="2026-07-26T09:13:22.00" personId="{48d91ac4-977a-4911-91e6-4c6cc7b65773}" id="{4d41d447-acf1-43d6-b588-bbbaa289ca07}" done="0">
    <x18tc:text xml:space="preserve">Observe Pull back</x18tc:text>
  </x18tc:threadedComment>
  <x18tc:threadedComment ref="A56" dT="2026-07-26T07:58:36.00" personId="{48d91ac4-977a-4911-91e6-4c6cc7b65773}" id="{95c9771b-d963-41af-9cec-f708910e40eb}" done="0">
    <x18tc:text xml:space="preserve">R:R 0.5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qf95xfXPd4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hidden="1" min="2" max="3" width="17.38"/>
    <col customWidth="1" min="4" max="4" width="20.5"/>
    <col customWidth="1" min="5" max="5" width="24.0"/>
    <col customWidth="1" min="6" max="6" width="23.63"/>
    <col customWidth="1" min="7" max="7" width="14.25"/>
    <col customWidth="1" min="8" max="9" width="13.88"/>
    <col customWidth="1" min="10" max="10" width="16.13"/>
    <col customWidth="1" min="11" max="11" width="15.13"/>
    <col customWidth="1" min="12" max="12" width="14.5"/>
    <col min="15" max="15" width="28" customWidth="1"/>
    <col min="16" max="16" width="15" customWidth="1"/>
    <col min="17" max="17" width="12" customWidth="1"/>
    <col min="18" max="18" width="18" customWidth="1"/>
    <col min="19" max="19" width="18" customWidth="1"/>
    <col min="20" max="20" width="15" customWidth="1"/>
    <col min="21" max="21" width="14" customWidth="1"/>
    <col min="22" max="22" width="14" customWidth="1"/>
    <col min="23" max="23" width="18" customWidth="1"/>
  </cols>
  <sheetData>
    <row r="1">
      <c r="A1" s="2" t="s">
        <v>3</v>
      </c>
      <c r="B1" s="7" t="s">
        <v>5</v>
      </c>
      <c r="C1" s="7" t="s">
        <v>8</v>
      </c>
      <c r="D1" s="10" t="s">
        <v>13</v>
      </c>
      <c r="E1" s="7" t="s">
        <v>1</v>
      </c>
      <c r="F1" s="7" t="s">
        <v>17</v>
      </c>
      <c r="G1" s="7" t="s">
        <v>20</v>
      </c>
      <c r="H1" s="7" t="s">
        <v>24</v>
      </c>
      <c r="I1" s="7" t="s">
        <v>28</v>
      </c>
      <c r="J1" s="14" t="s">
        <v>31</v>
      </c>
      <c r="K1" s="15" t="s">
        <v>35</v>
      </c>
      <c r="L1" s="15" t="s">
        <v>36</v>
      </c>
      <c r="M1" s="17" t="s">
        <v>38</v>
      </c>
      <c r="N1" s="17" t="s">
        <v>39</v>
      </c>
      <c r="O1" t="inlineStr" s="7">
        <is>
          <t>Maximum_Return_After_Date_Identified</t>
        </is>
      </c>
      <c r="P1" t="inlineStr" s="7">
        <is>
          <t>Max_Return_Date</t>
        </is>
      </c>
      <c r="Q1" t="inlineStr" s="7">
        <is>
          <t>ROCE</t>
        </is>
      </c>
      <c r="R1" t="inlineStr" s="7">
        <is>
          <t>Promoter_Holdings</t>
        </is>
      </c>
      <c r="S1" t="inlineStr" s="7">
        <is>
          <t>Promoter_Holdings_As_On</t>
        </is>
      </c>
      <c r="T1" t="inlineStr" s="7">
        <is>
          <t>DMA75_As_Of_Date</t>
        </is>
      </c>
      <c r="U1" t="inlineStr" s="7">
        <is>
          <t>Close_As_Of_DMA_Date</t>
        </is>
      </c>
      <c r="V1" t="inlineStr" s="7">
        <is>
          <t>DMA75</t>
        </is>
      </c>
      <c r="W1" t="inlineStr" s="7">
        <is>
          <t>DMA75_Status</t>
        </is>
      </c>
    </row>
    <row r="2">
      <c r="A2" s="23" t="s">
        <v>47</v>
      </c>
      <c r="B2" s="25"/>
      <c r="C2" s="25"/>
      <c r="D2" s="31">
        <f>IFERROR(__xludf.DUMMYFUNCTION("GOOGLEFINANCE(""NSE:""&amp;UPPER(TRIM(E2)),""marketcap"")/10000000"),1619.5146035)</f>
        <v>1619.514604</v>
      </c>
      <c r="E2" s="32" t="s">
        <v>57</v>
      </c>
      <c r="F2" s="39">
        <f>IFERROR(__xludf.DUMMYFUNCTION("IF(OR(E2="""",A2=""""),"""",
 IF(
   DATE(VALUE(RIGHT(A2,4)),VALUE(MID(A2,4,2)),VALUE(LEFT(A2,2)))&gt;=TODAY(),
   IFERROR(
     GOOGLEFINANCE(""NSE:""&amp;UPPER(TRIM(E2)),""price""),
     ""Not Available""
   ),
   IFERROR(
     INDEX(
       GOOGLEFINANCE(
   "&amp;"      ""NSE:""&amp;UPPER(TRIM(E2)),
         ""close"",
         DATE(VALUE(RIGHT(A2,4)),VALUE(MID(A2,4,2)),VALUE(LEFT(A2,2))),
         DATE(VALUE(RIGHT(A2,4)),VALUE(MID(A2,4,2)),VALUE(LEFT(A2,2)))+1
       ),
       2,2
     ),
     ""Not Available""
   )
 "&amp;"))"),757.45)</f>
        <v>757.45</v>
      </c>
      <c r="G2" s="42">
        <f>IFERROR(__xludf.DUMMYFUNCTION("IF(E2="""","""",IFERROR(GOOGLEFINANCE(""NSE:""&amp;UPPER(TRIM(E2)),""price""),""Not Available""))"),726.9)</f>
        <v>726.9</v>
      </c>
      <c r="H2" s="53">
        <f t="shared" ref="H2:H561" si="1">IF(A2="","",TODAY()-DATE(VALUE(RIGHT(A2,4)),VALUE(MID(A2,4,2)),VALUE(LEFT(A2,2))))</f>
        <v>1</v>
      </c>
      <c r="I2" s="58">
        <f t="shared" ref="I2:I561" si="2">(G2-F2)/F2</f>
        <v>-0.04033269523</v>
      </c>
      <c r="J2" s="60">
        <f t="shared" ref="J2:J561" si="3">100000*(I2)</f>
        <v>-4033.269523</v>
      </c>
      <c r="K2" s="62">
        <v>494.0</v>
      </c>
      <c r="L2" s="62">
        <v>500.0</v>
      </c>
      <c r="M2" s="68">
        <f t="shared" ref="M2:M561" si="4">(K2-F2)/F2</f>
        <v>-0.3478117367</v>
      </c>
      <c r="N2" s="68">
        <f t="shared" ref="N2:N561" si="5">(L2-F2)/F2</f>
        <v>-0.3398904218</v>
      </c>
      <c r="R2" s="68">
        <v>0.7196</v>
      </c>
      <c r="S2" s="23">
        <v>46203</v>
      </c>
      <c r="T2" s="23">
        <v>46288</v>
      </c>
      <c r="U2" s="39">
        <v>757.45</v>
      </c>
      <c r="V2" s="39">
        <v>673.212</v>
      </c>
      <c r="W2" t="inlineStr">
        <is>
          <t>Above 75 DMA</t>
        </is>
      </c>
    </row>
    <row r="3">
      <c r="A3" s="23" t="s">
        <v>47</v>
      </c>
      <c r="B3" s="25"/>
      <c r="C3" s="25"/>
      <c r="D3" s="31">
        <f>IFERROR(__xludf.DUMMYFUNCTION("GOOGLEFINANCE(""NSE:""&amp;UPPER(TRIM(E3)),""marketcap"")/10000000"),368.23624)</f>
        <v>368.23624</v>
      </c>
      <c r="E3" s="32" t="s">
        <v>62</v>
      </c>
      <c r="F3" s="39">
        <f>IFERROR(__xludf.DUMMYFUNCTION("IF(OR(E3="""",A3=""""),"""",
 IF(
   DATE(VALUE(RIGHT(A3,4)),VALUE(MID(A3,4,2)),VALUE(LEFT(A3,2)))&gt;=TODAY(),
   IFERROR(
     GOOGLEFINANCE(""NSE:""&amp;UPPER(TRIM(E3)),""price""),
     ""Not Available""
   ),
   IFERROR(
     INDEX(
       GOOGLEFINANCE(
   "&amp;"      ""NSE:""&amp;UPPER(TRIM(E3)),
         ""close"",
         DATE(VALUE(RIGHT(A3,4)),VALUE(MID(A3,4,2)),VALUE(LEFT(A3,2))),
         DATE(VALUE(RIGHT(A3,4)),VALUE(MID(A3,4,2)),VALUE(LEFT(A3,2)))+1
       ),
       2,2
     ),
     ""Not Available""
   )
 "&amp;"))"),284.12)</f>
        <v>284.12</v>
      </c>
      <c r="G3" s="42">
        <f>IFERROR(__xludf.DUMMYFUNCTION("IF(E3="""","""",IFERROR(GOOGLEFINANCE(""NSE:""&amp;UPPER(TRIM(E3)),""price""),""Not Available""))"),275.0)</f>
        <v>275</v>
      </c>
      <c r="H3" s="53">
        <f t="shared" si="1"/>
        <v>1</v>
      </c>
      <c r="I3" s="58">
        <f t="shared" si="2"/>
        <v>-0.03209911305</v>
      </c>
      <c r="J3" s="60">
        <f t="shared" si="3"/>
        <v>-3209.911305</v>
      </c>
      <c r="K3" s="62">
        <v>367.0</v>
      </c>
      <c r="L3" s="62">
        <v>124.0</v>
      </c>
      <c r="M3" s="68">
        <f t="shared" si="4"/>
        <v>0.2917077291</v>
      </c>
      <c r="N3" s="68">
        <f t="shared" si="5"/>
        <v>-0.563564691</v>
      </c>
      <c r="R3" s="68">
        <v>0.5834</v>
      </c>
      <c r="S3" s="23">
        <v>46203</v>
      </c>
      <c r="T3" s="23">
        <v>46288</v>
      </c>
      <c r="U3" s="39">
        <v>284.12</v>
      </c>
      <c r="V3" s="39">
        <v>245.350533333</v>
      </c>
      <c r="W3" t="inlineStr">
        <is>
          <t>Above 75 DMA</t>
        </is>
      </c>
    </row>
    <row r="4">
      <c r="A4" s="23" t="s">
        <v>47</v>
      </c>
      <c r="B4" s="25"/>
      <c r="C4" s="25"/>
      <c r="D4" s="31">
        <f>IFERROR(__xludf.DUMMYFUNCTION("GOOGLEFINANCE(""NSE:""&amp;UPPER(TRIM(E4)),""marketcap"")/10000000"),24836.1880677)</f>
        <v>24836.18807</v>
      </c>
      <c r="E4" s="32" t="s">
        <v>67</v>
      </c>
      <c r="F4" s="39">
        <f>IFERROR(__xludf.DUMMYFUNCTION("IF(OR(E4="""",A4=""""),"""",
 IF(
   DATE(VALUE(RIGHT(A4,4)),VALUE(MID(A4,4,2)),VALUE(LEFT(A4,2)))&gt;=TODAY(),
   IFERROR(
     GOOGLEFINANCE(""NSE:""&amp;UPPER(TRIM(E4)),""price""),
     ""Not Available""
   ),
   IFERROR(
     INDEX(
       GOOGLEFINANCE(
   "&amp;"      ""NSE:""&amp;UPPER(TRIM(E4)),
         ""close"",
         DATE(VALUE(RIGHT(A4,4)),VALUE(MID(A4,4,2)),VALUE(LEFT(A4,2))),
         DATE(VALUE(RIGHT(A4,4)),VALUE(MID(A4,4,2)),VALUE(LEFT(A4,2)))+1
       ),
       2,2
     ),
     ""Not Available""
   )
 "&amp;"))"),1264.5)</f>
        <v>1264.5</v>
      </c>
      <c r="G4" s="42">
        <f>IFERROR(__xludf.DUMMYFUNCTION("IF(E4="""","""",IFERROR(GOOGLEFINANCE(""NSE:""&amp;UPPER(TRIM(E4)),""price""),""Not Available""))"),1303.7)</f>
        <v>1303.7</v>
      </c>
      <c r="H4" s="53">
        <f t="shared" si="1"/>
        <v>1</v>
      </c>
      <c r="I4" s="58">
        <f t="shared" si="2"/>
        <v>0.03100039541</v>
      </c>
      <c r="J4" s="60">
        <f t="shared" si="3"/>
        <v>3100.039541</v>
      </c>
      <c r="K4" s="62">
        <v>988.0</v>
      </c>
      <c r="L4" s="62">
        <v>593.0</v>
      </c>
      <c r="M4" s="68">
        <f t="shared" si="4"/>
        <v>-0.2186635034</v>
      </c>
      <c r="N4" s="68">
        <f t="shared" si="5"/>
        <v>-0.5310399367</v>
      </c>
      <c r="R4" s="68">
        <v>0.3889</v>
      </c>
      <c r="S4" s="23">
        <v>46203</v>
      </c>
      <c r="T4" s="23">
        <v>46288</v>
      </c>
      <c r="U4" s="39">
        <v>1264.5</v>
      </c>
      <c r="V4" s="39">
        <v>1109.196</v>
      </c>
      <c r="W4" t="inlineStr">
        <is>
          <t>Above 75 DMA</t>
        </is>
      </c>
    </row>
    <row r="5">
      <c r="A5" s="23" t="s">
        <v>47</v>
      </c>
      <c r="B5" s="25"/>
      <c r="C5" s="25"/>
      <c r="D5" s="31">
        <f>IFERROR(__xludf.DUMMYFUNCTION("GOOGLEFINANCE(""NSE:""&amp;UPPER(TRIM(E5)),""marketcap"")/10000000"),1930.6288691)</f>
        <v>1930.628869</v>
      </c>
      <c r="E5" s="32" t="s">
        <v>71</v>
      </c>
      <c r="F5" s="39">
        <f>IFERROR(__xludf.DUMMYFUNCTION("IF(OR(E5="""",A5=""""),"""",
 IF(
   DATE(VALUE(RIGHT(A5,4)),VALUE(MID(A5,4,2)),VALUE(LEFT(A5,2)))&gt;=TODAY(),
   IFERROR(
     GOOGLEFINANCE(""NSE:""&amp;UPPER(TRIM(E5)),""price""),
     ""Not Available""
   ),
   IFERROR(
     INDEX(
       GOOGLEFINANCE(
   "&amp;"      ""NSE:""&amp;UPPER(TRIM(E5)),
         ""close"",
         DATE(VALUE(RIGHT(A5,4)),VALUE(MID(A5,4,2)),VALUE(LEFT(A5,2))),
         DATE(VALUE(RIGHT(A5,4)),VALUE(MID(A5,4,2)),VALUE(LEFT(A5,2)))+1
       ),
       2,2
     ),
     ""Not Available""
   )
 "&amp;"))"),68.65)</f>
        <v>68.65</v>
      </c>
      <c r="G5" s="42">
        <f>IFERROR(__xludf.DUMMYFUNCTION("IF(E5="""","""",IFERROR(GOOGLEFINANCE(""NSE:""&amp;UPPER(TRIM(E5)),""price""),""Not Available""))"),72.1)</f>
        <v>72.1</v>
      </c>
      <c r="H5" s="53">
        <f t="shared" si="1"/>
        <v>1</v>
      </c>
      <c r="I5" s="58">
        <f t="shared" si="2"/>
        <v>0.05025491624</v>
      </c>
      <c r="J5" s="60">
        <f t="shared" si="3"/>
        <v>5025.491624</v>
      </c>
      <c r="K5" s="62">
        <v>77.0</v>
      </c>
      <c r="L5" s="62">
        <v>29.0</v>
      </c>
      <c r="M5" s="68">
        <f t="shared" si="4"/>
        <v>0.1216314639</v>
      </c>
      <c r="N5" s="68">
        <f t="shared" si="5"/>
        <v>-0.5775673707</v>
      </c>
      <c r="R5" s="68">
        <v>0.3447</v>
      </c>
      <c r="S5" s="23">
        <v>46203</v>
      </c>
      <c r="T5" s="23">
        <v>46288</v>
      </c>
      <c r="U5" s="39">
        <v>68.65</v>
      </c>
      <c r="V5" s="39">
        <v>62.0141333333</v>
      </c>
      <c r="W5" t="inlineStr">
        <is>
          <t>Above 75 DMA</t>
        </is>
      </c>
    </row>
    <row r="6">
      <c r="A6" s="23" t="s">
        <v>47</v>
      </c>
      <c r="B6" s="25"/>
      <c r="C6" s="25"/>
      <c r="D6" s="31">
        <f>IFERROR(__xludf.DUMMYFUNCTION("GOOGLEFINANCE(""NSE:""&amp;UPPER(TRIM(E6)),""marketcap"")/10000000"),99796.476)</f>
        <v>99796.476</v>
      </c>
      <c r="E6" s="32" t="s">
        <v>74</v>
      </c>
      <c r="F6" s="39">
        <f>IFERROR(__xludf.DUMMYFUNCTION("IF(OR(E6="""",A6=""""),"""",
 IF(
   DATE(VALUE(RIGHT(A6,4)),VALUE(MID(A6,4,2)),VALUE(LEFT(A6,2)))&gt;=TODAY(),
   IFERROR(
     GOOGLEFINANCE(""NSE:""&amp;UPPER(TRIM(E6)),""price""),
     ""Not Available""
   ),
   IFERROR(
     INDEX(
       GOOGLEFINANCE(
   "&amp;"      ""NSE:""&amp;UPPER(TRIM(E6)),
         ""close"",
         DATE(VALUE(RIGHT(A6,4)),VALUE(MID(A6,4,2)),VALUE(LEFT(A6,2))),
         DATE(VALUE(RIGHT(A6,4)),VALUE(MID(A6,4,2)),VALUE(LEFT(A6,2)))+1
       ),
       2,2
     ),
     ""Not Available""
   )
 "&amp;"))"),1211.2)</f>
        <v>1211.2</v>
      </c>
      <c r="G6" s="42">
        <f>IFERROR(__xludf.DUMMYFUNCTION("IF(E6="""","""",IFERROR(GOOGLEFINANCE(""NSE:""&amp;UPPER(TRIM(E6)),""price""),""Not Available""))"),1199.7)</f>
        <v>1199.7</v>
      </c>
      <c r="H6" s="53">
        <f t="shared" si="1"/>
        <v>1</v>
      </c>
      <c r="I6" s="58">
        <f t="shared" si="2"/>
        <v>-0.009494715984</v>
      </c>
      <c r="J6" s="60">
        <f t="shared" si="3"/>
        <v>-949.4715984</v>
      </c>
      <c r="K6" s="62">
        <v>1226.0</v>
      </c>
      <c r="L6" s="62">
        <v>1376.0</v>
      </c>
      <c r="M6" s="68">
        <f t="shared" si="4"/>
        <v>0.01221928666</v>
      </c>
      <c r="N6" s="68">
        <f t="shared" si="5"/>
        <v>0.1360634082</v>
      </c>
      <c r="R6" s="68">
        <v>0.2664</v>
      </c>
      <c r="S6" s="23">
        <v>46203</v>
      </c>
      <c r="T6" s="23">
        <v>46288</v>
      </c>
      <c r="U6" s="39">
        <v>1211.2</v>
      </c>
      <c r="V6" s="39">
        <v>1218.16133333</v>
      </c>
      <c r="W6" t="inlineStr">
        <is>
          <t>Below 75 DMA</t>
        </is>
      </c>
    </row>
    <row r="7">
      <c r="A7" s="23" t="s">
        <v>47</v>
      </c>
      <c r="B7" s="25"/>
      <c r="C7" s="25"/>
      <c r="D7" s="31">
        <f>IFERROR(__xludf.DUMMYFUNCTION("GOOGLEFINANCE(""NSE:""&amp;UPPER(TRIM(E7)),""marketcap"")/10000000"),267.8489609)</f>
        <v>267.8489609</v>
      </c>
      <c r="E7" s="32" t="s">
        <v>80</v>
      </c>
      <c r="F7" s="39">
        <f>IFERROR(__xludf.DUMMYFUNCTION("IF(OR(E7="""",A7=""""),"""",
 IF(
   DATE(VALUE(RIGHT(A7,4)),VALUE(MID(A7,4,2)),VALUE(LEFT(A7,2)))&gt;=TODAY(),
   IFERROR(
     GOOGLEFINANCE(""NSE:""&amp;UPPER(TRIM(E7)),""price""),
     ""Not Available""
   ),
   IFERROR(
     INDEX(
       GOOGLEFINANCE(
   "&amp;"      ""NSE:""&amp;UPPER(TRIM(E7)),
         ""close"",
         DATE(VALUE(RIGHT(A7,4)),VALUE(MID(A7,4,2)),VALUE(LEFT(A7,2))),
         DATE(VALUE(RIGHT(A7,4)),VALUE(MID(A7,4,2)),VALUE(LEFT(A7,2)))+1
       ),
       2,2
     ),
     ""Not Available""
   )
 "&amp;"))"),30.25)</f>
        <v>30.25</v>
      </c>
      <c r="G7" s="42">
        <f>IFERROR(__xludf.DUMMYFUNCTION("IF(E7="""","""",IFERROR(GOOGLEFINANCE(""NSE:""&amp;UPPER(TRIM(E7)),""price""),""Not Available""))"),30.79)</f>
        <v>30.79</v>
      </c>
      <c r="H7" s="53">
        <f t="shared" si="1"/>
        <v>1</v>
      </c>
      <c r="I7" s="58">
        <f t="shared" si="2"/>
        <v>0.01785123967</v>
      </c>
      <c r="J7" s="60">
        <f t="shared" si="3"/>
        <v>1785.123967</v>
      </c>
      <c r="K7" s="62">
        <v>39.0</v>
      </c>
      <c r="L7" s="62">
        <v>0.0</v>
      </c>
      <c r="M7" s="68">
        <f t="shared" si="4"/>
        <v>0.2892561983</v>
      </c>
      <c r="N7" s="68">
        <f t="shared" si="5"/>
        <v>-1</v>
      </c>
      <c r="R7" s="68">
        <v>0.5011</v>
      </c>
      <c r="S7" s="23">
        <v>46203</v>
      </c>
      <c r="T7" s="23">
        <v>46288</v>
      </c>
      <c r="U7" s="39">
        <v>30.25</v>
      </c>
      <c r="V7" s="39">
        <v>25.4118666667</v>
      </c>
      <c r="W7" t="inlineStr">
        <is>
          <t>Above 75 DMA</t>
        </is>
      </c>
    </row>
    <row r="8">
      <c r="A8" s="23" t="s">
        <v>47</v>
      </c>
      <c r="B8" s="25"/>
      <c r="C8" s="25"/>
      <c r="D8" s="31">
        <f>IFERROR(__xludf.DUMMYFUNCTION("GOOGLEFINANCE(""NSE:""&amp;UPPER(TRIM(E8)),""marketcap"")/10000000"),101.3442075)</f>
        <v>101.3442075</v>
      </c>
      <c r="E8" s="32" t="s">
        <v>83</v>
      </c>
      <c r="F8" s="39">
        <f>IFERROR(__xludf.DUMMYFUNCTION("IF(OR(E8="""",A8=""""),"""",
 IF(
   DATE(VALUE(RIGHT(A8,4)),VALUE(MID(A8,4,2)),VALUE(LEFT(A8,2)))&gt;=TODAY(),
   IFERROR(
     GOOGLEFINANCE(""NSE:""&amp;UPPER(TRIM(E8)),""price""),
     ""Not Available""
   ),
   IFERROR(
     INDEX(
       GOOGLEFINANCE(
   "&amp;"      ""NSE:""&amp;UPPER(TRIM(E8)),
         ""close"",
         DATE(VALUE(RIGHT(A8,4)),VALUE(MID(A8,4,2)),VALUE(LEFT(A8,2))),
         DATE(VALUE(RIGHT(A8,4)),VALUE(MID(A8,4,2)),VALUE(LEFT(A8,2)))+1
       ),
       2,2
     ),
     ""Not Available""
   )
 "&amp;"))"),2.24)</f>
        <v>2.24</v>
      </c>
      <c r="G8" s="42">
        <f>IFERROR(__xludf.DUMMYFUNCTION("IF(E8="""","""",IFERROR(GOOGLEFINANCE(""NSE:""&amp;UPPER(TRIM(E8)),""price""),""Not Available""))"),2.25)</f>
        <v>2.25</v>
      </c>
      <c r="H8" s="53">
        <f t="shared" si="1"/>
        <v>1</v>
      </c>
      <c r="I8" s="58">
        <f t="shared" si="2"/>
        <v>0.004464285714</v>
      </c>
      <c r="J8" s="60">
        <f t="shared" si="3"/>
        <v>446.4285714</v>
      </c>
      <c r="K8" s="62">
        <v>2.64</v>
      </c>
      <c r="L8" s="62">
        <v>1.6</v>
      </c>
      <c r="M8" s="68">
        <f t="shared" si="4"/>
        <v>0.1785714286</v>
      </c>
      <c r="N8" s="68">
        <f t="shared" si="5"/>
        <v>-0.2857142857</v>
      </c>
      <c r="R8" s="68">
        <v>0.3435</v>
      </c>
      <c r="S8" s="23">
        <v>46203</v>
      </c>
      <c r="T8" s="23">
        <v>46288</v>
      </c>
      <c r="U8" s="39">
        <v>2.24</v>
      </c>
      <c r="V8" s="39">
        <v>2.08906666667</v>
      </c>
      <c r="W8" t="inlineStr">
        <is>
          <t>Above 75 DMA</t>
        </is>
      </c>
    </row>
    <row r="9">
      <c r="A9" s="23" t="s">
        <v>47</v>
      </c>
      <c r="B9" s="25"/>
      <c r="C9" s="25"/>
      <c r="D9" s="31">
        <f>IFERROR(__xludf.DUMMYFUNCTION("GOOGLEFINANCE(""NSE:""&amp;UPPER(TRIM(E9)),""marketcap"")/10000000"),3650.38539)</f>
        <v>3650.38539</v>
      </c>
      <c r="E9" s="32" t="s">
        <v>86</v>
      </c>
      <c r="F9" s="39">
        <f>IFERROR(__xludf.DUMMYFUNCTION("IF(OR(E9="""",A9=""""),"""",
 IF(
   DATE(VALUE(RIGHT(A9,4)),VALUE(MID(A9,4,2)),VALUE(LEFT(A9,2)))&gt;=TODAY(),
   IFERROR(
     GOOGLEFINANCE(""NSE:""&amp;UPPER(TRIM(E9)),""price""),
     ""Not Available""
   ),
   IFERROR(
     INDEX(
       GOOGLEFINANCE(
   "&amp;"      ""NSE:""&amp;UPPER(TRIM(E9)),
         ""close"",
         DATE(VALUE(RIGHT(A9,4)),VALUE(MID(A9,4,2)),VALUE(LEFT(A9,2))),
         DATE(VALUE(RIGHT(A9,4)),VALUE(MID(A9,4,2)),VALUE(LEFT(A9,2)))+1
       ),
       2,2
     ),
     ""Not Available""
   )
 "&amp;"))"),588.95)</f>
        <v>588.95</v>
      </c>
      <c r="G9" s="42">
        <f>IFERROR(__xludf.DUMMYFUNCTION("IF(E9="""","""",IFERROR(GOOGLEFINANCE(""NSE:""&amp;UPPER(TRIM(E9)),""price""),""Not Available""))"),577.65)</f>
        <v>577.65</v>
      </c>
      <c r="H9" s="53">
        <f t="shared" si="1"/>
        <v>1</v>
      </c>
      <c r="I9" s="58">
        <f t="shared" si="2"/>
        <v>-0.01918668817</v>
      </c>
      <c r="J9" s="60">
        <f t="shared" si="3"/>
        <v>-1918.668817</v>
      </c>
      <c r="K9" s="62">
        <v>539.0</v>
      </c>
      <c r="L9" s="62">
        <v>204.0</v>
      </c>
      <c r="M9" s="68">
        <f t="shared" si="4"/>
        <v>-0.08481195348</v>
      </c>
      <c r="N9" s="68">
        <f t="shared" si="5"/>
        <v>-0.6536208507</v>
      </c>
      <c r="R9" s="68">
        <v>0.4324</v>
      </c>
      <c r="S9" s="23">
        <v>46203</v>
      </c>
      <c r="T9" s="23">
        <v>46288</v>
      </c>
      <c r="U9" s="39">
        <v>588.95</v>
      </c>
      <c r="V9" s="39">
        <v>503.181333333</v>
      </c>
      <c r="W9" t="inlineStr">
        <is>
          <t>Above 75 DMA</t>
        </is>
      </c>
    </row>
    <row r="10">
      <c r="A10" s="23" t="s">
        <v>47</v>
      </c>
      <c r="B10" s="25"/>
      <c r="C10" s="25"/>
      <c r="D10" s="31">
        <f>IFERROR(__xludf.DUMMYFUNCTION("GOOGLEFINANCE(""NSE:""&amp;UPPER(TRIM(E10)),""marketcap"")/10000000"),6445.9409916)</f>
        <v>6445.940992</v>
      </c>
      <c r="E10" s="32" t="s">
        <v>88</v>
      </c>
      <c r="F10" s="39">
        <f>IFERROR(__xludf.DUMMYFUNCTION("IF(OR(E10="""",A10=""""),"""",
 IF(
   DATE(VALUE(RIGHT(A10,4)),VALUE(MID(A10,4,2)),VALUE(LEFT(A10,2)))&gt;=TODAY(),
   IFERROR(
     GOOGLEFINANCE(""NSE:""&amp;UPPER(TRIM(E10)),""price""),
     ""Not Available""
   ),
   IFERROR(
     INDEX(
       GOOGLEFINANC"&amp;"E(
         ""NSE:""&amp;UPPER(TRIM(E10)),
         ""close"",
         DATE(VALUE(RIGHT(A10,4)),VALUE(MID(A10,4,2)),VALUE(LEFT(A10,2))),
         DATE(VALUE(RIGHT(A10,4)),VALUE(MID(A10,4,2)),VALUE(LEFT(A10,2)))+1
       ),
       2,2
     ),
     ""Not Avail"&amp;"able""
   )
 ))"),635.1)</f>
        <v>635.1</v>
      </c>
      <c r="G10" s="42">
        <f>IFERROR(__xludf.DUMMYFUNCTION("IF(E10="""","""",IFERROR(GOOGLEFINANCE(""NSE:""&amp;UPPER(TRIM(E10)),""price""),""Not Available""))"),614.2)</f>
        <v>614.2</v>
      </c>
      <c r="H10" s="53">
        <f t="shared" si="1"/>
        <v>1</v>
      </c>
      <c r="I10" s="58">
        <f t="shared" si="2"/>
        <v>-0.03290820343</v>
      </c>
      <c r="J10" s="60">
        <f t="shared" si="3"/>
        <v>-3290.820343</v>
      </c>
      <c r="K10" s="62">
        <v>596.0</v>
      </c>
      <c r="L10" s="62">
        <v>0.0</v>
      </c>
      <c r="M10" s="68">
        <f t="shared" si="4"/>
        <v>-0.06156510786</v>
      </c>
      <c r="N10" s="68">
        <f t="shared" si="5"/>
        <v>-1</v>
      </c>
    </row>
    <row r="11">
      <c r="A11" s="23" t="s">
        <v>47</v>
      </c>
      <c r="B11" s="25"/>
      <c r="C11" s="25"/>
      <c r="D11" s="31">
        <f>IFERROR(__xludf.DUMMYFUNCTION("GOOGLEFINANCE(""NSE:""&amp;UPPER(TRIM(E11)),""marketcap"")/10000000"),2451.5862429)</f>
        <v>2451.586243</v>
      </c>
      <c r="E11" s="32" t="s">
        <v>90</v>
      </c>
      <c r="F11" s="39">
        <f>IFERROR(__xludf.DUMMYFUNCTION("IF(OR(E11="""",A11=""""),"""",
 IF(
   DATE(VALUE(RIGHT(A11,4)),VALUE(MID(A11,4,2)),VALUE(LEFT(A11,2)))&gt;=TODAY(),
   IFERROR(
     GOOGLEFINANCE(""NSE:""&amp;UPPER(TRIM(E11)),""price""),
     ""Not Available""
   ),
   IFERROR(
     INDEX(
       GOOGLEFINANC"&amp;"E(
         ""NSE:""&amp;UPPER(TRIM(E11)),
         ""close"",
         DATE(VALUE(RIGHT(A11,4)),VALUE(MID(A11,4,2)),VALUE(LEFT(A11,2))),
         DATE(VALUE(RIGHT(A11,4)),VALUE(MID(A11,4,2)),VALUE(LEFT(A11,2)))+1
       ),
       2,2
     ),
     ""Not Avail"&amp;"able""
   )
 ))"),56.79)</f>
        <v>56.79</v>
      </c>
      <c r="G11" s="42">
        <f>IFERROR(__xludf.DUMMYFUNCTION("IF(E11="""","""",IFERROR(GOOGLEFINANCE(""NSE:""&amp;UPPER(TRIM(E11)),""price""),""Not Available""))"),55.99)</f>
        <v>55.99</v>
      </c>
      <c r="H11" s="53">
        <f t="shared" si="1"/>
        <v>1</v>
      </c>
      <c r="I11" s="58">
        <f t="shared" si="2"/>
        <v>-0.01408698715</v>
      </c>
      <c r="J11" s="60">
        <f t="shared" si="3"/>
        <v>-1408.698715</v>
      </c>
      <c r="K11" s="62">
        <v>41.0</v>
      </c>
      <c r="L11" s="62">
        <v>42.0</v>
      </c>
      <c r="M11" s="68">
        <f t="shared" si="4"/>
        <v>-0.2780419088</v>
      </c>
      <c r="N11" s="68">
        <f t="shared" si="5"/>
        <v>-0.2604331749</v>
      </c>
    </row>
    <row r="12">
      <c r="A12" s="23" t="s">
        <v>47</v>
      </c>
      <c r="B12" s="25"/>
      <c r="C12" s="25"/>
      <c r="D12" s="31">
        <f>IFERROR(__xludf.DUMMYFUNCTION("GOOGLEFINANCE(""NSE:""&amp;UPPER(TRIM(E12)),""marketcap"")/10000000"),4443.7888235)</f>
        <v>4443.788824</v>
      </c>
      <c r="E12" s="32" t="s">
        <v>92</v>
      </c>
      <c r="F12" s="39">
        <f>IFERROR(__xludf.DUMMYFUNCTION("IF(OR(E12="""",A12=""""),"""",
 IF(
   DATE(VALUE(RIGHT(A12,4)),VALUE(MID(A12,4,2)),VALUE(LEFT(A12,2)))&gt;=TODAY(),
   IFERROR(
     GOOGLEFINANCE(""NSE:""&amp;UPPER(TRIM(E12)),""price""),
     ""Not Available""
   ),
   IFERROR(
     INDEX(
       GOOGLEFINANC"&amp;"E(
         ""NSE:""&amp;UPPER(TRIM(E12)),
         ""close"",
         DATE(VALUE(RIGHT(A12,4)),VALUE(MID(A12,4,2)),VALUE(LEFT(A12,2))),
         DATE(VALUE(RIGHT(A12,4)),VALUE(MID(A12,4,2)),VALUE(LEFT(A12,2)))+1
       ),
       2,2
     ),
     ""Not Avail"&amp;"able""
   )
 ))"),482.95)</f>
        <v>482.95</v>
      </c>
      <c r="G12" s="42">
        <f>IFERROR(__xludf.DUMMYFUNCTION("IF(E12="""","""",IFERROR(GOOGLEFINANCE(""NSE:""&amp;UPPER(TRIM(E12)),""price""),""Not Available""))"),474.95)</f>
        <v>474.95</v>
      </c>
      <c r="H12" s="53">
        <f t="shared" si="1"/>
        <v>1</v>
      </c>
      <c r="I12" s="58">
        <f t="shared" si="2"/>
        <v>-0.01656486179</v>
      </c>
      <c r="J12" s="60">
        <f t="shared" si="3"/>
        <v>-1656.486179</v>
      </c>
      <c r="K12" s="62">
        <v>330.0</v>
      </c>
      <c r="L12" s="62">
        <v>660.0</v>
      </c>
      <c r="M12" s="68">
        <f t="shared" si="4"/>
        <v>-0.3166994513</v>
      </c>
      <c r="N12" s="68">
        <f t="shared" si="5"/>
        <v>0.3666010974</v>
      </c>
      <c r="R12" s="68">
        <v>0.6807</v>
      </c>
      <c r="S12" s="23">
        <v>46203</v>
      </c>
      <c r="T12" s="23">
        <v>46288</v>
      </c>
      <c r="U12" s="39">
        <v>482.95</v>
      </c>
      <c r="V12" s="39">
        <v>388.487333333</v>
      </c>
      <c r="W12" t="inlineStr">
        <is>
          <t>Above 75 DMA</t>
        </is>
      </c>
    </row>
    <row r="13">
      <c r="A13" s="23" t="s">
        <v>47</v>
      </c>
      <c r="B13" s="25"/>
      <c r="C13" s="25"/>
      <c r="D13" s="31">
        <f>IFERROR(__xludf.DUMMYFUNCTION("GOOGLEFINANCE(""NSE:""&amp;UPPER(TRIM(E13)),""marketcap"")/10000000"),2453.3863442)</f>
        <v>2453.386344</v>
      </c>
      <c r="E13" s="32" t="s">
        <v>94</v>
      </c>
      <c r="F13" s="39">
        <f>IFERROR(__xludf.DUMMYFUNCTION("IF(OR(E13="""",A13=""""),"""",
 IF(
   DATE(VALUE(RIGHT(A13,4)),VALUE(MID(A13,4,2)),VALUE(LEFT(A13,2)))&gt;=TODAY(),
   IFERROR(
     GOOGLEFINANCE(""NSE:""&amp;UPPER(TRIM(E13)),""price""),
     ""Not Available""
   ),
   IFERROR(
     INDEX(
       GOOGLEFINANC"&amp;"E(
         ""NSE:""&amp;UPPER(TRIM(E13)),
         ""close"",
         DATE(VALUE(RIGHT(A13,4)),VALUE(MID(A13,4,2)),VALUE(LEFT(A13,2))),
         DATE(VALUE(RIGHT(A13,4)),VALUE(MID(A13,4,2)),VALUE(LEFT(A13,2)))+1
       ),
       2,2
     ),
     ""Not Avail"&amp;"able""
   )
 ))"),596.3)</f>
        <v>596.3</v>
      </c>
      <c r="G13" s="42">
        <f>IFERROR(__xludf.DUMMYFUNCTION("IF(E13="""","""",IFERROR(GOOGLEFINANCE(""NSE:""&amp;UPPER(TRIM(E13)),""price""),""Not Available""))"),598.2)</f>
        <v>598.2</v>
      </c>
      <c r="H13" s="53">
        <f t="shared" si="1"/>
        <v>1</v>
      </c>
      <c r="I13" s="58">
        <f t="shared" si="2"/>
        <v>0.003186315613</v>
      </c>
      <c r="J13" s="60">
        <f t="shared" si="3"/>
        <v>318.6315613</v>
      </c>
      <c r="K13" s="62">
        <v>626.0</v>
      </c>
      <c r="L13" s="62">
        <v>303.0</v>
      </c>
      <c r="M13" s="68">
        <f t="shared" si="4"/>
        <v>0.04980714406</v>
      </c>
      <c r="N13" s="68">
        <f t="shared" si="5"/>
        <v>-0.4918665101</v>
      </c>
      <c r="R13" s="68">
        <v>0.552</v>
      </c>
      <c r="S13" s="23">
        <v>46203</v>
      </c>
      <c r="T13" s="23">
        <v>46288</v>
      </c>
      <c r="U13" s="39">
        <v>596.3</v>
      </c>
      <c r="V13" s="39">
        <v>527.926666667</v>
      </c>
      <c r="W13" t="inlineStr">
        <is>
          <t>Above 75 DMA</t>
        </is>
      </c>
    </row>
    <row r="14">
      <c r="A14" s="23" t="s">
        <v>47</v>
      </c>
      <c r="B14" s="25"/>
      <c r="C14" s="25"/>
      <c r="D14" s="31">
        <f>IFERROR(__xludf.DUMMYFUNCTION("GOOGLEFINANCE(""NSE:""&amp;UPPER(TRIM(E14)),""marketcap"")/10000000"),145581.93185)</f>
        <v>145581.9319</v>
      </c>
      <c r="E14" s="32" t="s">
        <v>97</v>
      </c>
      <c r="F14" s="39">
        <f>IFERROR(__xludf.DUMMYFUNCTION("IF(OR(E14="""",A14=""""),"""",
 IF(
   DATE(VALUE(RIGHT(A14,4)),VALUE(MID(A14,4,2)),VALUE(LEFT(A14,2)))&gt;=TODAY(),
   IFERROR(
     GOOGLEFINANCE(""NSE:""&amp;UPPER(TRIM(E14)),""price""),
     ""Not Available""
   ),
   IFERROR(
     INDEX(
       GOOGLEFINANC"&amp;"E(
         ""NSE:""&amp;UPPER(TRIM(E14)),
         ""close"",
         DATE(VALUE(RIGHT(A14,4)),VALUE(MID(A14,4,2)),VALUE(LEFT(A14,2))),
         DATE(VALUE(RIGHT(A14,4)),VALUE(MID(A14,4,2)),VALUE(LEFT(A14,2)))+1
       ),
       2,2
     ),
     ""Not Avail"&amp;"able""
   )
 ))"),436.15)</f>
        <v>436.15</v>
      </c>
      <c r="G14" s="42">
        <f>IFERROR(__xludf.DUMMYFUNCTION("IF(E14="""","""",IFERROR(GOOGLEFINANCE(""NSE:""&amp;UPPER(TRIM(E14)),""price""),""Not Available""))"),430.25)</f>
        <v>430.25</v>
      </c>
      <c r="H14" s="53">
        <f t="shared" si="1"/>
        <v>1</v>
      </c>
      <c r="I14" s="58">
        <f t="shared" si="2"/>
        <v>-0.01352745615</v>
      </c>
      <c r="J14" s="60">
        <f t="shared" si="3"/>
        <v>-1352.745615</v>
      </c>
      <c r="K14" s="62">
        <v>425.0</v>
      </c>
      <c r="L14" s="62">
        <v>375.0</v>
      </c>
      <c r="M14" s="68">
        <f t="shared" si="4"/>
        <v>-0.02556459934</v>
      </c>
      <c r="N14" s="68">
        <f t="shared" si="5"/>
        <v>-0.1402040582</v>
      </c>
      <c r="R14" s="68">
        <v>0.5943</v>
      </c>
      <c r="S14" s="23">
        <v>46203</v>
      </c>
      <c r="T14" s="23">
        <v>46288</v>
      </c>
      <c r="U14" s="39">
        <v>436.15</v>
      </c>
      <c r="V14" s="39">
        <v>458.502666667</v>
      </c>
      <c r="W14" t="inlineStr">
        <is>
          <t>Below 75 DMA</t>
        </is>
      </c>
    </row>
    <row r="15">
      <c r="A15" s="23" t="s">
        <v>47</v>
      </c>
      <c r="B15" s="25"/>
      <c r="C15" s="25"/>
      <c r="D15" s="31">
        <f>IFERROR(__xludf.DUMMYFUNCTION("GOOGLEFINANCE(""NSE:""&amp;UPPER(TRIM(E15)),""marketcap"")/10000000"),4646.3068482)</f>
        <v>4646.306848</v>
      </c>
      <c r="E15" s="32" t="s">
        <v>98</v>
      </c>
      <c r="F15" s="39">
        <f>IFERROR(__xludf.DUMMYFUNCTION("IF(OR(E15="""",A15=""""),"""",
 IF(
   DATE(VALUE(RIGHT(A15,4)),VALUE(MID(A15,4,2)),VALUE(LEFT(A15,2)))&gt;=TODAY(),
   IFERROR(
     GOOGLEFINANCE(""NSE:""&amp;UPPER(TRIM(E15)),""price""),
     ""Not Available""
   ),
   IFERROR(
     INDEX(
       GOOGLEFINANC"&amp;"E(
         ""NSE:""&amp;UPPER(TRIM(E15)),
         ""close"",
         DATE(VALUE(RIGHT(A15,4)),VALUE(MID(A15,4,2)),VALUE(LEFT(A15,2))),
         DATE(VALUE(RIGHT(A15,4)),VALUE(MID(A15,4,2)),VALUE(LEFT(A15,2)))+1
       ),
       2,2
     ),
     ""Not Avail"&amp;"able""
   )
 ))"),1390.6)</f>
        <v>1390.6</v>
      </c>
      <c r="G15" s="42">
        <f>IFERROR(__xludf.DUMMYFUNCTION("IF(E15="""","""",IFERROR(GOOGLEFINANCE(""NSE:""&amp;UPPER(TRIM(E15)),""price""),""Not Available""))"),1341.6)</f>
        <v>1341.6</v>
      </c>
      <c r="H15" s="53">
        <f t="shared" si="1"/>
        <v>1</v>
      </c>
      <c r="I15" s="58">
        <f t="shared" si="2"/>
        <v>-0.03523658852</v>
      </c>
      <c r="J15" s="60">
        <f t="shared" si="3"/>
        <v>-3523.658852</v>
      </c>
      <c r="K15" s="62">
        <v>1108.0</v>
      </c>
      <c r="L15" s="62">
        <v>761.0</v>
      </c>
      <c r="M15" s="68">
        <f t="shared" si="4"/>
        <v>-0.203221631</v>
      </c>
      <c r="N15" s="68">
        <f t="shared" si="5"/>
        <v>-0.4527542068</v>
      </c>
      <c r="R15" s="68">
        <v>0.4938</v>
      </c>
      <c r="S15" s="23">
        <v>46203</v>
      </c>
      <c r="T15" s="23">
        <v>46288</v>
      </c>
      <c r="U15" s="39">
        <v>1390.6</v>
      </c>
      <c r="V15" s="39">
        <v>1244.01466667</v>
      </c>
      <c r="W15" t="inlineStr">
        <is>
          <t>Above 75 DMA</t>
        </is>
      </c>
    </row>
    <row r="16">
      <c r="A16" s="23">
        <v>46287.0</v>
      </c>
      <c r="B16" s="25" t="str">
        <f t="shared" ref="B16:B561" si="6">TEXT(A16, "dddd")
</f>
        <v>Tuesday</v>
      </c>
      <c r="C16" s="25" t="s">
        <v>101</v>
      </c>
      <c r="D16" s="31">
        <f>IFERROR(__xludf.DUMMYFUNCTION("GOOGLEFINANCE(""NSE:""&amp;UPPER(TRIM(E16)),""marketcap"")/10000000"),14631.5)</f>
        <v>14631.5</v>
      </c>
      <c r="E16" s="32" t="s">
        <v>102</v>
      </c>
      <c r="F16" s="39">
        <f>IFERROR(__xludf.DUMMYFUNCTION("IF(OR(E16="""",A16=""""),"""",
 IF(
   DATE(VALUE(RIGHT(A16,4)),VALUE(MID(A16,4,2)),VALUE(LEFT(A16,2)))&gt;=TODAY(),
   IFERROR(
     GOOGLEFINANCE(""NSE:""&amp;UPPER(TRIM(E16)),""price""),
     ""Not Available""
   ),
   IFERROR(
     INDEX(
       GOOGLEFINANC"&amp;"E(
         ""NSE:""&amp;UPPER(TRIM(E16)),
         ""close"",
         DATE(VALUE(RIGHT(A16,4)),VALUE(MID(A16,4,2)),VALUE(LEFT(A16,2))),
         DATE(VALUE(RIGHT(A16,4)),VALUE(MID(A16,4,2)),VALUE(LEFT(A16,2)))+1
       ),
       2,2
     ),
     ""Not Avail"&amp;"able""
   )
 ))"),421.35)</f>
        <v>421.35</v>
      </c>
      <c r="G16" s="42">
        <f>IFERROR(__xludf.DUMMYFUNCTION("IF(E16="""","""",IFERROR(GOOGLEFINANCE(""NSE:""&amp;UPPER(TRIM(E16)),""price""),""Not Available""))"),424.2)</f>
        <v>424.2</v>
      </c>
      <c r="H16" s="53">
        <f t="shared" si="1"/>
        <v>2</v>
      </c>
      <c r="I16" s="58">
        <f t="shared" si="2"/>
        <v>0.006763972944</v>
      </c>
      <c r="J16" s="60">
        <f t="shared" si="3"/>
        <v>676.3972944</v>
      </c>
      <c r="K16" s="62">
        <v>464.0</v>
      </c>
      <c r="L16" s="62">
        <v>346.0</v>
      </c>
      <c r="M16" s="68">
        <f t="shared" si="4"/>
        <v>0.1012222618</v>
      </c>
      <c r="N16" s="68">
        <f t="shared" si="5"/>
        <v>-0.1788299513</v>
      </c>
      <c r="O16" s="68">
        <v>0.0246825679364</v>
      </c>
      <c r="P16" s="23">
        <v>46288</v>
      </c>
      <c r="Q16" s="68">
        <v>0.177359386547</v>
      </c>
      <c r="R16" s="68">
        <v>0.5101</v>
      </c>
      <c r="S16" s="23">
        <v>46203</v>
      </c>
      <c r="T16" s="23">
        <v>46287</v>
      </c>
      <c r="U16" s="39">
        <v>421.35</v>
      </c>
      <c r="V16" s="39">
        <v>405.574</v>
      </c>
      <c r="W16" t="inlineStr">
        <is>
          <t>Above 75 DMA</t>
        </is>
      </c>
    </row>
    <row r="17">
      <c r="A17" s="23">
        <v>46287.0</v>
      </c>
      <c r="B17" s="25" t="str">
        <f t="shared" si="6"/>
        <v>Tuesday</v>
      </c>
      <c r="C17" s="25" t="s">
        <v>101</v>
      </c>
      <c r="D17" s="31">
        <f>IFERROR(__xludf.DUMMYFUNCTION("GOOGLEFINANCE(""NSE:""&amp;UPPER(TRIM(E17)),""marketcap"")/10000000"),67626.852)</f>
        <v>67626.852</v>
      </c>
      <c r="E17" s="32" t="s">
        <v>106</v>
      </c>
      <c r="F17" s="39">
        <f>IFERROR(__xludf.DUMMYFUNCTION("IF(OR(E17="""",A17=""""),"""",
 IF(
   DATE(VALUE(RIGHT(A17,4)),VALUE(MID(A17,4,2)),VALUE(LEFT(A17,2)))&gt;=TODAY(),
   IFERROR(
     GOOGLEFINANCE(""NSE:""&amp;UPPER(TRIM(E17)),""price""),
     ""Not Available""
   ),
   IFERROR(
     INDEX(
       GOOGLEFINANC"&amp;"E(
         ""NSE:""&amp;UPPER(TRIM(E17)),
         ""close"",
         DATE(VALUE(RIGHT(A17,4)),VALUE(MID(A17,4,2)),VALUE(LEFT(A17,2))),
         DATE(VALUE(RIGHT(A17,4)),VALUE(MID(A17,4,2)),VALUE(LEFT(A17,2)))+1
       ),
       2,2
     ),
     ""Not Avail"&amp;"able""
   )
 ))"),486.65)</f>
        <v>486.65</v>
      </c>
      <c r="G17" s="42">
        <f>IFERROR(__xludf.DUMMYFUNCTION("IF(E17="""","""",IFERROR(GOOGLEFINANCE(""NSE:""&amp;UPPER(TRIM(E17)),""price""),""Not Available""))"),465.75)</f>
        <v>465.75</v>
      </c>
      <c r="H17" s="53">
        <f t="shared" si="1"/>
        <v>2</v>
      </c>
      <c r="I17" s="58">
        <f t="shared" si="2"/>
        <v>-0.04294667626</v>
      </c>
      <c r="J17" s="60">
        <f t="shared" si="3"/>
        <v>-4294.667626</v>
      </c>
      <c r="K17" s="62">
        <v>596.0</v>
      </c>
      <c r="L17" s="62">
        <v>460.0</v>
      </c>
      <c r="M17" s="68">
        <f t="shared" si="4"/>
        <v>0.224699476</v>
      </c>
      <c r="N17" s="68">
        <f t="shared" si="5"/>
        <v>-0.05476214939</v>
      </c>
      <c r="O17" s="68">
        <v>0.0100688379739</v>
      </c>
      <c r="P17" s="23">
        <v>46288</v>
      </c>
      <c r="R17" s="68">
        <v>0.7273</v>
      </c>
      <c r="S17" s="23">
        <v>46203</v>
      </c>
      <c r="T17" s="23">
        <v>46287</v>
      </c>
      <c r="U17" s="39">
        <v>486.65</v>
      </c>
      <c r="V17" s="39">
        <v>496.698666667</v>
      </c>
      <c r="W17" t="inlineStr">
        <is>
          <t>Below 75 DMA</t>
        </is>
      </c>
    </row>
    <row r="18">
      <c r="A18" s="23">
        <v>46287.0</v>
      </c>
      <c r="B18" s="25" t="str">
        <f t="shared" si="6"/>
        <v>Tuesday</v>
      </c>
      <c r="C18" s="25" t="s">
        <v>101</v>
      </c>
      <c r="D18" s="31">
        <f>IFERROR(__xludf.DUMMYFUNCTION("GOOGLEFINANCE(""NSE:""&amp;UPPER(TRIM(E18)),""marketcap"")/10000000"),2875.0843589)</f>
        <v>2875.084359</v>
      </c>
      <c r="E18" s="32" t="s">
        <v>110</v>
      </c>
      <c r="F18" s="39">
        <f>IFERROR(__xludf.DUMMYFUNCTION("IF(OR(E18="""",A18=""""),"""",
 IF(
   DATE(VALUE(RIGHT(A18,4)),VALUE(MID(A18,4,2)),VALUE(LEFT(A18,2)))&gt;=TODAY(),
   IFERROR(
     GOOGLEFINANCE(""NSE:""&amp;UPPER(TRIM(E18)),""price""),
     ""Not Available""
   ),
   IFERROR(
     INDEX(
       GOOGLEFINANC"&amp;"E(
         ""NSE:""&amp;UPPER(TRIM(E18)),
         ""close"",
         DATE(VALUE(RIGHT(A18,4)),VALUE(MID(A18,4,2)),VALUE(LEFT(A18,2))),
         DATE(VALUE(RIGHT(A18,4)),VALUE(MID(A18,4,2)),VALUE(LEFT(A18,2)))+1
       ),
       2,2
     ),
     ""Not Avail"&amp;"able""
   )
 ))"),265.25)</f>
        <v>265.25</v>
      </c>
      <c r="G18" s="42">
        <f>IFERROR(__xludf.DUMMYFUNCTION("IF(E18="""","""",IFERROR(GOOGLEFINANCE(""NSE:""&amp;UPPER(TRIM(E18)),""price""),""Not Available""))"),259.55)</f>
        <v>259.55</v>
      </c>
      <c r="H18" s="53">
        <f t="shared" si="1"/>
        <v>2</v>
      </c>
      <c r="I18" s="58">
        <f t="shared" si="2"/>
        <v>-0.02148916117</v>
      </c>
      <c r="J18" s="60">
        <f t="shared" si="3"/>
        <v>-2148.916117</v>
      </c>
      <c r="K18" s="62">
        <v>331.0</v>
      </c>
      <c r="L18" s="62">
        <v>173.0</v>
      </c>
      <c r="M18" s="68">
        <f t="shared" si="4"/>
        <v>0.2478793591</v>
      </c>
      <c r="N18" s="68">
        <f t="shared" si="5"/>
        <v>-0.3477851084</v>
      </c>
      <c r="O18" s="68">
        <v>0.0109330819981</v>
      </c>
      <c r="P18" s="23">
        <v>46288</v>
      </c>
      <c r="Q18" s="68">
        <v>0.0611627006893</v>
      </c>
      <c r="R18" s="68">
        <v>0.6095</v>
      </c>
      <c r="S18" s="23">
        <v>46203</v>
      </c>
      <c r="T18" s="23">
        <v>46287</v>
      </c>
      <c r="U18" s="39">
        <v>265.25</v>
      </c>
      <c r="V18" s="39">
        <v>275.797333333</v>
      </c>
      <c r="W18" t="inlineStr">
        <is>
          <t>Below 75 DMA</t>
        </is>
      </c>
    </row>
    <row r="19">
      <c r="A19" s="23">
        <v>46287.0</v>
      </c>
      <c r="B19" s="25" t="str">
        <f t="shared" si="6"/>
        <v>Tuesday</v>
      </c>
      <c r="C19" s="25" t="s">
        <v>101</v>
      </c>
      <c r="D19" s="31">
        <f>IFERROR(__xludf.DUMMYFUNCTION("GOOGLEFINANCE(""NSE:""&amp;UPPER(TRIM(E19)),""marketcap"")/10000000"),509.2127955)</f>
        <v>509.2127955</v>
      </c>
      <c r="E19" s="32" t="s">
        <v>114</v>
      </c>
      <c r="F19" s="39">
        <f>IFERROR(__xludf.DUMMYFUNCTION("IF(OR(E19="""",A19=""""),"""",
 IF(
   DATE(VALUE(RIGHT(A19,4)),VALUE(MID(A19,4,2)),VALUE(LEFT(A19,2)))&gt;=TODAY(),
   IFERROR(
     GOOGLEFINANCE(""NSE:""&amp;UPPER(TRIM(E19)),""price""),
     ""Not Available""
   ),
   IFERROR(
     INDEX(
       GOOGLEFINANC"&amp;"E(
         ""NSE:""&amp;UPPER(TRIM(E19)),
         ""close"",
         DATE(VALUE(RIGHT(A19,4)),VALUE(MID(A19,4,2)),VALUE(LEFT(A19,2))),
         DATE(VALUE(RIGHT(A19,4)),VALUE(MID(A19,4,2)),VALUE(LEFT(A19,2)))+1
       ),
       2,2
     ),
     ""Not Avail"&amp;"able""
   )
 ))"),148.17)</f>
        <v>148.17</v>
      </c>
      <c r="G19" s="42">
        <f>IFERROR(__xludf.DUMMYFUNCTION("IF(E19="""","""",IFERROR(GOOGLEFINANCE(""NSE:""&amp;UPPER(TRIM(E19)),""price""),""Not Available""))"),141.5)</f>
        <v>141.5</v>
      </c>
      <c r="H19" s="53">
        <f t="shared" si="1"/>
        <v>2</v>
      </c>
      <c r="I19" s="58">
        <f t="shared" si="2"/>
        <v>-0.04501586016</v>
      </c>
      <c r="J19" s="60">
        <f t="shared" si="3"/>
        <v>-4501.586016</v>
      </c>
      <c r="K19" s="62">
        <v>166.0</v>
      </c>
      <c r="L19" s="62">
        <v>50.0</v>
      </c>
      <c r="M19" s="68">
        <f t="shared" si="4"/>
        <v>0.1203347506</v>
      </c>
      <c r="N19" s="68">
        <f t="shared" si="5"/>
        <v>-0.6625497739</v>
      </c>
      <c r="R19" s="68">
        <v>0.6746</v>
      </c>
      <c r="S19" s="23">
        <v>46203</v>
      </c>
      <c r="T19" s="23">
        <v>46203</v>
      </c>
      <c r="U19" s="39">
        <v>91.88</v>
      </c>
      <c r="V19" s="39">
        <v>72.5577333333</v>
      </c>
      <c r="W19" t="inlineStr">
        <is>
          <t>Above 75 DMA</t>
        </is>
      </c>
    </row>
    <row r="20">
      <c r="A20" s="23">
        <v>46287.0</v>
      </c>
      <c r="B20" s="25" t="str">
        <f t="shared" si="6"/>
        <v>Tuesday</v>
      </c>
      <c r="C20" s="25" t="s">
        <v>101</v>
      </c>
      <c r="D20" s="31">
        <f>IFERROR(__xludf.DUMMYFUNCTION("GOOGLEFINANCE(""NSE:""&amp;UPPER(TRIM(E20)),""marketcap"")/10000000"),136175.896968)</f>
        <v>136175.897</v>
      </c>
      <c r="E20" s="32" t="s">
        <v>119</v>
      </c>
      <c r="F20" s="39">
        <f>IFERROR(__xludf.DUMMYFUNCTION("IF(OR(E20="""",A20=""""),"""",
 IF(
   DATE(VALUE(RIGHT(A20,4)),VALUE(MID(A20,4,2)),VALUE(LEFT(A20,2)))&gt;=TODAY(),
   IFERROR(
     GOOGLEFINANCE(""NSE:""&amp;UPPER(TRIM(E20)),""price""),
     ""Not Available""
   ),
   IFERROR(
     INDEX(
       GOOGLEFINANC"&amp;"E(
         ""NSE:""&amp;UPPER(TRIM(E20)),
         ""close"",
         DATE(VALUE(RIGHT(A20,4)),VALUE(MID(A20,4,2)),VALUE(LEFT(A20,2))),
         DATE(VALUE(RIGHT(A20,4)),VALUE(MID(A20,4,2)),VALUE(LEFT(A20,2)))+1
       ),
       2,2
     ),
     ""Not Avail"&amp;"able""
   )
 ))"),178.0)</f>
        <v>178</v>
      </c>
      <c r="G20" s="42">
        <f>IFERROR(__xludf.DUMMYFUNCTION("IF(E20="""","""",IFERROR(GOOGLEFINANCE(""NSE:""&amp;UPPER(TRIM(E20)),""price""),""Not Available""))"),178.39)</f>
        <v>178.39</v>
      </c>
      <c r="H20" s="53">
        <f t="shared" si="1"/>
        <v>2</v>
      </c>
      <c r="I20" s="58">
        <f t="shared" si="2"/>
        <v>0.002191011236</v>
      </c>
      <c r="J20" s="60">
        <f t="shared" si="3"/>
        <v>219.1011236</v>
      </c>
      <c r="K20" s="62">
        <v>191.0</v>
      </c>
      <c r="L20" s="62">
        <v>213.0</v>
      </c>
      <c r="M20" s="68">
        <f t="shared" si="4"/>
        <v>0.07303370787</v>
      </c>
      <c r="N20" s="68">
        <f t="shared" si="5"/>
        <v>0.1966292135</v>
      </c>
      <c r="O20" s="68">
        <v>0.0143258426966</v>
      </c>
      <c r="P20" s="23">
        <v>46288</v>
      </c>
      <c r="R20" s="68">
        <v>0.7476</v>
      </c>
      <c r="S20" s="23">
        <v>46203</v>
      </c>
      <c r="T20" s="23">
        <v>46287</v>
      </c>
      <c r="U20" s="39">
        <v>178</v>
      </c>
      <c r="V20" s="39">
        <v>174.945066667</v>
      </c>
      <c r="W20" t="inlineStr">
        <is>
          <t>Above 75 DMA</t>
        </is>
      </c>
    </row>
    <row r="21">
      <c r="A21" s="23">
        <v>46287.0</v>
      </c>
      <c r="B21" s="25" t="str">
        <f t="shared" si="6"/>
        <v>Tuesday</v>
      </c>
      <c r="C21" s="25" t="s">
        <v>101</v>
      </c>
      <c r="D21" s="31">
        <f>IFERROR(__xludf.DUMMYFUNCTION("GOOGLEFINANCE(""NSE:""&amp;UPPER(TRIM(E21)),""marketcap"")/10000000"),248807.8989992)</f>
        <v>248807.899</v>
      </c>
      <c r="E21" s="32" t="s">
        <v>123</v>
      </c>
      <c r="F21" s="39">
        <f>IFERROR(__xludf.DUMMYFUNCTION("IF(OR(E21="""",A21=""""),"""",
 IF(
   DATE(VALUE(RIGHT(A21,4)),VALUE(MID(A21,4,2)),VALUE(LEFT(A21,2)))&gt;=TODAY(),
   IFERROR(
     GOOGLEFINANCE(""NSE:""&amp;UPPER(TRIM(E21)),""price""),
     ""Not Available""
   ),
   IFERROR(
     INDEX(
       GOOGLEFINANC"&amp;"E(
         ""NSE:""&amp;UPPER(TRIM(E21)),
         ""close"",
         DATE(VALUE(RIGHT(A21,4)),VALUE(MID(A21,4,2)),VALUE(LEFT(A21,2))),
         DATE(VALUE(RIGHT(A21,4)),VALUE(MID(A21,4,2)),VALUE(LEFT(A21,2)))+1
       ),
       2,2
     ),
     ""Not Avail"&amp;"able""
   )
 ))"),590.5)</f>
        <v>590.5</v>
      </c>
      <c r="G21" s="42">
        <f>IFERROR(__xludf.DUMMYFUNCTION("IF(E21="""","""",IFERROR(GOOGLEFINANCE(""NSE:""&amp;UPPER(TRIM(E21)),""price""),""Not Available""))"),588.85)</f>
        <v>588.85</v>
      </c>
      <c r="H21" s="53">
        <f t="shared" si="1"/>
        <v>2</v>
      </c>
      <c r="I21" s="58">
        <f t="shared" si="2"/>
        <v>-0.002794242168</v>
      </c>
      <c r="J21" s="60">
        <f t="shared" si="3"/>
        <v>-279.4242168</v>
      </c>
      <c r="K21" s="62">
        <v>499.0</v>
      </c>
      <c r="L21" s="62">
        <v>545.0</v>
      </c>
      <c r="M21" s="68">
        <f t="shared" si="4"/>
        <v>-0.1549534293</v>
      </c>
      <c r="N21" s="68">
        <f t="shared" si="5"/>
        <v>-0.07705334462</v>
      </c>
      <c r="O21" s="68">
        <v>0.0208298052498</v>
      </c>
      <c r="P21" s="23">
        <v>46288</v>
      </c>
      <c r="R21" s="68">
        <v>0.6071</v>
      </c>
      <c r="S21" s="23">
        <v>46203</v>
      </c>
      <c r="T21" s="23">
        <v>46287</v>
      </c>
      <c r="U21" s="39">
        <v>590.5</v>
      </c>
      <c r="V21" s="39">
        <v>562.368666667</v>
      </c>
      <c r="W21" t="inlineStr">
        <is>
          <t>Above 75 DMA</t>
        </is>
      </c>
    </row>
    <row r="22">
      <c r="A22" s="23">
        <v>46283.0</v>
      </c>
      <c r="B22" s="25" t="str">
        <f t="shared" si="6"/>
        <v>Friday</v>
      </c>
      <c r="C22" s="25" t="s">
        <v>101</v>
      </c>
      <c r="D22" s="31">
        <f>IFERROR(__xludf.DUMMYFUNCTION("GOOGLEFINANCE(""NSE:""&amp;UPPER(TRIM(E22)),""marketcap"")/10000000"),25278.7943487)</f>
        <v>25278.79435</v>
      </c>
      <c r="E22" s="32" t="s">
        <v>125</v>
      </c>
      <c r="F22" s="39">
        <f>IFERROR(__xludf.DUMMYFUNCTION("IF(OR(E22="""",A22=""""),"""",
 IF(
   DATE(VALUE(RIGHT(A22,4)),VALUE(MID(A22,4,2)),VALUE(LEFT(A22,2)))&gt;=TODAY(),
   IFERROR(
     GOOGLEFINANCE(""NSE:""&amp;UPPER(TRIM(E22)),""price""),
     ""Not Available""
   ),
   IFERROR(
     INDEX(
       GOOGLEFINANC"&amp;"E(
         ""NSE:""&amp;UPPER(TRIM(E22)),
         ""close"",
         DATE(VALUE(RIGHT(A22,4)),VALUE(MID(A22,4,2)),VALUE(LEFT(A22,2))),
         DATE(VALUE(RIGHT(A22,4)),VALUE(MID(A22,4,2)),VALUE(LEFT(A22,2)))+1
       ),
       2,2
     ),
     ""Not Avail"&amp;"able""
   )
 ))"),409.3)</f>
        <v>409.3</v>
      </c>
      <c r="G22" s="42">
        <f>IFERROR(__xludf.DUMMYFUNCTION("IF(E22="""","""",IFERROR(GOOGLEFINANCE(""NSE:""&amp;UPPER(TRIM(E22)),""price""),""Not Available""))"),398.35)</f>
        <v>398.35</v>
      </c>
      <c r="H22" s="53">
        <f t="shared" si="1"/>
        <v>6</v>
      </c>
      <c r="I22" s="58">
        <f t="shared" si="2"/>
        <v>-0.02675299291</v>
      </c>
      <c r="J22" s="60">
        <f t="shared" si="3"/>
        <v>-2675.299291</v>
      </c>
      <c r="K22" s="62">
        <v>525.0</v>
      </c>
      <c r="L22" s="62">
        <v>398.0</v>
      </c>
      <c r="M22" s="68">
        <f t="shared" si="4"/>
        <v>0.2826777425</v>
      </c>
      <c r="N22" s="68">
        <f t="shared" si="5"/>
        <v>-0.02760811141</v>
      </c>
      <c r="O22" s="68">
        <v>0.0109943806499</v>
      </c>
      <c r="P22" s="23">
        <v>46286</v>
      </c>
      <c r="R22" s="68">
        <v>0.3693</v>
      </c>
      <c r="S22" s="23">
        <v>46203</v>
      </c>
      <c r="T22" s="23">
        <v>46283</v>
      </c>
      <c r="U22" s="39">
        <v>409.3</v>
      </c>
      <c r="V22" s="39">
        <v>428.019333333</v>
      </c>
      <c r="W22" t="inlineStr">
        <is>
          <t>Below 75 DMA</t>
        </is>
      </c>
    </row>
    <row r="23">
      <c r="A23" s="23">
        <v>46283.0</v>
      </c>
      <c r="B23" s="25" t="str">
        <f t="shared" si="6"/>
        <v>Friday</v>
      </c>
      <c r="C23" s="25" t="s">
        <v>101</v>
      </c>
      <c r="D23" s="31">
        <f>IFERROR(__xludf.DUMMYFUNCTION("GOOGLEFINANCE(""NSE:""&amp;UPPER(TRIM(E23)),""marketcap"")/10000000"),674.1914711)</f>
        <v>674.1914711</v>
      </c>
      <c r="E23" s="32" t="s">
        <v>127</v>
      </c>
      <c r="F23" s="39">
        <f>IFERROR(__xludf.DUMMYFUNCTION("IF(OR(E23="""",A23=""""),"""",
 IF(
   DATE(VALUE(RIGHT(A23,4)),VALUE(MID(A23,4,2)),VALUE(LEFT(A23,2)))&gt;=TODAY(),
   IFERROR(
     GOOGLEFINANCE(""NSE:""&amp;UPPER(TRIM(E23)),""price""),
     ""Not Available""
   ),
   IFERROR(
     INDEX(
       GOOGLEFINANC"&amp;"E(
         ""NSE:""&amp;UPPER(TRIM(E23)),
         ""close"",
         DATE(VALUE(RIGHT(A23,4)),VALUE(MID(A23,4,2)),VALUE(LEFT(A23,2))),
         DATE(VALUE(RIGHT(A23,4)),VALUE(MID(A23,4,2)),VALUE(LEFT(A23,2)))+1
       ),
       2,2
     ),
     ""Not Avail"&amp;"able""
   )
 ))"),697.85)</f>
        <v>697.85</v>
      </c>
      <c r="G23" s="42">
        <f>IFERROR(__xludf.DUMMYFUNCTION("IF(E23="""","""",IFERROR(GOOGLEFINANCE(""NSE:""&amp;UPPER(TRIM(E23)),""price""),""Not Available""))"),743.05)</f>
        <v>743.05</v>
      </c>
      <c r="H23" s="53">
        <f t="shared" si="1"/>
        <v>6</v>
      </c>
      <c r="I23" s="58">
        <f t="shared" si="2"/>
        <v>0.06477036612</v>
      </c>
      <c r="J23" s="60">
        <f t="shared" si="3"/>
        <v>6477.036612</v>
      </c>
      <c r="K23" s="62">
        <v>835.0</v>
      </c>
      <c r="L23" s="62">
        <v>342.0</v>
      </c>
      <c r="M23" s="68">
        <f t="shared" si="4"/>
        <v>0.1965322061</v>
      </c>
      <c r="N23" s="68">
        <f t="shared" si="5"/>
        <v>-0.509923336</v>
      </c>
      <c r="O23" s="68">
        <v>0.0200616178262</v>
      </c>
      <c r="P23" s="23">
        <v>46286</v>
      </c>
      <c r="T23" s="23">
        <v>46283</v>
      </c>
      <c r="U23" s="39">
        <v>697.85</v>
      </c>
      <c r="V23" s="39">
        <v>679.224666667</v>
      </c>
      <c r="W23" t="inlineStr">
        <is>
          <t>Above 75 DMA</t>
        </is>
      </c>
    </row>
    <row r="24">
      <c r="A24" s="23">
        <v>46283.0</v>
      </c>
      <c r="B24" s="25" t="str">
        <f t="shared" si="6"/>
        <v>Friday</v>
      </c>
      <c r="C24" s="25" t="s">
        <v>101</v>
      </c>
      <c r="D24" s="31">
        <f>IFERROR(__xludf.DUMMYFUNCTION("GOOGLEFINANCE(""NSE:""&amp;UPPER(TRIM(E24)),""marketcap"")/10000000"),7299.105294)</f>
        <v>7299.105294</v>
      </c>
      <c r="E24" s="32" t="s">
        <v>132</v>
      </c>
      <c r="F24" s="39">
        <f>IFERROR(__xludf.DUMMYFUNCTION("IF(OR(E24="""",A24=""""),"""",
 IF(
   DATE(VALUE(RIGHT(A24,4)),VALUE(MID(A24,4,2)),VALUE(LEFT(A24,2)))&gt;=TODAY(),
   IFERROR(
     GOOGLEFINANCE(""NSE:""&amp;UPPER(TRIM(E24)),""price""),
     ""Not Available""
   ),
   IFERROR(
     INDEX(
       GOOGLEFINANC"&amp;"E(
         ""NSE:""&amp;UPPER(TRIM(E24)),
         ""close"",
         DATE(VALUE(RIGHT(A24,4)),VALUE(MID(A24,4,2)),VALUE(LEFT(A24,2))),
         DATE(VALUE(RIGHT(A24,4)),VALUE(MID(A24,4,2)),VALUE(LEFT(A24,2)))+1
       ),
       2,2
     ),
     ""Not Avail"&amp;"able""
   )
 ))"),2422.8)</f>
        <v>2422.8</v>
      </c>
      <c r="G24" s="42">
        <f>IFERROR(__xludf.DUMMYFUNCTION("IF(E24="""","""",IFERROR(GOOGLEFINANCE(""NSE:""&amp;UPPER(TRIM(E24)),""price""),""Not Available""))"),2265.2)</f>
        <v>2265.2</v>
      </c>
      <c r="H24" s="53">
        <f t="shared" si="1"/>
        <v>6</v>
      </c>
      <c r="I24" s="58">
        <f t="shared" si="2"/>
        <v>-0.06504870398</v>
      </c>
      <c r="J24" s="60">
        <f t="shared" si="3"/>
        <v>-6504.870398</v>
      </c>
      <c r="K24" s="62">
        <v>2124.0</v>
      </c>
      <c r="L24" s="62">
        <v>2662.0</v>
      </c>
      <c r="M24" s="68">
        <f t="shared" si="4"/>
        <v>-0.1233283804</v>
      </c>
      <c r="N24" s="68">
        <f t="shared" si="5"/>
        <v>0.0987287436</v>
      </c>
      <c r="O24" s="68">
        <v>0</v>
      </c>
      <c r="P24" s="23">
        <v>46286</v>
      </c>
      <c r="R24" s="68">
        <v>0.2015</v>
      </c>
      <c r="S24" s="23">
        <v>46203</v>
      </c>
      <c r="T24" s="23">
        <v>46283</v>
      </c>
      <c r="U24" s="39">
        <v>2422.8</v>
      </c>
      <c r="V24" s="39">
        <v>2302.39066667</v>
      </c>
      <c r="W24" t="inlineStr">
        <is>
          <t>Above 75 DMA</t>
        </is>
      </c>
    </row>
    <row r="25">
      <c r="A25" s="23">
        <v>46282.0</v>
      </c>
      <c r="B25" s="25" t="str">
        <f t="shared" si="6"/>
        <v>Thursday</v>
      </c>
      <c r="C25" s="25" t="s">
        <v>101</v>
      </c>
      <c r="D25" s="31">
        <f>IFERROR(__xludf.DUMMYFUNCTION("GOOGLEFINANCE(""NSE:""&amp;UPPER(TRIM(E25)),""marketcap"")/10000000"),25278.7943487)</f>
        <v>25278.79435</v>
      </c>
      <c r="E25" s="32" t="s">
        <v>125</v>
      </c>
      <c r="F25" s="39">
        <f>IFERROR(__xludf.DUMMYFUNCTION("IF(OR(E25="""",A25=""""),"""",
 IF(
   DATE(VALUE(RIGHT(A25,4)),VALUE(MID(A25,4,2)),VALUE(LEFT(A25,2)))&gt;=TODAY(),
   IFERROR(
     GOOGLEFINANCE(""NSE:""&amp;UPPER(TRIM(E25)),""price""),
     ""Not Available""
   ),
   IFERROR(
     INDEX(
       GOOGLEFINANC"&amp;"E(
         ""NSE:""&amp;UPPER(TRIM(E25)),
         ""close"",
         DATE(VALUE(RIGHT(A25,4)),VALUE(MID(A25,4,2)),VALUE(LEFT(A25,2))),
         DATE(VALUE(RIGHT(A25,4)),VALUE(MID(A25,4,2)),VALUE(LEFT(A25,2)))+1
       ),
       2,2
     ),
     ""Not Avail"&amp;"able""
   )
 ))"),412.15)</f>
        <v>412.15</v>
      </c>
      <c r="G25" s="42">
        <f>IFERROR(__xludf.DUMMYFUNCTION("IF(E25="""","""",IFERROR(GOOGLEFINANCE(""NSE:""&amp;UPPER(TRIM(E25)),""price""),""Not Available""))"),398.35)</f>
        <v>398.35</v>
      </c>
      <c r="H25" s="53">
        <f t="shared" si="1"/>
        <v>7</v>
      </c>
      <c r="I25" s="58">
        <f t="shared" si="2"/>
        <v>-0.03348295523</v>
      </c>
      <c r="J25" s="60">
        <f t="shared" si="3"/>
        <v>-3348.295523</v>
      </c>
      <c r="K25" s="62">
        <v>525.0</v>
      </c>
      <c r="L25" s="62">
        <v>398.0</v>
      </c>
      <c r="M25" s="68">
        <f t="shared" si="4"/>
        <v>0.2738080796</v>
      </c>
      <c r="N25" s="68">
        <f t="shared" si="5"/>
        <v>-0.03433216062</v>
      </c>
      <c r="O25" s="68">
        <v>0.0160135872862</v>
      </c>
      <c r="P25" s="23">
        <v>46283</v>
      </c>
      <c r="R25" s="68">
        <v>0.3693</v>
      </c>
      <c r="S25" s="23">
        <v>46203</v>
      </c>
      <c r="T25" s="23">
        <v>46282</v>
      </c>
      <c r="U25" s="39">
        <v>412.15</v>
      </c>
      <c r="V25" s="39">
        <v>427.777333333</v>
      </c>
      <c r="W25" t="inlineStr">
        <is>
          <t>Below 75 DMA</t>
        </is>
      </c>
    </row>
    <row r="26">
      <c r="A26" s="23">
        <v>46282.0</v>
      </c>
      <c r="B26" s="25" t="str">
        <f t="shared" si="6"/>
        <v>Thursday</v>
      </c>
      <c r="C26" s="25" t="s">
        <v>101</v>
      </c>
      <c r="D26" s="31">
        <f>IFERROR(__xludf.DUMMYFUNCTION("GOOGLEFINANCE(""NSE:""&amp;UPPER(TRIM(E26)),""marketcap"")/10000000"),67626.852)</f>
        <v>67626.852</v>
      </c>
      <c r="E26" s="32" t="s">
        <v>106</v>
      </c>
      <c r="F26" s="39">
        <f>IFERROR(__xludf.DUMMYFUNCTION("IF(OR(E26="""",A26=""""),"""",
 IF(
   DATE(VALUE(RIGHT(A26,4)),VALUE(MID(A26,4,2)),VALUE(LEFT(A26,2)))&gt;=TODAY(),
   IFERROR(
     GOOGLEFINANCE(""NSE:""&amp;UPPER(TRIM(E26)),""price""),
     ""Not Available""
   ),
   IFERROR(
     INDEX(
       GOOGLEFINANC"&amp;"E(
         ""NSE:""&amp;UPPER(TRIM(E26)),
         ""close"",
         DATE(VALUE(RIGHT(A26,4)),VALUE(MID(A26,4,2)),VALUE(LEFT(A26,2))),
         DATE(VALUE(RIGHT(A26,4)),VALUE(MID(A26,4,2)),VALUE(LEFT(A26,2)))+1
       ),
       2,2
     ),
     ""Not Avail"&amp;"able""
   )
 ))"),490.5)</f>
        <v>490.5</v>
      </c>
      <c r="G26" s="42">
        <f>IFERROR(__xludf.DUMMYFUNCTION("IF(E26="""","""",IFERROR(GOOGLEFINANCE(""NSE:""&amp;UPPER(TRIM(E26)),""price""),""Not Available""))"),465.75)</f>
        <v>465.75</v>
      </c>
      <c r="H26" s="53">
        <f t="shared" si="1"/>
        <v>7</v>
      </c>
      <c r="I26" s="58">
        <f t="shared" si="2"/>
        <v>-0.0504587156</v>
      </c>
      <c r="J26" s="60">
        <f t="shared" si="3"/>
        <v>-5045.87156</v>
      </c>
      <c r="K26" s="62">
        <v>596.0</v>
      </c>
      <c r="L26" s="62">
        <v>460.0</v>
      </c>
      <c r="M26" s="68">
        <f t="shared" si="4"/>
        <v>0.2150866463</v>
      </c>
      <c r="N26" s="68">
        <f t="shared" si="5"/>
        <v>-0.0621814475</v>
      </c>
      <c r="O26" s="68">
        <v>0.0223241590214</v>
      </c>
      <c r="P26" s="23">
        <v>46283</v>
      </c>
      <c r="R26" s="68">
        <v>0.7273</v>
      </c>
      <c r="S26" s="23">
        <v>46203</v>
      </c>
      <c r="T26" s="23">
        <v>46282</v>
      </c>
      <c r="U26" s="39">
        <v>490.5</v>
      </c>
      <c r="V26" s="39">
        <v>496.24</v>
      </c>
      <c r="W26" t="inlineStr">
        <is>
          <t>Below 75 DMA</t>
        </is>
      </c>
    </row>
    <row r="27">
      <c r="A27" s="23">
        <v>46282.0</v>
      </c>
      <c r="B27" s="25" t="str">
        <f t="shared" si="6"/>
        <v>Thursday</v>
      </c>
      <c r="C27" s="25" t="s">
        <v>101</v>
      </c>
      <c r="D27" s="31">
        <f>IFERROR(__xludf.DUMMYFUNCTION("GOOGLEFINANCE(""NSE:""&amp;UPPER(TRIM(E27)),""marketcap"")/10000000"),1292.1885882)</f>
        <v>1292.188588</v>
      </c>
      <c r="E27" s="32" t="s">
        <v>137</v>
      </c>
      <c r="F27" s="39">
        <f>IFERROR(__xludf.DUMMYFUNCTION("IF(OR(E27="""",A27=""""),"""",
 IF(
   DATE(VALUE(RIGHT(A27,4)),VALUE(MID(A27,4,2)),VALUE(LEFT(A27,2)))&gt;=TODAY(),
   IFERROR(
     GOOGLEFINANCE(""NSE:""&amp;UPPER(TRIM(E27)),""price""),
     ""Not Available""
   ),
   IFERROR(
     INDEX(
       GOOGLEFINANC"&amp;"E(
         ""NSE:""&amp;UPPER(TRIM(E27)),
         ""close"",
         DATE(VALUE(RIGHT(A27,4)),VALUE(MID(A27,4,2)),VALUE(LEFT(A27,2))),
         DATE(VALUE(RIGHT(A27,4)),VALUE(MID(A27,4,2)),VALUE(LEFT(A27,2)))+1
       ),
       2,2
     ),
     ""Not Avail"&amp;"able""
   )
 ))"),1062.7)</f>
        <v>1062.7</v>
      </c>
      <c r="G27" s="42">
        <f>IFERROR(__xludf.DUMMYFUNCTION("IF(E27="""","""",IFERROR(GOOGLEFINANCE(""NSE:""&amp;UPPER(TRIM(E27)),""price""),""Not Available""))"),1053.8)</f>
        <v>1053.8</v>
      </c>
      <c r="H27" s="53">
        <f t="shared" si="1"/>
        <v>7</v>
      </c>
      <c r="I27" s="58">
        <f t="shared" si="2"/>
        <v>-0.008374894138</v>
      </c>
      <c r="J27" s="60">
        <f t="shared" si="3"/>
        <v>-837.4894138</v>
      </c>
      <c r="K27" s="62">
        <v>1314.0</v>
      </c>
      <c r="L27" s="62">
        <v>859.0</v>
      </c>
      <c r="M27" s="68">
        <f t="shared" si="4"/>
        <v>0.2364731345</v>
      </c>
      <c r="N27" s="68">
        <f t="shared" si="5"/>
        <v>-0.1916815658</v>
      </c>
      <c r="O27" s="68">
        <v>0.0265361814247</v>
      </c>
      <c r="P27" s="23">
        <v>46283</v>
      </c>
      <c r="R27" s="68">
        <v>0.3924</v>
      </c>
      <c r="S27" s="23">
        <v>46203</v>
      </c>
      <c r="T27" s="23">
        <v>46282</v>
      </c>
      <c r="U27" s="39">
        <v>1062.7</v>
      </c>
      <c r="V27" s="39">
        <v>1088.452</v>
      </c>
      <c r="W27" t="inlineStr">
        <is>
          <t>Below 75 DMA</t>
        </is>
      </c>
    </row>
    <row r="28">
      <c r="A28" s="23">
        <v>46282.0</v>
      </c>
      <c r="B28" s="25" t="str">
        <f t="shared" si="6"/>
        <v>Thursday</v>
      </c>
      <c r="C28" s="25" t="s">
        <v>101</v>
      </c>
      <c r="D28" s="31">
        <f>IFERROR(__xludf.DUMMYFUNCTION("GOOGLEFINANCE(""NSE:""&amp;UPPER(TRIM(E28)),""marketcap"")/10000000"),600.9431923)</f>
        <v>600.9431923</v>
      </c>
      <c r="E28" s="32" t="s">
        <v>140</v>
      </c>
      <c r="F28" s="39">
        <f>IFERROR(__xludf.DUMMYFUNCTION("IF(OR(E28="""",A28=""""),"""",
 IF(
   DATE(VALUE(RIGHT(A28,4)),VALUE(MID(A28,4,2)),VALUE(LEFT(A28,2)))&gt;=TODAY(),
   IFERROR(
     GOOGLEFINANCE(""NSE:""&amp;UPPER(TRIM(E28)),""price""),
     ""Not Available""
   ),
   IFERROR(
     INDEX(
       GOOGLEFINANC"&amp;"E(
         ""NSE:""&amp;UPPER(TRIM(E28)),
         ""close"",
         DATE(VALUE(RIGHT(A28,4)),VALUE(MID(A28,4,2)),VALUE(LEFT(A28,2))),
         DATE(VALUE(RIGHT(A28,4)),VALUE(MID(A28,4,2)),VALUE(LEFT(A28,2)))+1
       ),
       2,2
     ),
     ""Not Avail"&amp;"able""
   )
 ))"),949.95)</f>
        <v>949.95</v>
      </c>
      <c r="G28" s="42">
        <f>IFERROR(__xludf.DUMMYFUNCTION("IF(E28="""","""",IFERROR(GOOGLEFINANCE(""NSE:""&amp;UPPER(TRIM(E28)),""price""),""Not Available""))"),963.05)</f>
        <v>963.05</v>
      </c>
      <c r="H28" s="53">
        <f t="shared" si="1"/>
        <v>7</v>
      </c>
      <c r="I28" s="58">
        <f t="shared" si="2"/>
        <v>0.01379019948</v>
      </c>
      <c r="J28" s="60">
        <f t="shared" si="3"/>
        <v>1379.019948</v>
      </c>
      <c r="K28" s="62">
        <v>1182.0</v>
      </c>
      <c r="L28" s="62">
        <v>720.0</v>
      </c>
      <c r="M28" s="68">
        <f t="shared" si="4"/>
        <v>0.2442760145</v>
      </c>
      <c r="N28" s="68">
        <f t="shared" si="5"/>
        <v>-0.2420653719</v>
      </c>
      <c r="O28" s="68">
        <v>0.033738617822</v>
      </c>
      <c r="P28" s="23">
        <v>46286</v>
      </c>
      <c r="R28" s="68">
        <v>0.7368</v>
      </c>
      <c r="S28" s="23">
        <v>46203</v>
      </c>
      <c r="T28" s="23">
        <v>46282</v>
      </c>
      <c r="U28" s="39">
        <v>949.95</v>
      </c>
      <c r="V28" s="39">
        <v>1007.25266667</v>
      </c>
      <c r="W28" t="inlineStr">
        <is>
          <t>Below 75 DMA</t>
        </is>
      </c>
    </row>
    <row r="29">
      <c r="A29" s="23">
        <v>46282.0</v>
      </c>
      <c r="B29" s="25" t="str">
        <f t="shared" si="6"/>
        <v>Thursday</v>
      </c>
      <c r="C29" s="25" t="s">
        <v>101</v>
      </c>
      <c r="D29" s="31">
        <f>IFERROR(__xludf.DUMMYFUNCTION("GOOGLEFINANCE(""NSE:""&amp;UPPER(TRIM(E29)),""marketcap"")/10000000"),1481.4450849)</f>
        <v>1481.445085</v>
      </c>
      <c r="E29" s="32" t="s">
        <v>143</v>
      </c>
      <c r="F29" s="39">
        <f>IFERROR(__xludf.DUMMYFUNCTION("IF(OR(E29="""",A29=""""),"""",
 IF(
   DATE(VALUE(RIGHT(A29,4)),VALUE(MID(A29,4,2)),VALUE(LEFT(A29,2)))&gt;=TODAY(),
   IFERROR(
     GOOGLEFINANCE(""NSE:""&amp;UPPER(TRIM(E29)),""price""),
     ""Not Available""
   ),
   IFERROR(
     INDEX(
       GOOGLEFINANC"&amp;"E(
         ""NSE:""&amp;UPPER(TRIM(E29)),
         ""close"",
         DATE(VALUE(RIGHT(A29,4)),VALUE(MID(A29,4,2)),VALUE(LEFT(A29,2))),
         DATE(VALUE(RIGHT(A29,4)),VALUE(MID(A29,4,2)),VALUE(LEFT(A29,2)))+1
       ),
       2,2
     ),
     ""Not Avail"&amp;"able""
   )
 ))"),67.62)</f>
        <v>67.62</v>
      </c>
      <c r="G29" s="42">
        <f>IFERROR(__xludf.DUMMYFUNCTION("IF(E29="""","""",IFERROR(GOOGLEFINANCE(""NSE:""&amp;UPPER(TRIM(E29)),""price""),""Not Available""))"),66.74)</f>
        <v>66.74</v>
      </c>
      <c r="H29" s="53">
        <f t="shared" si="1"/>
        <v>7</v>
      </c>
      <c r="I29" s="58">
        <f t="shared" si="2"/>
        <v>-0.01301390121</v>
      </c>
      <c r="J29" s="60">
        <f t="shared" si="3"/>
        <v>-1301.390121</v>
      </c>
      <c r="K29" s="62">
        <v>85.0</v>
      </c>
      <c r="L29" s="62">
        <v>63.0</v>
      </c>
      <c r="M29" s="68">
        <f t="shared" si="4"/>
        <v>0.257024549</v>
      </c>
      <c r="N29" s="68">
        <f t="shared" si="5"/>
        <v>-0.06832298137</v>
      </c>
      <c r="O29" s="68">
        <v>0.0127181307306</v>
      </c>
      <c r="P29" s="23">
        <v>46283</v>
      </c>
      <c r="T29" s="23">
        <v>46282</v>
      </c>
      <c r="U29" s="39">
        <v>67.62</v>
      </c>
      <c r="V29" s="39">
        <v>68.936</v>
      </c>
      <c r="W29" t="inlineStr">
        <is>
          <t>Below 75 DMA</t>
        </is>
      </c>
    </row>
    <row r="30">
      <c r="A30" s="23">
        <v>46281.0</v>
      </c>
      <c r="B30" s="25" t="str">
        <f t="shared" si="6"/>
        <v>Wednesday</v>
      </c>
      <c r="C30" s="25" t="s">
        <v>101</v>
      </c>
      <c r="D30" s="31">
        <f>IFERROR(__xludf.DUMMYFUNCTION("GOOGLEFINANCE(""NSE:""&amp;UPPER(TRIM(E30)),""marketcap"")/10000000"),2544.8913973)</f>
        <v>2544.891397</v>
      </c>
      <c r="E30" s="32" t="s">
        <v>145</v>
      </c>
      <c r="F30" s="39">
        <f>IFERROR(__xludf.DUMMYFUNCTION("IF(OR(E30="""",A30=""""),"""",
 IF(
   DATE(VALUE(RIGHT(A30,4)),VALUE(MID(A30,4,2)),VALUE(LEFT(A30,2)))&gt;=TODAY(),
   IFERROR(
     GOOGLEFINANCE(""NSE:""&amp;UPPER(TRIM(E30)),""price""),
     ""Not Available""
   ),
   IFERROR(
     INDEX(
       GOOGLEFINANC"&amp;"E(
         ""NSE:""&amp;UPPER(TRIM(E30)),
         ""close"",
         DATE(VALUE(RIGHT(A30,4)),VALUE(MID(A30,4,2)),VALUE(LEFT(A30,2))),
         DATE(VALUE(RIGHT(A30,4)),VALUE(MID(A30,4,2)),VALUE(LEFT(A30,2)))+1
       ),
       2,2
     ),
     ""Not Avail"&amp;"able""
   )
 ))"),446.8)</f>
        <v>446.8</v>
      </c>
      <c r="G30" s="42">
        <f>IFERROR(__xludf.DUMMYFUNCTION("IF(E30="""","""",IFERROR(GOOGLEFINANCE(""NSE:""&amp;UPPER(TRIM(E30)),""price""),""Not Available""))"),457.45)</f>
        <v>457.45</v>
      </c>
      <c r="H30" s="53">
        <f t="shared" si="1"/>
        <v>8</v>
      </c>
      <c r="I30" s="58">
        <f t="shared" si="2"/>
        <v>0.02383616831</v>
      </c>
      <c r="J30" s="60">
        <f t="shared" si="3"/>
        <v>2383.616831</v>
      </c>
      <c r="K30" s="62">
        <v>616.0</v>
      </c>
      <c r="L30" s="62">
        <v>463.0</v>
      </c>
      <c r="M30" s="68">
        <f t="shared" si="4"/>
        <v>0.3786929275</v>
      </c>
      <c r="N30" s="68">
        <f t="shared" si="5"/>
        <v>0.03625783348</v>
      </c>
      <c r="O30" s="68">
        <v>0.02842435094</v>
      </c>
      <c r="P30" s="23">
        <v>46288</v>
      </c>
      <c r="R30" s="68">
        <v>0.7498</v>
      </c>
      <c r="S30" s="23">
        <v>46203</v>
      </c>
      <c r="T30" s="23">
        <v>46281</v>
      </c>
      <c r="U30" s="39">
        <v>446.8</v>
      </c>
      <c r="V30" s="39">
        <v>412.426666667</v>
      </c>
      <c r="W30" t="inlineStr">
        <is>
          <t>Above 75 DMA</t>
        </is>
      </c>
    </row>
    <row r="31">
      <c r="A31" s="23">
        <v>46281.0</v>
      </c>
      <c r="B31" s="25" t="str">
        <f t="shared" si="6"/>
        <v>Wednesday</v>
      </c>
      <c r="C31" s="25" t="s">
        <v>101</v>
      </c>
      <c r="D31" s="31">
        <f>IFERROR(__xludf.DUMMYFUNCTION("GOOGLEFINANCE(""NSE:""&amp;UPPER(TRIM(E31)),""marketcap"")/10000000"),67626.852)</f>
        <v>67626.852</v>
      </c>
      <c r="E31" s="32" t="s">
        <v>106</v>
      </c>
      <c r="F31" s="39">
        <f>IFERROR(__xludf.DUMMYFUNCTION("IF(OR(E31="""",A31=""""),"""",
 IF(
   DATE(VALUE(RIGHT(A31,4)),VALUE(MID(A31,4,2)),VALUE(LEFT(A31,2)))&gt;=TODAY(),
   IFERROR(
     GOOGLEFINANCE(""NSE:""&amp;UPPER(TRIM(E31)),""price""),
     ""Not Available""
   ),
   IFERROR(
     INDEX(
       GOOGLEFINANC"&amp;"E(
         ""NSE:""&amp;UPPER(TRIM(E31)),
         ""close"",
         DATE(VALUE(RIGHT(A31,4)),VALUE(MID(A31,4,2)),VALUE(LEFT(A31,2))),
         DATE(VALUE(RIGHT(A31,4)),VALUE(MID(A31,4,2)),VALUE(LEFT(A31,2)))+1
       ),
       2,2
     ),
     ""Not Avail"&amp;"able""
   )
 ))"),470.0)</f>
        <v>470</v>
      </c>
      <c r="G31" s="42">
        <f>IFERROR(__xludf.DUMMYFUNCTION("IF(E31="""","""",IFERROR(GOOGLEFINANCE(""NSE:""&amp;UPPER(TRIM(E31)),""price""),""Not Available""))"),465.75)</f>
        <v>465.75</v>
      </c>
      <c r="H31" s="53">
        <f t="shared" si="1"/>
        <v>8</v>
      </c>
      <c r="I31" s="58">
        <f t="shared" si="2"/>
        <v>-0.009042553191</v>
      </c>
      <c r="J31" s="60">
        <f t="shared" si="3"/>
        <v>-904.2553191</v>
      </c>
      <c r="K31" s="62">
        <v>596.0</v>
      </c>
      <c r="L31" s="62">
        <v>460.0</v>
      </c>
      <c r="M31" s="68">
        <f t="shared" si="4"/>
        <v>0.2680851064</v>
      </c>
      <c r="N31" s="68">
        <f t="shared" si="5"/>
        <v>-0.02127659574</v>
      </c>
      <c r="O31" s="68">
        <v>0.066914893617</v>
      </c>
      <c r="P31" s="23">
        <v>46283</v>
      </c>
      <c r="R31" s="68">
        <v>0.7273</v>
      </c>
      <c r="S31" s="23">
        <v>46203</v>
      </c>
      <c r="T31" s="23">
        <v>46281</v>
      </c>
      <c r="U31" s="39">
        <v>470</v>
      </c>
      <c r="V31" s="39">
        <v>496.132666667</v>
      </c>
      <c r="W31" t="inlineStr">
        <is>
          <t>Below 75 DMA</t>
        </is>
      </c>
    </row>
    <row r="32">
      <c r="A32" s="23">
        <v>46281.0</v>
      </c>
      <c r="B32" s="25" t="str">
        <f t="shared" si="6"/>
        <v>Wednesday</v>
      </c>
      <c r="C32" s="25" t="s">
        <v>101</v>
      </c>
      <c r="D32" s="31">
        <f>IFERROR(__xludf.DUMMYFUNCTION("GOOGLEFINANCE(""NSE:""&amp;UPPER(TRIM(E32)),""marketcap"")/10000000"),25278.7943487)</f>
        <v>25278.79435</v>
      </c>
      <c r="E32" s="32" t="s">
        <v>125</v>
      </c>
      <c r="F32" s="39">
        <f>IFERROR(__xludf.DUMMYFUNCTION("IF(OR(E32="""",A32=""""),"""",
 IF(
   DATE(VALUE(RIGHT(A32,4)),VALUE(MID(A32,4,2)),VALUE(LEFT(A32,2)))&gt;=TODAY(),
   IFERROR(
     GOOGLEFINANCE(""NSE:""&amp;UPPER(TRIM(E32)),""price""),
     ""Not Available""
   ),
   IFERROR(
     INDEX(
       GOOGLEFINANC"&amp;"E(
         ""NSE:""&amp;UPPER(TRIM(E32)),
         ""close"",
         DATE(VALUE(RIGHT(A32,4)),VALUE(MID(A32,4,2)),VALUE(LEFT(A32,2))),
         DATE(VALUE(RIGHT(A32,4)),VALUE(MID(A32,4,2)),VALUE(LEFT(A32,2)))+1
       ),
       2,2
     ),
     ""Not Avail"&amp;"able""
   )
 ))"),411.95)</f>
        <v>411.95</v>
      </c>
      <c r="G32" s="42">
        <f>IFERROR(__xludf.DUMMYFUNCTION("IF(E32="""","""",IFERROR(GOOGLEFINANCE(""NSE:""&amp;UPPER(TRIM(E32)),""price""),""Not Available""))"),398.35)</f>
        <v>398.35</v>
      </c>
      <c r="H32" s="53">
        <f t="shared" si="1"/>
        <v>8</v>
      </c>
      <c r="I32" s="58">
        <f t="shared" si="2"/>
        <v>-0.03301371526</v>
      </c>
      <c r="J32" s="60">
        <f t="shared" si="3"/>
        <v>-3301.371526</v>
      </c>
      <c r="K32" s="62">
        <v>525.0</v>
      </c>
      <c r="L32" s="62">
        <v>398.0</v>
      </c>
      <c r="M32" s="68">
        <f t="shared" si="4"/>
        <v>0.2744265081</v>
      </c>
      <c r="N32" s="68">
        <f t="shared" si="5"/>
        <v>-0.03386333293</v>
      </c>
      <c r="O32" s="68">
        <v>0.0165068576284</v>
      </c>
      <c r="P32" s="23">
        <v>46283</v>
      </c>
      <c r="R32" s="68">
        <v>0.3693</v>
      </c>
      <c r="S32" s="23">
        <v>46203</v>
      </c>
      <c r="T32" s="23">
        <v>46281</v>
      </c>
      <c r="U32" s="39">
        <v>411.95</v>
      </c>
      <c r="V32" s="39">
        <v>427.505333333</v>
      </c>
      <c r="W32" t="inlineStr">
        <is>
          <t>Below 75 DMA</t>
        </is>
      </c>
    </row>
    <row r="33">
      <c r="A33" s="23">
        <v>46275.0</v>
      </c>
      <c r="B33" s="25" t="str">
        <f t="shared" si="6"/>
        <v>Thursday</v>
      </c>
      <c r="C33" s="25" t="s">
        <v>156</v>
      </c>
      <c r="D33" s="31">
        <f>IFERROR(__xludf.DUMMYFUNCTION("GOOGLEFINANCE(""NSE:""&amp;UPPER(TRIM(E33)),""marketcap"")/10000000"),99.7986846)</f>
        <v>99.7986846</v>
      </c>
      <c r="E33" s="32" t="s">
        <v>157</v>
      </c>
      <c r="F33" s="39">
        <f>IFERROR(__xludf.DUMMYFUNCTION("IF(OR(E33="""",A33=""""),"""",
 IF(
   DATE(VALUE(RIGHT(A33,4)),VALUE(MID(A33,4,2)),VALUE(LEFT(A33,2)))&gt;=TODAY(),
   IFERROR(
     GOOGLEFINANCE(""NSE:""&amp;UPPER(TRIM(E33)),""price""),
     ""Not Available""
   ),
   IFERROR(
     INDEX(
       GOOGLEFINANC"&amp;"E(
         ""NSE:""&amp;UPPER(TRIM(E33)),
         ""close"",
         DATE(VALUE(RIGHT(A33,4)),VALUE(MID(A33,4,2)),VALUE(LEFT(A33,2))),
         DATE(VALUE(RIGHT(A33,4)),VALUE(MID(A33,4,2)),VALUE(LEFT(A33,2)))+1
       ),
       2,2
     ),
     ""Not Avail"&amp;"able""
   )
 ))"),79.19)</f>
        <v>79.19</v>
      </c>
      <c r="G33" s="42">
        <f>IFERROR(__xludf.DUMMYFUNCTION("IF(E33="""","""",IFERROR(GOOGLEFINANCE(""NSE:""&amp;UPPER(TRIM(E33)),""price""),""Not Available""))"),98.01)</f>
        <v>98.01</v>
      </c>
      <c r="H33" s="53">
        <f t="shared" si="1"/>
        <v>14</v>
      </c>
      <c r="I33" s="58">
        <f t="shared" si="2"/>
        <v>0.2376562697</v>
      </c>
      <c r="J33" s="60">
        <f t="shared" si="3"/>
        <v>23765.62697</v>
      </c>
      <c r="K33" s="62">
        <v>119.0</v>
      </c>
      <c r="L33" s="62">
        <v>822.0</v>
      </c>
      <c r="M33" s="68">
        <f t="shared" si="4"/>
        <v>0.5027149893</v>
      </c>
      <c r="N33" s="68">
        <f t="shared" si="5"/>
        <v>9.380098497</v>
      </c>
      <c r="O33" s="68">
        <v>0.342341204698</v>
      </c>
      <c r="P33" s="23">
        <v>46287</v>
      </c>
      <c r="R33" s="68">
        <v>0.6959</v>
      </c>
      <c r="S33" s="23">
        <v>46203</v>
      </c>
      <c r="T33" s="23">
        <v>46275</v>
      </c>
      <c r="U33" s="39">
        <v>79.19</v>
      </c>
      <c r="V33" s="39">
        <v>78.324</v>
      </c>
      <c r="W33" t="inlineStr">
        <is>
          <t>Above 75 DMA</t>
        </is>
      </c>
    </row>
    <row r="34">
      <c r="A34" s="23">
        <v>46275.0</v>
      </c>
      <c r="B34" s="25" t="str">
        <f t="shared" si="6"/>
        <v>Thursday</v>
      </c>
      <c r="C34" s="25" t="s">
        <v>156</v>
      </c>
      <c r="D34" s="31">
        <f>IFERROR(__xludf.DUMMYFUNCTION("GOOGLEFINANCE(""NSE:""&amp;UPPER(TRIM(E34)),""marketcap"")/10000000"),901.721728)</f>
        <v>901.721728</v>
      </c>
      <c r="E34" s="32" t="s">
        <v>160</v>
      </c>
      <c r="F34" s="39">
        <f>IFERROR(__xludf.DUMMYFUNCTION("IF(OR(E34="""",A34=""""),"""",
 IF(
   DATE(VALUE(RIGHT(A34,4)),VALUE(MID(A34,4,2)),VALUE(LEFT(A34,2)))&gt;=TODAY(),
   IFERROR(
     GOOGLEFINANCE(""NSE:""&amp;UPPER(TRIM(E34)),""price""),
     ""Not Available""
   ),
   IFERROR(
     INDEX(
       GOOGLEFINANC"&amp;"E(
         ""NSE:""&amp;UPPER(TRIM(E34)),
         ""close"",
         DATE(VALUE(RIGHT(A34,4)),VALUE(MID(A34,4,2)),VALUE(LEFT(A34,2))),
         DATE(VALUE(RIGHT(A34,4)),VALUE(MID(A34,4,2)),VALUE(LEFT(A34,2)))+1
       ),
       2,2
     ),
     ""Not Avail"&amp;"able""
   )
 ))"),91.21)</f>
        <v>91.21</v>
      </c>
      <c r="G34" s="42">
        <f>IFERROR(__xludf.DUMMYFUNCTION("IF(E34="""","""",IFERROR(GOOGLEFINANCE(""NSE:""&amp;UPPER(TRIM(E34)),""price""),""Not Available""))"),90.63)</f>
        <v>90.63</v>
      </c>
      <c r="H34" s="53">
        <f t="shared" si="1"/>
        <v>14</v>
      </c>
      <c r="I34" s="58">
        <f t="shared" si="2"/>
        <v>-0.006358951869</v>
      </c>
      <c r="J34" s="60">
        <f t="shared" si="3"/>
        <v>-635.8951869</v>
      </c>
      <c r="K34" s="62">
        <v>100.0</v>
      </c>
      <c r="L34" s="62">
        <v>60.0</v>
      </c>
      <c r="M34" s="68">
        <f t="shared" si="4"/>
        <v>0.09637101195</v>
      </c>
      <c r="N34" s="68">
        <f t="shared" si="5"/>
        <v>-0.3421773928</v>
      </c>
      <c r="O34" s="68">
        <v>0.0732375835983</v>
      </c>
      <c r="P34" s="23">
        <v>46282</v>
      </c>
      <c r="R34" s="68">
        <v>0.718</v>
      </c>
      <c r="S34" s="23">
        <v>46203</v>
      </c>
      <c r="T34" s="23">
        <v>46275</v>
      </c>
      <c r="U34" s="39">
        <v>91.21</v>
      </c>
      <c r="V34" s="39">
        <v>79.5238666667</v>
      </c>
      <c r="W34" t="inlineStr">
        <is>
          <t>Above 75 DMA</t>
        </is>
      </c>
    </row>
    <row r="35">
      <c r="A35" s="23">
        <v>46275.0</v>
      </c>
      <c r="B35" s="25" t="str">
        <f t="shared" si="6"/>
        <v>Thursday</v>
      </c>
      <c r="C35" s="25" t="s">
        <v>156</v>
      </c>
      <c r="D35" s="31">
        <f>IFERROR(__xludf.DUMMYFUNCTION("GOOGLEFINANCE(""NSE:""&amp;UPPER(TRIM(E35)),""marketcap"")/10000000"),246.6273795)</f>
        <v>246.6273795</v>
      </c>
      <c r="E35" s="32" t="s">
        <v>162</v>
      </c>
      <c r="F35" s="39">
        <f>IFERROR(__xludf.DUMMYFUNCTION("IF(OR(E35="""",A35=""""),"""",
 IF(
   DATE(VALUE(RIGHT(A35,4)),VALUE(MID(A35,4,2)),VALUE(LEFT(A35,2)))&gt;=TODAY(),
   IFERROR(
     GOOGLEFINANCE(""NSE:""&amp;UPPER(TRIM(E35)),""price""),
     ""Not Available""
   ),
   IFERROR(
     INDEX(
       GOOGLEFINANC"&amp;"E(
         ""NSE:""&amp;UPPER(TRIM(E35)),
         ""close"",
         DATE(VALUE(RIGHT(A35,4)),VALUE(MID(A35,4,2)),VALUE(LEFT(A35,2))),
         DATE(VALUE(RIGHT(A35,4)),VALUE(MID(A35,4,2)),VALUE(LEFT(A35,2)))+1
       ),
       2,2
     ),
     ""Not Avail"&amp;"able""
   )
 ))"),195.25)</f>
        <v>195.25</v>
      </c>
      <c r="G35" s="42">
        <f>IFERROR(__xludf.DUMMYFUNCTION("IF(E35="""","""",IFERROR(GOOGLEFINANCE(""NSE:""&amp;UPPER(TRIM(E35)),""price""),""Not Available""))"),223.8)</f>
        <v>223.8</v>
      </c>
      <c r="H35" s="53">
        <f t="shared" si="1"/>
        <v>14</v>
      </c>
      <c r="I35" s="58">
        <f t="shared" si="2"/>
        <v>0.1462227913</v>
      </c>
      <c r="J35" s="60">
        <f t="shared" si="3"/>
        <v>14622.27913</v>
      </c>
      <c r="K35" s="62">
        <v>162.0</v>
      </c>
      <c r="L35" s="62">
        <v>126.0</v>
      </c>
      <c r="M35" s="68">
        <f t="shared" si="4"/>
        <v>-0.1702944942</v>
      </c>
      <c r="N35" s="68">
        <f t="shared" si="5"/>
        <v>-0.3546734955</v>
      </c>
      <c r="O35" s="68">
        <v>0.306017925736</v>
      </c>
      <c r="P35" s="23">
        <v>46288</v>
      </c>
      <c r="R35" s="68">
        <v>0.735</v>
      </c>
      <c r="S35" s="23">
        <v>46203</v>
      </c>
      <c r="T35" s="23">
        <v>46275</v>
      </c>
      <c r="U35" s="39">
        <v>195.25</v>
      </c>
      <c r="V35" s="39">
        <v>165.020666667</v>
      </c>
      <c r="W35" t="inlineStr">
        <is>
          <t>Above 75 DMA</t>
        </is>
      </c>
    </row>
    <row r="36">
      <c r="A36" s="23">
        <v>46275.0</v>
      </c>
      <c r="B36" s="25" t="str">
        <f t="shared" si="6"/>
        <v>Thursday</v>
      </c>
      <c r="C36" s="25" t="s">
        <v>156</v>
      </c>
      <c r="D36" s="31">
        <f>IFERROR(__xludf.DUMMYFUNCTION("GOOGLEFINANCE(""NSE:""&amp;UPPER(TRIM(E36)),""marketcap"")/10000000"),167.6033372)</f>
        <v>167.6033372</v>
      </c>
      <c r="E36" s="32" t="s">
        <v>165</v>
      </c>
      <c r="F36" s="39">
        <f>IFERROR(__xludf.DUMMYFUNCTION("IF(OR(E36="""",A36=""""),"""",
 IF(
   DATE(VALUE(RIGHT(A36,4)),VALUE(MID(A36,4,2)),VALUE(LEFT(A36,2)))&gt;=TODAY(),
   IFERROR(
     GOOGLEFINANCE(""NSE:""&amp;UPPER(TRIM(E36)),""price""),
     ""Not Available""
   ),
   IFERROR(
     INDEX(
       GOOGLEFINANC"&amp;"E(
         ""NSE:""&amp;UPPER(TRIM(E36)),
         ""close"",
         DATE(VALUE(RIGHT(A36,4)),VALUE(MID(A36,4,2)),VALUE(LEFT(A36,2))),
         DATE(VALUE(RIGHT(A36,4)),VALUE(MID(A36,4,2)),VALUE(LEFT(A36,2)))+1
       ),
       2,2
     ),
     ""Not Avail"&amp;"able""
   )
 ))"),11.74)</f>
        <v>11.74</v>
      </c>
      <c r="G36" s="42">
        <f>IFERROR(__xludf.DUMMYFUNCTION("IF(E36="""","""",IFERROR(GOOGLEFINANCE(""NSE:""&amp;UPPER(TRIM(E36)),""price""),""Not Available""))"),10.34)</f>
        <v>10.34</v>
      </c>
      <c r="H36" s="53">
        <f t="shared" si="1"/>
        <v>14</v>
      </c>
      <c r="I36" s="58">
        <f t="shared" si="2"/>
        <v>-0.1192504259</v>
      </c>
      <c r="J36" s="60">
        <f t="shared" si="3"/>
        <v>-11925.04259</v>
      </c>
      <c r="K36" s="62">
        <v>13.0</v>
      </c>
      <c r="L36" s="62">
        <v>9.0</v>
      </c>
      <c r="M36" s="68">
        <f t="shared" si="4"/>
        <v>0.1073253833</v>
      </c>
      <c r="N36" s="68">
        <f t="shared" si="5"/>
        <v>-0.2333901193</v>
      </c>
      <c r="O36" s="68">
        <v>0.0357751277683</v>
      </c>
      <c r="P36" s="23">
        <v>46276</v>
      </c>
      <c r="R36" s="68">
        <v>0.4739</v>
      </c>
      <c r="S36" s="23">
        <v>46203</v>
      </c>
      <c r="T36" s="23">
        <v>46275</v>
      </c>
      <c r="U36" s="39">
        <v>11.74</v>
      </c>
      <c r="V36" s="39">
        <v>10.1192</v>
      </c>
      <c r="W36" t="inlineStr">
        <is>
          <t>Above 75 DMA</t>
        </is>
      </c>
    </row>
    <row r="37">
      <c r="A37" s="23">
        <v>46275.0</v>
      </c>
      <c r="B37" s="25" t="str">
        <f t="shared" si="6"/>
        <v>Thursday</v>
      </c>
      <c r="C37" s="25" t="s">
        <v>156</v>
      </c>
      <c r="D37" s="31">
        <f>IFERROR(__xludf.DUMMYFUNCTION("GOOGLEFINANCE(""NSE:""&amp;UPPER(TRIM(E37)),""marketcap"")/10000000"),6566.8350325)</f>
        <v>6566.835033</v>
      </c>
      <c r="E37" s="32" t="s">
        <v>169</v>
      </c>
      <c r="F37" s="39">
        <f>IFERROR(__xludf.DUMMYFUNCTION("IF(OR(E37="""",A37=""""),"""",
 IF(
   DATE(VALUE(RIGHT(A37,4)),VALUE(MID(A37,4,2)),VALUE(LEFT(A37,2)))&gt;=TODAY(),
   IFERROR(
     GOOGLEFINANCE(""NSE:""&amp;UPPER(TRIM(E37)),""price""),
     ""Not Available""
   ),
   IFERROR(
     INDEX(
       GOOGLEFINANC"&amp;"E(
         ""NSE:""&amp;UPPER(TRIM(E37)),
         ""close"",
         DATE(VALUE(RIGHT(A37,4)),VALUE(MID(A37,4,2)),VALUE(LEFT(A37,2))),
         DATE(VALUE(RIGHT(A37,4)),VALUE(MID(A37,4,2)),VALUE(LEFT(A37,2)))+1
       ),
       2,2
     ),
     ""Not Avail"&amp;"able""
   )
 ))"),524.45)</f>
        <v>524.45</v>
      </c>
      <c r="G37" s="42">
        <f>IFERROR(__xludf.DUMMYFUNCTION("IF(E37="""","""",IFERROR(GOOGLEFINANCE(""NSE:""&amp;UPPER(TRIM(E37)),""price""),""Not Available""))"),502.75)</f>
        <v>502.75</v>
      </c>
      <c r="H37" s="53">
        <f t="shared" si="1"/>
        <v>14</v>
      </c>
      <c r="I37" s="58">
        <f t="shared" si="2"/>
        <v>-0.04137668033</v>
      </c>
      <c r="J37" s="60">
        <f t="shared" si="3"/>
        <v>-4137.668033</v>
      </c>
      <c r="K37" s="62">
        <v>372.0</v>
      </c>
      <c r="L37" s="62">
        <v>769.0</v>
      </c>
      <c r="M37" s="68">
        <f t="shared" si="4"/>
        <v>-0.29068548</v>
      </c>
      <c r="N37" s="68">
        <f t="shared" si="5"/>
        <v>0.4662980265</v>
      </c>
      <c r="O37" s="68">
        <v>0.0102011631233</v>
      </c>
      <c r="P37" s="23">
        <v>46280</v>
      </c>
      <c r="R37" s="68">
        <v>0.4297</v>
      </c>
      <c r="S37" s="23">
        <v>46203</v>
      </c>
      <c r="T37" s="23">
        <v>46275</v>
      </c>
      <c r="U37" s="39">
        <v>524.45</v>
      </c>
      <c r="V37" s="39">
        <v>550.432666667</v>
      </c>
      <c r="W37" t="inlineStr">
        <is>
          <t>Below 75 DMA</t>
        </is>
      </c>
    </row>
    <row r="38">
      <c r="A38" s="23">
        <v>46275.0</v>
      </c>
      <c r="B38" s="25" t="str">
        <f t="shared" si="6"/>
        <v>Thursday</v>
      </c>
      <c r="C38" s="25" t="s">
        <v>156</v>
      </c>
      <c r="D38" s="31">
        <f>IFERROR(__xludf.DUMMYFUNCTION("GOOGLEFINANCE(""NSE:""&amp;UPPER(TRIM(E38)),""marketcap"")/10000000"),135.2551797)</f>
        <v>135.2551797</v>
      </c>
      <c r="E38" s="32" t="s">
        <v>173</v>
      </c>
      <c r="F38" s="39">
        <f>IFERROR(__xludf.DUMMYFUNCTION("IF(OR(E38="""",A38=""""),"""",
 IF(
   DATE(VALUE(RIGHT(A38,4)),VALUE(MID(A38,4,2)),VALUE(LEFT(A38,2)))&gt;=TODAY(),
   IFERROR(
     GOOGLEFINANCE(""NSE:""&amp;UPPER(TRIM(E38)),""price""),
     ""Not Available""
   ),
   IFERROR(
     INDEX(
       GOOGLEFINANC"&amp;"E(
         ""NSE:""&amp;UPPER(TRIM(E38)),
         ""close"",
         DATE(VALUE(RIGHT(A38,4)),VALUE(MID(A38,4,2)),VALUE(LEFT(A38,2))),
         DATE(VALUE(RIGHT(A38,4)),VALUE(MID(A38,4,2)),VALUE(LEFT(A38,2)))+1
       ),
       2,2
     ),
     ""Not Avail"&amp;"able""
   )
 ))"),114.47)</f>
        <v>114.47</v>
      </c>
      <c r="G38" s="42">
        <f>IFERROR(__xludf.DUMMYFUNCTION("IF(E38="""","""",IFERROR(GOOGLEFINANCE(""NSE:""&amp;UPPER(TRIM(E38)),""price""),""Not Available""))"),116.7)</f>
        <v>116.7</v>
      </c>
      <c r="H38" s="53">
        <f t="shared" si="1"/>
        <v>14</v>
      </c>
      <c r="I38" s="58">
        <f t="shared" si="2"/>
        <v>0.01948108675</v>
      </c>
      <c r="J38" s="60">
        <f t="shared" si="3"/>
        <v>1948.108675</v>
      </c>
      <c r="K38" s="62">
        <v>132.0</v>
      </c>
      <c r="L38" s="62">
        <v>65.0</v>
      </c>
      <c r="M38" s="68">
        <f t="shared" si="4"/>
        <v>0.1531405608</v>
      </c>
      <c r="N38" s="68">
        <f t="shared" si="5"/>
        <v>-0.4321656329</v>
      </c>
      <c r="O38" s="68">
        <v>0.153140560846</v>
      </c>
      <c r="P38" s="23">
        <v>46287</v>
      </c>
      <c r="R38" s="68">
        <v>0.6782</v>
      </c>
      <c r="S38" s="23">
        <v>46203</v>
      </c>
      <c r="T38" s="23">
        <v>46275</v>
      </c>
      <c r="U38" s="39">
        <v>114.47</v>
      </c>
      <c r="V38" s="39">
        <v>111.4116</v>
      </c>
      <c r="W38" t="inlineStr">
        <is>
          <t>Above 75 DMA</t>
        </is>
      </c>
    </row>
    <row r="39">
      <c r="A39" s="23">
        <v>46275.0</v>
      </c>
      <c r="B39" s="25" t="str">
        <f t="shared" si="6"/>
        <v>Thursday</v>
      </c>
      <c r="C39" s="25" t="s">
        <v>156</v>
      </c>
      <c r="D39" s="31">
        <f>IFERROR(__xludf.DUMMYFUNCTION("GOOGLEFINANCE(""NSE:""&amp;UPPER(TRIM(E39)),""marketcap"")/10000000"),10910.0759684)</f>
        <v>10910.07597</v>
      </c>
      <c r="E39" s="32" t="s">
        <v>177</v>
      </c>
      <c r="F39" s="39">
        <f>IFERROR(__xludf.DUMMYFUNCTION("IF(OR(E39="""",A39=""""),"""",
 IF(
   DATE(VALUE(RIGHT(A39,4)),VALUE(MID(A39,4,2)),VALUE(LEFT(A39,2)))&gt;=TODAY(),
   IFERROR(
     GOOGLEFINANCE(""NSE:""&amp;UPPER(TRIM(E39)),""price""),
     ""Not Available""
   ),
   IFERROR(
     INDEX(
       GOOGLEFINANC"&amp;"E(
         ""NSE:""&amp;UPPER(TRIM(E39)),
         ""close"",
         DATE(VALUE(RIGHT(A39,4)),VALUE(MID(A39,4,2)),VALUE(LEFT(A39,2))),
         DATE(VALUE(RIGHT(A39,4)),VALUE(MID(A39,4,2)),VALUE(LEFT(A39,2)))+1
       ),
       2,2
     ),
     ""Not Avail"&amp;"able""
   )
 ))"),13397.0)</f>
        <v>13397</v>
      </c>
      <c r="G39" s="42">
        <f>IFERROR(__xludf.DUMMYFUNCTION("IF(E39="""","""",IFERROR(GOOGLEFINANCE(""NSE:""&amp;UPPER(TRIM(E39)),""price""),""Not Available""))"),13762.0)</f>
        <v>13762</v>
      </c>
      <c r="H39" s="53">
        <f t="shared" si="1"/>
        <v>14</v>
      </c>
      <c r="I39" s="58">
        <f t="shared" si="2"/>
        <v>0.02724490558</v>
      </c>
      <c r="J39" s="60">
        <f t="shared" si="3"/>
        <v>2724.490558</v>
      </c>
      <c r="K39" s="62">
        <v>13113.0</v>
      </c>
      <c r="L39" s="62">
        <v>7172.0</v>
      </c>
      <c r="M39" s="68">
        <f t="shared" si="4"/>
        <v>-0.02119877585</v>
      </c>
      <c r="N39" s="68">
        <f t="shared" si="5"/>
        <v>-0.4646562663</v>
      </c>
      <c r="O39" s="68">
        <v>0.130850190341</v>
      </c>
      <c r="P39" s="23">
        <v>46287</v>
      </c>
      <c r="T39" s="23">
        <v>46275</v>
      </c>
      <c r="U39" s="39">
        <v>13397</v>
      </c>
      <c r="V39" s="39">
        <v>10575.9133333</v>
      </c>
      <c r="W39" t="inlineStr">
        <is>
          <t>Above 75 DMA</t>
        </is>
      </c>
    </row>
    <row r="40">
      <c r="A40" s="23">
        <v>46275.0</v>
      </c>
      <c r="B40" s="25" t="str">
        <f t="shared" si="6"/>
        <v>Thursday</v>
      </c>
      <c r="C40" s="25" t="s">
        <v>156</v>
      </c>
      <c r="D40" s="31">
        <f>IFERROR(__xludf.DUMMYFUNCTION("GOOGLEFINANCE(""NSE:""&amp;UPPER(TRIM(E40)),""marketcap"")/10000000"),22654.8992557)</f>
        <v>22654.89926</v>
      </c>
      <c r="E40" s="32" t="s">
        <v>181</v>
      </c>
      <c r="F40" s="39">
        <f>IFERROR(__xludf.DUMMYFUNCTION("IF(OR(E40="""",A40=""""),"""",
 IF(
   DATE(VALUE(RIGHT(A40,4)),VALUE(MID(A40,4,2)),VALUE(LEFT(A40,2)))&gt;=TODAY(),
   IFERROR(
     GOOGLEFINANCE(""NSE:""&amp;UPPER(TRIM(E40)),""price""),
     ""Not Available""
   ),
   IFERROR(
     INDEX(
       GOOGLEFINANC"&amp;"E(
         ""NSE:""&amp;UPPER(TRIM(E40)),
         ""close"",
         DATE(VALUE(RIGHT(A40,4)),VALUE(MID(A40,4,2)),VALUE(LEFT(A40,2))),
         DATE(VALUE(RIGHT(A40,4)),VALUE(MID(A40,4,2)),VALUE(LEFT(A40,2)))+1
       ),
       2,2
     ),
     ""Not Avail"&amp;"able""
   )
 ))"),1418.4)</f>
        <v>1418.4</v>
      </c>
      <c r="G40" s="42">
        <f>IFERROR(__xludf.DUMMYFUNCTION("IF(E40="""","""",IFERROR(GOOGLEFINANCE(""NSE:""&amp;UPPER(TRIM(E40)),""price""),""Not Available""))"),1481.3)</f>
        <v>1481.3</v>
      </c>
      <c r="H40" s="53">
        <f t="shared" si="1"/>
        <v>14</v>
      </c>
      <c r="I40" s="58">
        <f t="shared" si="2"/>
        <v>0.04434574168</v>
      </c>
      <c r="J40" s="60">
        <f t="shared" si="3"/>
        <v>4434.574168</v>
      </c>
      <c r="K40" s="62">
        <v>1473.0</v>
      </c>
      <c r="L40" s="62">
        <v>660.0</v>
      </c>
      <c r="M40" s="68">
        <f t="shared" si="4"/>
        <v>0.03849407783</v>
      </c>
      <c r="N40" s="68">
        <f t="shared" si="5"/>
        <v>-0.5346869712</v>
      </c>
      <c r="O40" s="68">
        <v>0.056119571348</v>
      </c>
      <c r="P40" s="23">
        <v>46276</v>
      </c>
      <c r="R40" s="68">
        <v>0.3586</v>
      </c>
      <c r="S40" s="23">
        <v>46203</v>
      </c>
      <c r="T40" s="23">
        <v>46275</v>
      </c>
      <c r="U40" s="39">
        <v>1418.4</v>
      </c>
      <c r="V40" s="39">
        <v>1123.304</v>
      </c>
      <c r="W40" t="inlineStr">
        <is>
          <t>Above 75 DMA</t>
        </is>
      </c>
    </row>
    <row r="41">
      <c r="A41" s="23">
        <v>46275.0</v>
      </c>
      <c r="B41" s="25" t="str">
        <f t="shared" si="6"/>
        <v>Thursday</v>
      </c>
      <c r="C41" s="25" t="s">
        <v>156</v>
      </c>
      <c r="D41" s="31">
        <f>IFERROR(__xludf.DUMMYFUNCTION("GOOGLEFINANCE(""NSE:""&amp;UPPER(TRIM(E41)),""marketcap"")/10000000"),1902.0975688)</f>
        <v>1902.097569</v>
      </c>
      <c r="E41" s="32" t="s">
        <v>185</v>
      </c>
      <c r="F41" s="39">
        <f>IFERROR(__xludf.DUMMYFUNCTION("IF(OR(E41="""",A41=""""),"""",
 IF(
   DATE(VALUE(RIGHT(A41,4)),VALUE(MID(A41,4,2)),VALUE(LEFT(A41,2)))&gt;=TODAY(),
   IFERROR(
     GOOGLEFINANCE(""NSE:""&amp;UPPER(TRIM(E41)),""price""),
     ""Not Available""
   ),
   IFERROR(
     INDEX(
       GOOGLEFINANC"&amp;"E(
         ""NSE:""&amp;UPPER(TRIM(E41)),
         ""close"",
         DATE(VALUE(RIGHT(A41,4)),VALUE(MID(A41,4,2)),VALUE(LEFT(A41,2))),
         DATE(VALUE(RIGHT(A41,4)),VALUE(MID(A41,4,2)),VALUE(LEFT(A41,2)))+1
       ),
       2,2
     ),
     ""Not Avail"&amp;"able""
   )
 ))"),299.67)</f>
        <v>299.67</v>
      </c>
      <c r="G41" s="42">
        <f>IFERROR(__xludf.DUMMYFUNCTION("IF(E41="""","""",IFERROR(GOOGLEFINANCE(""NSE:""&amp;UPPER(TRIM(E41)),""price""),""Not Available""))"),284.47)</f>
        <v>284.47</v>
      </c>
      <c r="H41" s="53">
        <f t="shared" si="1"/>
        <v>14</v>
      </c>
      <c r="I41" s="58">
        <f t="shared" si="2"/>
        <v>-0.05072246137</v>
      </c>
      <c r="J41" s="60">
        <f t="shared" si="3"/>
        <v>-5072.246137</v>
      </c>
      <c r="K41" s="62">
        <v>375.0</v>
      </c>
      <c r="L41" s="62">
        <v>40.0</v>
      </c>
      <c r="M41" s="68">
        <f t="shared" si="4"/>
        <v>0.2513765142</v>
      </c>
      <c r="N41" s="68">
        <f t="shared" si="5"/>
        <v>-0.8665198385</v>
      </c>
      <c r="O41" s="68">
        <v>0.0576300597324</v>
      </c>
      <c r="P41" s="23">
        <v>46276</v>
      </c>
      <c r="R41" s="68">
        <v>0.315</v>
      </c>
      <c r="S41" s="23">
        <v>46203</v>
      </c>
      <c r="T41" s="23">
        <v>46275</v>
      </c>
      <c r="U41" s="39">
        <v>299.67</v>
      </c>
      <c r="V41" s="39">
        <v>218.238533333</v>
      </c>
      <c r="W41" t="inlineStr">
        <is>
          <t>Above 75 DMA</t>
        </is>
      </c>
    </row>
    <row r="42">
      <c r="A42" s="23">
        <v>46275.0</v>
      </c>
      <c r="B42" s="25" t="str">
        <f t="shared" si="6"/>
        <v>Thursday</v>
      </c>
      <c r="C42" s="25" t="s">
        <v>156</v>
      </c>
      <c r="D42" s="31">
        <f>IFERROR(__xludf.DUMMYFUNCTION("GOOGLEFINANCE(""NSE:""&amp;UPPER(TRIM(E42)),""marketcap"")/10000000"),369.7939764)</f>
        <v>369.7939764</v>
      </c>
      <c r="E42" s="32" t="s">
        <v>190</v>
      </c>
      <c r="F42" s="39">
        <f>IFERROR(__xludf.DUMMYFUNCTION("IF(OR(E42="""",A42=""""),"""",
 IF(
   DATE(VALUE(RIGHT(A42,4)),VALUE(MID(A42,4,2)),VALUE(LEFT(A42,2)))&gt;=TODAY(),
   IFERROR(
     GOOGLEFINANCE(""NSE:""&amp;UPPER(TRIM(E42)),""price""),
     ""Not Available""
   ),
   IFERROR(
     INDEX(
       GOOGLEFINANC"&amp;"E(
         ""NSE:""&amp;UPPER(TRIM(E42)),
         ""close"",
         DATE(VALUE(RIGHT(A42,4)),VALUE(MID(A42,4,2)),VALUE(LEFT(A42,2))),
         DATE(VALUE(RIGHT(A42,4)),VALUE(MID(A42,4,2)),VALUE(LEFT(A42,2)))+1
       ),
       2,2
     ),
     ""Not Avail"&amp;"able""
   )
 ))"),440.25)</f>
        <v>440.25</v>
      </c>
      <c r="G42" s="42">
        <f>IFERROR(__xludf.DUMMYFUNCTION("IF(E42="""","""",IFERROR(GOOGLEFINANCE(""NSE:""&amp;UPPER(TRIM(E42)),""price""),""Not Available""))"),404.1)</f>
        <v>404.1</v>
      </c>
      <c r="H42" s="53">
        <f t="shared" si="1"/>
        <v>14</v>
      </c>
      <c r="I42" s="58">
        <f t="shared" si="2"/>
        <v>-0.08211243612</v>
      </c>
      <c r="J42" s="60">
        <f t="shared" si="3"/>
        <v>-8211.243612</v>
      </c>
      <c r="K42" s="62">
        <v>481.0</v>
      </c>
      <c r="L42" s="62">
        <v>-90.0</v>
      </c>
      <c r="M42" s="68">
        <f t="shared" si="4"/>
        <v>0.09256104486</v>
      </c>
      <c r="N42" s="68">
        <f t="shared" si="5"/>
        <v>-1.204429302</v>
      </c>
      <c r="O42" s="68">
        <v>0.038046564452</v>
      </c>
      <c r="P42" s="23">
        <v>46276</v>
      </c>
      <c r="R42" s="68">
        <v>0.5972</v>
      </c>
      <c r="S42" s="23">
        <v>46203</v>
      </c>
      <c r="T42" s="23">
        <v>46275</v>
      </c>
      <c r="U42" s="39">
        <v>440.25</v>
      </c>
      <c r="V42" s="39">
        <v>384.061333333</v>
      </c>
      <c r="W42" t="inlineStr">
        <is>
          <t>Above 75 DMA</t>
        </is>
      </c>
    </row>
    <row r="43">
      <c r="A43" s="23">
        <v>46275.0</v>
      </c>
      <c r="B43" s="25" t="str">
        <f t="shared" si="6"/>
        <v>Thursday</v>
      </c>
      <c r="C43" s="25" t="s">
        <v>156</v>
      </c>
      <c r="D43" s="31">
        <f>IFERROR(__xludf.DUMMYFUNCTION("GOOGLEFINANCE(""NSE:""&amp;UPPER(TRIM(E43)),""marketcap"")/10000000"),15791.7532149)</f>
        <v>15791.75321</v>
      </c>
      <c r="E43" s="32" t="s">
        <v>193</v>
      </c>
      <c r="F43" s="39">
        <f>IFERROR(__xludf.DUMMYFUNCTION("IF(OR(E43="""",A43=""""),"""",
 IF(
   DATE(VALUE(RIGHT(A43,4)),VALUE(MID(A43,4,2)),VALUE(LEFT(A43,2)))&gt;=TODAY(),
   IFERROR(
     GOOGLEFINANCE(""NSE:""&amp;UPPER(TRIM(E43)),""price""),
     ""Not Available""
   ),
   IFERROR(
     INDEX(
       GOOGLEFINANC"&amp;"E(
         ""NSE:""&amp;UPPER(TRIM(E43)),
         ""close"",
         DATE(VALUE(RIGHT(A43,4)),VALUE(MID(A43,4,2)),VALUE(LEFT(A43,2))),
         DATE(VALUE(RIGHT(A43,4)),VALUE(MID(A43,4,2)),VALUE(LEFT(A43,2)))+1
       ),
       2,2
     ),
     ""Not Avail"&amp;"able""
   )
 ))"),824.8)</f>
        <v>824.8</v>
      </c>
      <c r="G43" s="42">
        <f>IFERROR(__xludf.DUMMYFUNCTION("IF(E43="""","""",IFERROR(GOOGLEFINANCE(""NSE:""&amp;UPPER(TRIM(E43)),""price""),""Not Available""))"),808.4)</f>
        <v>808.4</v>
      </c>
      <c r="H43" s="53">
        <f t="shared" si="1"/>
        <v>14</v>
      </c>
      <c r="I43" s="58">
        <f t="shared" si="2"/>
        <v>-0.01988360815</v>
      </c>
      <c r="J43" s="60">
        <f t="shared" si="3"/>
        <v>-1988.360815</v>
      </c>
      <c r="K43" s="62">
        <v>753.0</v>
      </c>
      <c r="L43" s="62">
        <v>795.0</v>
      </c>
      <c r="M43" s="68">
        <f t="shared" si="4"/>
        <v>-0.0870514064</v>
      </c>
      <c r="N43" s="68">
        <f t="shared" si="5"/>
        <v>-0.0361299709</v>
      </c>
      <c r="O43" s="68">
        <v>0.0344325897187</v>
      </c>
      <c r="P43" s="23">
        <v>46288</v>
      </c>
      <c r="R43" s="68">
        <v>0.6534</v>
      </c>
      <c r="S43" s="23">
        <v>46203</v>
      </c>
      <c r="T43" s="23">
        <v>46275</v>
      </c>
      <c r="U43" s="39">
        <v>824.8</v>
      </c>
      <c r="V43" s="39">
        <v>678.082</v>
      </c>
      <c r="W43" t="inlineStr">
        <is>
          <t>Above 75 DMA</t>
        </is>
      </c>
    </row>
    <row r="44">
      <c r="A44" s="23">
        <v>46275.0</v>
      </c>
      <c r="B44" s="25" t="str">
        <f t="shared" si="6"/>
        <v>Thursday</v>
      </c>
      <c r="C44" s="25" t="s">
        <v>156</v>
      </c>
      <c r="D44" s="31">
        <f>IFERROR(__xludf.DUMMYFUNCTION("GOOGLEFINANCE(""NSE:""&amp;UPPER(TRIM(E44)),""marketcap"")/10000000"),1091.4414689)</f>
        <v>1091.441469</v>
      </c>
      <c r="E44" s="32" t="s">
        <v>196</v>
      </c>
      <c r="F44" s="39">
        <f>IFERROR(__xludf.DUMMYFUNCTION("IF(OR(E44="""",A44=""""),"""",
 IF(
   DATE(VALUE(RIGHT(A44,4)),VALUE(MID(A44,4,2)),VALUE(LEFT(A44,2)))&gt;=TODAY(),
   IFERROR(
     GOOGLEFINANCE(""NSE:""&amp;UPPER(TRIM(E44)),""price""),
     ""Not Available""
   ),
   IFERROR(
     INDEX(
       GOOGLEFINANC"&amp;"E(
         ""NSE:""&amp;UPPER(TRIM(E44)),
         ""close"",
         DATE(VALUE(RIGHT(A44,4)),VALUE(MID(A44,4,2)),VALUE(LEFT(A44,2))),
         DATE(VALUE(RIGHT(A44,4)),VALUE(MID(A44,4,2)),VALUE(LEFT(A44,2)))+1
       ),
       2,2
     ),
     ""Not Avail"&amp;"able""
   )
 ))"),361.8)</f>
        <v>361.8</v>
      </c>
      <c r="G44" s="42">
        <f>IFERROR(__xludf.DUMMYFUNCTION("IF(E44="""","""",IFERROR(GOOGLEFINANCE(""NSE:""&amp;UPPER(TRIM(E44)),""price""),""Not Available""))"),352.45)</f>
        <v>352.45</v>
      </c>
      <c r="H44" s="53">
        <f t="shared" si="1"/>
        <v>14</v>
      </c>
      <c r="I44" s="58">
        <f t="shared" si="2"/>
        <v>-0.02584300719</v>
      </c>
      <c r="J44" s="60">
        <f t="shared" si="3"/>
        <v>-2584.300719</v>
      </c>
      <c r="K44" s="62">
        <v>506.0</v>
      </c>
      <c r="L44" s="62">
        <v>227.0</v>
      </c>
      <c r="M44" s="68">
        <f t="shared" si="4"/>
        <v>0.3985627418</v>
      </c>
      <c r="N44" s="68">
        <f t="shared" si="5"/>
        <v>-0.3725815368</v>
      </c>
      <c r="O44" s="68">
        <v>0.0337202874516</v>
      </c>
      <c r="P44" s="23">
        <v>46287</v>
      </c>
      <c r="R44" s="68">
        <v>0.5726</v>
      </c>
      <c r="S44" s="23">
        <v>46203</v>
      </c>
      <c r="T44" s="23">
        <v>46275</v>
      </c>
      <c r="U44" s="39">
        <v>361.8</v>
      </c>
      <c r="V44" s="39">
        <v>387.189333333</v>
      </c>
      <c r="W44" t="inlineStr">
        <is>
          <t>Below 75 DMA</t>
        </is>
      </c>
    </row>
    <row r="45">
      <c r="A45" s="23">
        <v>46275.0</v>
      </c>
      <c r="B45" s="25" t="str">
        <f t="shared" si="6"/>
        <v>Thursday</v>
      </c>
      <c r="C45" s="25" t="s">
        <v>156</v>
      </c>
      <c r="D45" s="31">
        <f>IFERROR(__xludf.DUMMYFUNCTION("GOOGLEFINANCE(""NSE:""&amp;UPPER(TRIM(E45)),""marketcap"")/10000000"),63237.1326864)</f>
        <v>63237.13269</v>
      </c>
      <c r="E45" s="32" t="s">
        <v>199</v>
      </c>
      <c r="F45" s="39">
        <f>IFERROR(__xludf.DUMMYFUNCTION("IF(OR(E45="""",A45=""""),"""",
 IF(
   DATE(VALUE(RIGHT(A45,4)),VALUE(MID(A45,4,2)),VALUE(LEFT(A45,2)))&gt;=TODAY(),
   IFERROR(
     GOOGLEFINANCE(""NSE:""&amp;UPPER(TRIM(E45)),""price""),
     ""Not Available""
   ),
   IFERROR(
     INDEX(
       GOOGLEFINANC"&amp;"E(
         ""NSE:""&amp;UPPER(TRIM(E45)),
         ""close"",
         DATE(VALUE(RIGHT(A45,4)),VALUE(MID(A45,4,2)),VALUE(LEFT(A45,2))),
         DATE(VALUE(RIGHT(A45,4)),VALUE(MID(A45,4,2)),VALUE(LEFT(A45,2)))+1
       ),
       2,2
     ),
     ""Not Avail"&amp;"able""
   )
 ))"),1006.55)</f>
        <v>1006.55</v>
      </c>
      <c r="G45" s="42">
        <f>IFERROR(__xludf.DUMMYFUNCTION("IF(E45="""","""",IFERROR(GOOGLEFINANCE(""NSE:""&amp;UPPER(TRIM(E45)),""price""),""Not Available""))"),1284.8)</f>
        <v>1284.8</v>
      </c>
      <c r="H45" s="53">
        <f t="shared" si="1"/>
        <v>14</v>
      </c>
      <c r="I45" s="58">
        <f t="shared" si="2"/>
        <v>0.2764393224</v>
      </c>
      <c r="J45" s="60">
        <f t="shared" si="3"/>
        <v>27643.93224</v>
      </c>
      <c r="K45" s="62">
        <v>1161.0</v>
      </c>
      <c r="L45" s="62">
        <v>0.0</v>
      </c>
      <c r="M45" s="68">
        <f t="shared" si="4"/>
        <v>0.1534449357</v>
      </c>
      <c r="N45" s="68">
        <f t="shared" si="5"/>
        <v>-1</v>
      </c>
      <c r="O45" s="68">
        <v>0.286523272565</v>
      </c>
      <c r="P45" s="23">
        <v>46288</v>
      </c>
    </row>
    <row r="46">
      <c r="A46" s="23">
        <v>46275.0</v>
      </c>
      <c r="B46" s="25" t="str">
        <f t="shared" si="6"/>
        <v>Thursday</v>
      </c>
      <c r="C46" s="25" t="s">
        <v>156</v>
      </c>
      <c r="D46" s="31">
        <f>IFERROR(__xludf.DUMMYFUNCTION("GOOGLEFINANCE(""NSE:""&amp;UPPER(TRIM(E46)),""marketcap"")/10000000"),61174.1539067)</f>
        <v>61174.15391</v>
      </c>
      <c r="E46" s="32" t="s">
        <v>202</v>
      </c>
      <c r="F46" s="39">
        <f>IFERROR(__xludf.DUMMYFUNCTION("IF(OR(E46="""",A46=""""),"""",
 IF(
   DATE(VALUE(RIGHT(A46,4)),VALUE(MID(A46,4,2)),VALUE(LEFT(A46,2)))&gt;=TODAY(),
   IFERROR(
     GOOGLEFINANCE(""NSE:""&amp;UPPER(TRIM(E46)),""price""),
     ""Not Available""
   ),
   IFERROR(
     INDEX(
       GOOGLEFINANC"&amp;"E(
         ""NSE:""&amp;UPPER(TRIM(E46)),
         ""close"",
         DATE(VALUE(RIGHT(A46,4)),VALUE(MID(A46,4,2)),VALUE(LEFT(A46,2))),
         DATE(VALUE(RIGHT(A46,4)),VALUE(MID(A46,4,2)),VALUE(LEFT(A46,2)))+1
       ),
       2,2
     ),
     ""Not Avail"&amp;"able""
   )
 ))"),762.15)</f>
        <v>762.15</v>
      </c>
      <c r="G46" s="42">
        <f>IFERROR(__xludf.DUMMYFUNCTION("IF(E46="""","""",IFERROR(GOOGLEFINANCE(""NSE:""&amp;UPPER(TRIM(E46)),""price""),""Not Available""))"),742.45)</f>
        <v>742.45</v>
      </c>
      <c r="H46" s="53">
        <f t="shared" si="1"/>
        <v>14</v>
      </c>
      <c r="I46" s="58">
        <f t="shared" si="2"/>
        <v>-0.0258479302</v>
      </c>
      <c r="J46" s="60">
        <f t="shared" si="3"/>
        <v>-2584.79302</v>
      </c>
      <c r="K46" s="62">
        <v>816.0</v>
      </c>
      <c r="L46" s="62">
        <v>640.0</v>
      </c>
      <c r="M46" s="68">
        <f t="shared" si="4"/>
        <v>0.0706553828</v>
      </c>
      <c r="N46" s="68">
        <f t="shared" si="5"/>
        <v>-0.160270288</v>
      </c>
      <c r="O46" s="68">
        <v>0.00616676507249</v>
      </c>
      <c r="P46" s="23">
        <v>46288</v>
      </c>
      <c r="R46" s="68">
        <v>0.6205</v>
      </c>
      <c r="S46" s="23">
        <v>46203</v>
      </c>
      <c r="T46" s="23">
        <v>46275</v>
      </c>
      <c r="U46" s="39">
        <v>762.15</v>
      </c>
      <c r="V46" s="39">
        <v>714.941333333</v>
      </c>
      <c r="W46" t="inlineStr">
        <is>
          <t>Above 75 DMA</t>
        </is>
      </c>
    </row>
    <row r="47">
      <c r="A47" s="23">
        <v>46275.0</v>
      </c>
      <c r="B47" s="25" t="str">
        <f t="shared" si="6"/>
        <v>Thursday</v>
      </c>
      <c r="C47" s="25" t="s">
        <v>156</v>
      </c>
      <c r="D47" s="31">
        <f>IFERROR(__xludf.DUMMYFUNCTION("GOOGLEFINANCE(""NSE:""&amp;UPPER(TRIM(E47)),""marketcap"")/10000000"),2265.0114477)</f>
        <v>2265.011448</v>
      </c>
      <c r="E47" s="32" t="s">
        <v>205</v>
      </c>
      <c r="F47" s="39">
        <f>IFERROR(__xludf.DUMMYFUNCTION("IF(OR(E47="""",A47=""""),"""",
 IF(
   DATE(VALUE(RIGHT(A47,4)),VALUE(MID(A47,4,2)),VALUE(LEFT(A47,2)))&gt;=TODAY(),
   IFERROR(
     GOOGLEFINANCE(""NSE:""&amp;UPPER(TRIM(E47)),""price""),
     ""Not Available""
   ),
   IFERROR(
     INDEX(
       GOOGLEFINANC"&amp;"E(
         ""NSE:""&amp;UPPER(TRIM(E47)),
         ""close"",
         DATE(VALUE(RIGHT(A47,4)),VALUE(MID(A47,4,2)),VALUE(LEFT(A47,2))),
         DATE(VALUE(RIGHT(A47,4)),VALUE(MID(A47,4,2)),VALUE(LEFT(A47,2)))+1
       ),
       2,2
     ),
     ""Not Avail"&amp;"able""
   )
 ))"),835.45)</f>
        <v>835.45</v>
      </c>
      <c r="G47" s="42">
        <f>IFERROR(__xludf.DUMMYFUNCTION("IF(E47="""","""",IFERROR(GOOGLEFINANCE(""NSE:""&amp;UPPER(TRIM(E47)),""price""),""Not Available""))"),830.2)</f>
        <v>830.2</v>
      </c>
      <c r="H47" s="53">
        <f t="shared" si="1"/>
        <v>14</v>
      </c>
      <c r="I47" s="58">
        <f t="shared" si="2"/>
        <v>-0.006284038542</v>
      </c>
      <c r="J47" s="60">
        <f t="shared" si="3"/>
        <v>-628.4038542</v>
      </c>
      <c r="K47" s="62">
        <v>734.0</v>
      </c>
      <c r="L47" s="62">
        <v>0.0</v>
      </c>
      <c r="M47" s="68">
        <f t="shared" si="4"/>
        <v>-0.1214315638</v>
      </c>
      <c r="N47" s="68">
        <f t="shared" si="5"/>
        <v>-1</v>
      </c>
      <c r="O47" s="68">
        <v>0.0964151056317</v>
      </c>
      <c r="P47" s="23">
        <v>46286</v>
      </c>
    </row>
    <row r="48">
      <c r="A48" s="23">
        <v>46275.0</v>
      </c>
      <c r="B48" s="25" t="str">
        <f t="shared" si="6"/>
        <v>Thursday</v>
      </c>
      <c r="C48" s="25" t="s">
        <v>156</v>
      </c>
      <c r="D48" s="31">
        <f>IFERROR(__xludf.DUMMYFUNCTION("GOOGLEFINANCE(""NSE:""&amp;UPPER(TRIM(E48)),""marketcap"")/10000000"),25426.96457)</f>
        <v>25426.96457</v>
      </c>
      <c r="E48" s="32" t="s">
        <v>207</v>
      </c>
      <c r="F48" s="39">
        <f>IFERROR(__xludf.DUMMYFUNCTION("IF(OR(E48="""",A48=""""),"""",
 IF(
   DATE(VALUE(RIGHT(A48,4)),VALUE(MID(A48,4,2)),VALUE(LEFT(A48,2)))&gt;=TODAY(),
   IFERROR(
     GOOGLEFINANCE(""NSE:""&amp;UPPER(TRIM(E48)),""price""),
     ""Not Available""
   ),
   IFERROR(
     INDEX(
       GOOGLEFINANC"&amp;"E(
         ""NSE:""&amp;UPPER(TRIM(E48)),
         ""close"",
         DATE(VALUE(RIGHT(A48,4)),VALUE(MID(A48,4,2)),VALUE(LEFT(A48,2))),
         DATE(VALUE(RIGHT(A48,4)),VALUE(MID(A48,4,2)),VALUE(LEFT(A48,2)))+1
       ),
       2,2
     ),
     ""Not Avail"&amp;"able""
   )
 ))"),313.55)</f>
        <v>313.55</v>
      </c>
      <c r="G48" s="42">
        <f>IFERROR(__xludf.DUMMYFUNCTION("IF(E48="""","""",IFERROR(GOOGLEFINANCE(""NSE:""&amp;UPPER(TRIM(E48)),""price""),""Not Available""))"),326.3)</f>
        <v>326.3</v>
      </c>
      <c r="H48" s="53">
        <f t="shared" si="1"/>
        <v>14</v>
      </c>
      <c r="I48" s="58">
        <f t="shared" si="2"/>
        <v>0.04066337107</v>
      </c>
      <c r="J48" s="60">
        <f t="shared" si="3"/>
        <v>4066.337107</v>
      </c>
      <c r="K48" s="62">
        <v>313.0</v>
      </c>
      <c r="L48" s="62">
        <v>13315.0</v>
      </c>
      <c r="M48" s="68">
        <f t="shared" si="4"/>
        <v>-0.001754106203</v>
      </c>
      <c r="N48" s="68">
        <f t="shared" si="5"/>
        <v>41.46531654</v>
      </c>
      <c r="O48" s="68">
        <v>0.157072237283</v>
      </c>
      <c r="P48" s="23">
        <v>46288</v>
      </c>
      <c r="R48" s="68">
        <v>0.6073</v>
      </c>
      <c r="S48" s="23">
        <v>46203</v>
      </c>
      <c r="T48" s="23">
        <v>46275</v>
      </c>
      <c r="U48" s="39">
        <v>313.55</v>
      </c>
      <c r="V48" s="39">
        <v>266.264266667</v>
      </c>
      <c r="W48" t="inlineStr">
        <is>
          <t>Above 75 DMA</t>
        </is>
      </c>
    </row>
    <row r="49">
      <c r="A49" s="23">
        <v>46275.0</v>
      </c>
      <c r="B49" s="25" t="str">
        <f t="shared" si="6"/>
        <v>Thursday</v>
      </c>
      <c r="C49" s="25" t="s">
        <v>156</v>
      </c>
      <c r="D49" s="31">
        <f>IFERROR(__xludf.DUMMYFUNCTION("GOOGLEFINANCE(""NSE:""&amp;UPPER(TRIM(E49)),""marketcap"")/10000000"),296.6556064)</f>
        <v>296.6556064</v>
      </c>
      <c r="E49" s="32" t="s">
        <v>210</v>
      </c>
      <c r="F49" s="39">
        <f>IFERROR(__xludf.DUMMYFUNCTION("IF(OR(E49="""",A49=""""),"""",
 IF(
   DATE(VALUE(RIGHT(A49,4)),VALUE(MID(A49,4,2)),VALUE(LEFT(A49,2)))&gt;=TODAY(),
   IFERROR(
     GOOGLEFINANCE(""NSE:""&amp;UPPER(TRIM(E49)),""price""),
     ""Not Available""
   ),
   IFERROR(
     INDEX(
       GOOGLEFINANC"&amp;"E(
         ""NSE:""&amp;UPPER(TRIM(E49)),
         ""close"",
         DATE(VALUE(RIGHT(A49,4)),VALUE(MID(A49,4,2)),VALUE(LEFT(A49,2))),
         DATE(VALUE(RIGHT(A49,4)),VALUE(MID(A49,4,2)),VALUE(LEFT(A49,2)))+1
       ),
       2,2
     ),
     ""Not Avail"&amp;"able""
   )
 ))"),299.4)</f>
        <v>299.4</v>
      </c>
      <c r="G49" s="42">
        <f>IFERROR(__xludf.DUMMYFUNCTION("IF(E49="""","""",IFERROR(GOOGLEFINANCE(""NSE:""&amp;UPPER(TRIM(E49)),""price""),""Not Available""))"),279.6)</f>
        <v>279.6</v>
      </c>
      <c r="H49" s="53">
        <f t="shared" si="1"/>
        <v>14</v>
      </c>
      <c r="I49" s="58">
        <f t="shared" si="2"/>
        <v>-0.06613226453</v>
      </c>
      <c r="J49" s="60">
        <f t="shared" si="3"/>
        <v>-6613.226453</v>
      </c>
      <c r="K49" s="62">
        <v>343.0</v>
      </c>
      <c r="L49" s="62">
        <v>146.0</v>
      </c>
      <c r="M49" s="68">
        <f t="shared" si="4"/>
        <v>0.1456245825</v>
      </c>
      <c r="N49" s="68">
        <f t="shared" si="5"/>
        <v>-0.5123580494</v>
      </c>
      <c r="O49" s="68">
        <v>-0.00150300601202</v>
      </c>
      <c r="P49" s="23">
        <v>46276</v>
      </c>
      <c r="R49" s="68">
        <v>0.6243</v>
      </c>
      <c r="S49" s="23">
        <v>46203</v>
      </c>
      <c r="T49" s="23">
        <v>46275</v>
      </c>
      <c r="U49" s="39">
        <v>299.4</v>
      </c>
      <c r="V49" s="39">
        <v>254.158133333</v>
      </c>
      <c r="W49" t="inlineStr">
        <is>
          <t>Above 75 DMA</t>
        </is>
      </c>
    </row>
    <row r="50">
      <c r="A50" s="23">
        <v>46275.0</v>
      </c>
      <c r="B50" s="25" t="str">
        <f t="shared" si="6"/>
        <v>Thursday</v>
      </c>
      <c r="C50" s="25" t="s">
        <v>156</v>
      </c>
      <c r="D50" s="31">
        <f>IFERROR(__xludf.DUMMYFUNCTION("GOOGLEFINANCE(""NSE:""&amp;UPPER(TRIM(E50)),""marketcap"")/10000000"),797.821626)</f>
        <v>797.821626</v>
      </c>
      <c r="E50" s="32" t="s">
        <v>214</v>
      </c>
      <c r="F50" s="39">
        <f>IFERROR(__xludf.DUMMYFUNCTION("IF(OR(E50="""",A50=""""),"""",
 IF(
   DATE(VALUE(RIGHT(A50,4)),VALUE(MID(A50,4,2)),VALUE(LEFT(A50,2)))&gt;=TODAY(),
   IFERROR(
     GOOGLEFINANCE(""NSE:""&amp;UPPER(TRIM(E50)),""price""),
     ""Not Available""
   ),
   IFERROR(
     INDEX(
       GOOGLEFINANC"&amp;"E(
         ""NSE:""&amp;UPPER(TRIM(E50)),
         ""close"",
         DATE(VALUE(RIGHT(A50,4)),VALUE(MID(A50,4,2)),VALUE(LEFT(A50,2))),
         DATE(VALUE(RIGHT(A50,4)),VALUE(MID(A50,4,2)),VALUE(LEFT(A50,2)))+1
       ),
       2,2
     ),
     ""Not Avail"&amp;"able""
   )
 ))"),147.48)</f>
        <v>147.48</v>
      </c>
      <c r="G50" s="42">
        <f>IFERROR(__xludf.DUMMYFUNCTION("IF(E50="""","""",IFERROR(GOOGLEFINANCE(""NSE:""&amp;UPPER(TRIM(E50)),""price""),""Not Available""))"),147.0)</f>
        <v>147</v>
      </c>
      <c r="H50" s="53">
        <f t="shared" si="1"/>
        <v>14</v>
      </c>
      <c r="I50" s="58">
        <f t="shared" si="2"/>
        <v>-0.0032546786</v>
      </c>
      <c r="J50" s="60">
        <f t="shared" si="3"/>
        <v>-325.46786</v>
      </c>
      <c r="K50" s="62">
        <v>180.0</v>
      </c>
      <c r="L50" s="62">
        <v>55.0</v>
      </c>
      <c r="M50" s="68">
        <f t="shared" si="4"/>
        <v>0.2205044752</v>
      </c>
      <c r="N50" s="68">
        <f t="shared" si="5"/>
        <v>-0.627068077</v>
      </c>
      <c r="O50" s="68">
        <v>0.166259831842</v>
      </c>
      <c r="P50" s="23">
        <v>46280</v>
      </c>
      <c r="R50" s="68">
        <v>0.7148</v>
      </c>
      <c r="S50" s="23">
        <v>46203</v>
      </c>
      <c r="T50" s="23">
        <v>46275</v>
      </c>
      <c r="U50" s="39">
        <v>147.48</v>
      </c>
      <c r="V50" s="39">
        <v>161.026133333</v>
      </c>
      <c r="W50" t="inlineStr">
        <is>
          <t>Below 75 DMA</t>
        </is>
      </c>
    </row>
    <row r="51">
      <c r="A51" s="23">
        <v>46275.0</v>
      </c>
      <c r="B51" s="25" t="str">
        <f t="shared" si="6"/>
        <v>Thursday</v>
      </c>
      <c r="C51" s="25" t="s">
        <v>156</v>
      </c>
      <c r="D51" s="31">
        <f>IFERROR(__xludf.DUMMYFUNCTION("GOOGLEFINANCE(""NSE:""&amp;UPPER(TRIM(E51)),""marketcap"")/10000000"),19737.2027796)</f>
        <v>19737.20278</v>
      </c>
      <c r="E51" s="32" t="s">
        <v>218</v>
      </c>
      <c r="F51" s="39">
        <f>IFERROR(__xludf.DUMMYFUNCTION("IF(OR(E51="""",A51=""""),"""",
 IF(
   DATE(VALUE(RIGHT(A51,4)),VALUE(MID(A51,4,2)),VALUE(LEFT(A51,2)))&gt;=TODAY(),
   IFERROR(
     GOOGLEFINANCE(""NSE:""&amp;UPPER(TRIM(E51)),""price""),
     ""Not Available""
   ),
   IFERROR(
     INDEX(
       GOOGLEFINANC"&amp;"E(
         ""NSE:""&amp;UPPER(TRIM(E51)),
         ""close"",
         DATE(VALUE(RIGHT(A51,4)),VALUE(MID(A51,4,2)),VALUE(LEFT(A51,2))),
         DATE(VALUE(RIGHT(A51,4)),VALUE(MID(A51,4,2)),VALUE(LEFT(A51,2)))+1
       ),
       2,2
     ),
     ""Not Avail"&amp;"able""
   )
 ))"),2823.0)</f>
        <v>2823</v>
      </c>
      <c r="G51" s="42">
        <f>IFERROR(__xludf.DUMMYFUNCTION("IF(E51="""","""",IFERROR(GOOGLEFINANCE(""NSE:""&amp;UPPER(TRIM(E51)),""price""),""Not Available""))"),2815.1)</f>
        <v>2815.1</v>
      </c>
      <c r="H51" s="53">
        <f t="shared" si="1"/>
        <v>14</v>
      </c>
      <c r="I51" s="58">
        <f t="shared" si="2"/>
        <v>-0.002798441374</v>
      </c>
      <c r="J51" s="60">
        <f t="shared" si="3"/>
        <v>-279.8441374</v>
      </c>
      <c r="K51" s="62">
        <v>2648.0</v>
      </c>
      <c r="L51" s="62">
        <v>1871.0</v>
      </c>
      <c r="M51" s="68">
        <f t="shared" si="4"/>
        <v>-0.06199078994</v>
      </c>
      <c r="N51" s="68">
        <f t="shared" si="5"/>
        <v>-0.3372298973</v>
      </c>
      <c r="O51" s="68">
        <v>0.0263549415515</v>
      </c>
      <c r="P51" s="23">
        <v>46283</v>
      </c>
      <c r="R51" s="68">
        <v>0.5977</v>
      </c>
      <c r="S51" s="23">
        <v>46203</v>
      </c>
      <c r="T51" s="23">
        <v>46275</v>
      </c>
      <c r="U51" s="39">
        <v>2823</v>
      </c>
      <c r="V51" s="39">
        <v>2538.124</v>
      </c>
      <c r="W51" t="inlineStr">
        <is>
          <t>Above 75 DMA</t>
        </is>
      </c>
    </row>
    <row r="52">
      <c r="A52" s="23">
        <v>46275.0</v>
      </c>
      <c r="B52" s="25" t="str">
        <f t="shared" si="6"/>
        <v>Thursday</v>
      </c>
      <c r="C52" s="25" t="s">
        <v>156</v>
      </c>
      <c r="D52" s="31">
        <f>IFERROR(__xludf.DUMMYFUNCTION("GOOGLEFINANCE(""NSE:""&amp;UPPER(TRIM(E52)),""marketcap"")/10000000"),1271.8123434)</f>
        <v>1271.812343</v>
      </c>
      <c r="E52" s="32" t="s">
        <v>222</v>
      </c>
      <c r="F52" s="39">
        <f>IFERROR(__xludf.DUMMYFUNCTION("IF(OR(E52="""",A52=""""),"""",
 IF(
   DATE(VALUE(RIGHT(A52,4)),VALUE(MID(A52,4,2)),VALUE(LEFT(A52,2)))&gt;=TODAY(),
   IFERROR(
     GOOGLEFINANCE(""NSE:""&amp;UPPER(TRIM(E52)),""price""),
     ""Not Available""
   ),
   IFERROR(
     INDEX(
       GOOGLEFINANC"&amp;"E(
         ""NSE:""&amp;UPPER(TRIM(E52)),
         ""close"",
         DATE(VALUE(RIGHT(A52,4)),VALUE(MID(A52,4,2)),VALUE(LEFT(A52,2))),
         DATE(VALUE(RIGHT(A52,4)),VALUE(MID(A52,4,2)),VALUE(LEFT(A52,2)))+1
       ),
       2,2
     ),
     ""Not Avail"&amp;"able""
   )
 ))"),25.27)</f>
        <v>25.27</v>
      </c>
      <c r="G52" s="42">
        <f>IFERROR(__xludf.DUMMYFUNCTION("IF(E52="""","""",IFERROR(GOOGLEFINANCE(""NSE:""&amp;UPPER(TRIM(E52)),""price""),""Not Available""))"),15.96)</f>
        <v>15.96</v>
      </c>
      <c r="H52" s="53">
        <f t="shared" si="1"/>
        <v>14</v>
      </c>
      <c r="I52" s="58">
        <f t="shared" si="2"/>
        <v>-0.3684210526</v>
      </c>
      <c r="J52" s="60">
        <f t="shared" si="3"/>
        <v>-36842.10526</v>
      </c>
      <c r="K52" s="62">
        <v>12.0</v>
      </c>
      <c r="L52" s="62">
        <v>34.0</v>
      </c>
      <c r="M52" s="68">
        <f t="shared" si="4"/>
        <v>-0.525128611</v>
      </c>
      <c r="N52" s="68">
        <f t="shared" si="5"/>
        <v>0.3454689355</v>
      </c>
      <c r="O52" s="68">
        <v>-0.0498614958449</v>
      </c>
      <c r="P52" s="23">
        <v>46276</v>
      </c>
      <c r="R52" s="68">
        <v>0.6212</v>
      </c>
      <c r="S52" s="23">
        <v>46203</v>
      </c>
      <c r="T52" s="23">
        <v>46275</v>
      </c>
      <c r="U52" s="39">
        <v>25.27</v>
      </c>
      <c r="V52" s="39">
        <v>27.2581333333</v>
      </c>
      <c r="W52" t="inlineStr">
        <is>
          <t>Below 75 DMA</t>
        </is>
      </c>
    </row>
    <row r="53">
      <c r="A53" s="23">
        <v>46275.0</v>
      </c>
      <c r="B53" s="25" t="str">
        <f t="shared" si="6"/>
        <v>Thursday</v>
      </c>
      <c r="C53" s="25" t="s">
        <v>156</v>
      </c>
      <c r="D53" s="31">
        <f>IFERROR(__xludf.DUMMYFUNCTION("GOOGLEFINANCE(""NSE:""&amp;UPPER(TRIM(E53)),""marketcap"")/10000000"),1469.3043174)</f>
        <v>1469.304317</v>
      </c>
      <c r="E53" s="32" t="s">
        <v>226</v>
      </c>
      <c r="F53" s="39">
        <f>IFERROR(__xludf.DUMMYFUNCTION("IF(OR(E53="""",A53=""""),"""",
 IF(
   DATE(VALUE(RIGHT(A53,4)),VALUE(MID(A53,4,2)),VALUE(LEFT(A53,2)))&gt;=TODAY(),
   IFERROR(
     GOOGLEFINANCE(""NSE:""&amp;UPPER(TRIM(E53)),""price""),
     ""Not Available""
   ),
   IFERROR(
     INDEX(
       GOOGLEFINANC"&amp;"E(
         ""NSE:""&amp;UPPER(TRIM(E53)),
         ""close"",
         DATE(VALUE(RIGHT(A53,4)),VALUE(MID(A53,4,2)),VALUE(LEFT(A53,2))),
         DATE(VALUE(RIGHT(A53,4)),VALUE(MID(A53,4,2)),VALUE(LEFT(A53,2)))+1
       ),
       2,2
     ),
     ""Not Avail"&amp;"able""
   )
 ))"),177.38)</f>
        <v>177.38</v>
      </c>
      <c r="G53" s="42">
        <f>IFERROR(__xludf.DUMMYFUNCTION("IF(E53="""","""",IFERROR(GOOGLEFINANCE(""NSE:""&amp;UPPER(TRIM(E53)),""price""),""Not Available""))"),184.65)</f>
        <v>184.65</v>
      </c>
      <c r="H53" s="53">
        <f t="shared" si="1"/>
        <v>14</v>
      </c>
      <c r="I53" s="58">
        <f t="shared" si="2"/>
        <v>0.04098545496</v>
      </c>
      <c r="J53" s="60">
        <f t="shared" si="3"/>
        <v>4098.545496</v>
      </c>
      <c r="K53" s="62">
        <v>154.0</v>
      </c>
      <c r="L53" s="62">
        <v>74.0</v>
      </c>
      <c r="M53" s="68">
        <f t="shared" si="4"/>
        <v>-0.1318074191</v>
      </c>
      <c r="N53" s="68">
        <f t="shared" si="5"/>
        <v>-0.582816552</v>
      </c>
      <c r="O53" s="68">
        <v>0.206111173751</v>
      </c>
      <c r="P53" s="23">
        <v>46283</v>
      </c>
      <c r="R53" s="68">
        <v>0.5861</v>
      </c>
      <c r="S53" s="23">
        <v>46203</v>
      </c>
    </row>
    <row r="54">
      <c r="A54" s="23">
        <v>46275.0</v>
      </c>
      <c r="B54" s="25" t="str">
        <f t="shared" si="6"/>
        <v>Thursday</v>
      </c>
      <c r="C54" s="25" t="s">
        <v>156</v>
      </c>
      <c r="D54" s="31">
        <f>IFERROR(__xludf.DUMMYFUNCTION("GOOGLEFINANCE(""NSE:""&amp;UPPER(TRIM(E54)),""marketcap"")/10000000"),5343.0977498)</f>
        <v>5343.09775</v>
      </c>
      <c r="E54" s="32" t="s">
        <v>230</v>
      </c>
      <c r="F54" s="39">
        <f>IFERROR(__xludf.DUMMYFUNCTION("IF(OR(E54="""",A54=""""),"""",
 IF(
   DATE(VALUE(RIGHT(A54,4)),VALUE(MID(A54,4,2)),VALUE(LEFT(A54,2)))&gt;=TODAY(),
   IFERROR(
     GOOGLEFINANCE(""NSE:""&amp;UPPER(TRIM(E54)),""price""),
     ""Not Available""
   ),
   IFERROR(
     INDEX(
       GOOGLEFINANC"&amp;"E(
         ""NSE:""&amp;UPPER(TRIM(E54)),
         ""close"",
         DATE(VALUE(RIGHT(A54,4)),VALUE(MID(A54,4,2)),VALUE(LEFT(A54,2))),
         DATE(VALUE(RIGHT(A54,4)),VALUE(MID(A54,4,2)),VALUE(LEFT(A54,2)))+1
       ),
       2,2
     ),
     ""Not Avail"&amp;"able""
   )
 ))"),1206.6)</f>
        <v>1206.6</v>
      </c>
      <c r="G54" s="42">
        <f>IFERROR(__xludf.DUMMYFUNCTION("IF(E54="""","""",IFERROR(GOOGLEFINANCE(""NSE:""&amp;UPPER(TRIM(E54)),""price""),""Not Available""))"),1416.1)</f>
        <v>1416.1</v>
      </c>
      <c r="H54" s="53">
        <f t="shared" si="1"/>
        <v>14</v>
      </c>
      <c r="I54" s="58">
        <f t="shared" si="2"/>
        <v>0.1736283773</v>
      </c>
      <c r="J54" s="60">
        <f t="shared" si="3"/>
        <v>17362.83773</v>
      </c>
      <c r="K54" s="62">
        <v>904.0</v>
      </c>
      <c r="L54" s="62">
        <v>1573.0</v>
      </c>
      <c r="M54" s="68">
        <f t="shared" si="4"/>
        <v>-0.2507873363</v>
      </c>
      <c r="N54" s="68">
        <f t="shared" si="5"/>
        <v>0.3036631858</v>
      </c>
      <c r="O54" s="68">
        <v>0.247306481021</v>
      </c>
      <c r="P54" s="23">
        <v>46287</v>
      </c>
      <c r="R54" s="68">
        <v>0.748</v>
      </c>
      <c r="S54" s="23">
        <v>46203</v>
      </c>
      <c r="T54" s="23">
        <v>46275</v>
      </c>
      <c r="U54" s="39">
        <v>1206.6</v>
      </c>
      <c r="V54" s="39">
        <v>1038.61733333</v>
      </c>
      <c r="W54" t="inlineStr">
        <is>
          <t>Above 75 DMA</t>
        </is>
      </c>
    </row>
    <row r="55">
      <c r="A55" s="23">
        <v>46275.0</v>
      </c>
      <c r="B55" s="25" t="str">
        <f t="shared" si="6"/>
        <v>Thursday</v>
      </c>
      <c r="C55" s="25" t="s">
        <v>156</v>
      </c>
      <c r="D55" s="31">
        <f>IFERROR(__xludf.DUMMYFUNCTION("GOOGLEFINANCE(""NSE:""&amp;UPPER(TRIM(E55)),""marketcap"")/10000000"),312.9843134)</f>
        <v>312.9843134</v>
      </c>
      <c r="E55" s="32" t="s">
        <v>234</v>
      </c>
      <c r="F55" s="39">
        <f>IFERROR(__xludf.DUMMYFUNCTION("IF(OR(E55="""",A55=""""),"""",
 IF(
   DATE(VALUE(RIGHT(A55,4)),VALUE(MID(A55,4,2)),VALUE(LEFT(A55,2)))&gt;=TODAY(),
   IFERROR(
     GOOGLEFINANCE(""NSE:""&amp;UPPER(TRIM(E55)),""price""),
     ""Not Available""
   ),
   IFERROR(
     INDEX(
       GOOGLEFINANC"&amp;"E(
         ""NSE:""&amp;UPPER(TRIM(E55)),
         ""close"",
         DATE(VALUE(RIGHT(A55,4)),VALUE(MID(A55,4,2)),VALUE(LEFT(A55,2))),
         DATE(VALUE(RIGHT(A55,4)),VALUE(MID(A55,4,2)),VALUE(LEFT(A55,2)))+1
       ),
       2,2
     ),
     ""Not Avail"&amp;"able""
   )
 ))"),110.54)</f>
        <v>110.54</v>
      </c>
      <c r="G55" s="42">
        <f>IFERROR(__xludf.DUMMYFUNCTION("IF(E55="""","""",IFERROR(GOOGLEFINANCE(""NSE:""&amp;UPPER(TRIM(E55)),""price""),""Not Available""))"),104.87)</f>
        <v>104.87</v>
      </c>
      <c r="H55" s="53">
        <f t="shared" si="1"/>
        <v>14</v>
      </c>
      <c r="I55" s="58">
        <f t="shared" si="2"/>
        <v>-0.05129364936</v>
      </c>
      <c r="J55" s="60">
        <f t="shared" si="3"/>
        <v>-5129.364936</v>
      </c>
      <c r="K55" s="62">
        <v>149.0</v>
      </c>
      <c r="L55" s="62">
        <v>79.0</v>
      </c>
      <c r="M55" s="68">
        <f t="shared" si="4"/>
        <v>0.3479283517</v>
      </c>
      <c r="N55" s="68">
        <f t="shared" si="5"/>
        <v>-0.2853265786</v>
      </c>
      <c r="O55" s="68">
        <v>0.0107653338158</v>
      </c>
      <c r="P55" s="23">
        <v>46280</v>
      </c>
      <c r="R55" s="68">
        <v>0.6867</v>
      </c>
      <c r="S55" s="23">
        <v>46203</v>
      </c>
      <c r="T55" s="23">
        <v>46275</v>
      </c>
      <c r="U55" s="39">
        <v>108.01</v>
      </c>
      <c r="V55" s="39">
        <v>106.972</v>
      </c>
      <c r="W55" t="inlineStr">
        <is>
          <t>Above 75 DMA</t>
        </is>
      </c>
    </row>
    <row r="56">
      <c r="A56" s="23">
        <v>46275.0</v>
      </c>
      <c r="B56" s="25" t="str">
        <f t="shared" si="6"/>
        <v>Thursday</v>
      </c>
      <c r="C56" s="25" t="s">
        <v>156</v>
      </c>
      <c r="D56" s="31">
        <f>IFERROR(__xludf.DUMMYFUNCTION("GOOGLEFINANCE(""NSE:""&amp;UPPER(TRIM(E56)),""marketcap"")/10000000"),676.5000152)</f>
        <v>676.5000152</v>
      </c>
      <c r="E56" s="32" t="s">
        <v>236</v>
      </c>
      <c r="F56" s="39">
        <f>IFERROR(__xludf.DUMMYFUNCTION("IF(OR(E56="""",A56=""""),"""",
 IF(
   DATE(VALUE(RIGHT(A56,4)),VALUE(MID(A56,4,2)),VALUE(LEFT(A56,2)))&gt;=TODAY(),
   IFERROR(
     GOOGLEFINANCE(""NSE:""&amp;UPPER(TRIM(E56)),""price""),
     ""Not Available""
   ),
   IFERROR(
     INDEX(
       GOOGLEFINANC"&amp;"E(
         ""NSE:""&amp;UPPER(TRIM(E56)),
         ""close"",
         DATE(VALUE(RIGHT(A56,4)),VALUE(MID(A56,4,2)),VALUE(LEFT(A56,2))),
         DATE(VALUE(RIGHT(A56,4)),VALUE(MID(A56,4,2)),VALUE(LEFT(A56,2)))+1
       ),
       2,2
     ),
     ""Not Avail"&amp;"able""
   )
 ))"),68.57)</f>
        <v>68.57</v>
      </c>
      <c r="G56" s="42">
        <f>IFERROR(__xludf.DUMMYFUNCTION("IF(E56="""","""",IFERROR(GOOGLEFINANCE(""NSE:""&amp;UPPER(TRIM(E56)),""price""),""Not Available""))"),67.65)</f>
        <v>67.65</v>
      </c>
      <c r="H56" s="53">
        <f t="shared" si="1"/>
        <v>14</v>
      </c>
      <c r="I56" s="58">
        <f t="shared" si="2"/>
        <v>-0.01341694619</v>
      </c>
      <c r="J56" s="60">
        <f t="shared" si="3"/>
        <v>-1341.694619</v>
      </c>
      <c r="K56" s="62">
        <v>99.0</v>
      </c>
      <c r="L56" s="62">
        <v>39.0</v>
      </c>
      <c r="M56" s="68">
        <f t="shared" si="4"/>
        <v>0.4437800788</v>
      </c>
      <c r="N56" s="68">
        <f t="shared" si="5"/>
        <v>-0.4312381508</v>
      </c>
      <c r="O56" s="68">
        <v>0.0208546011375</v>
      </c>
      <c r="P56" s="23">
        <v>46282</v>
      </c>
      <c r="R56" s="68">
        <v>0.5246</v>
      </c>
      <c r="S56" s="23">
        <v>46203</v>
      </c>
      <c r="T56" s="23">
        <v>46275</v>
      </c>
      <c r="U56" s="39">
        <v>68.57</v>
      </c>
      <c r="V56" s="39">
        <v>58.3932</v>
      </c>
      <c r="W56" t="inlineStr">
        <is>
          <t>Above 75 DMA</t>
        </is>
      </c>
    </row>
    <row r="57">
      <c r="A57" s="23">
        <v>46275.0</v>
      </c>
      <c r="B57" s="25" t="str">
        <f t="shared" si="6"/>
        <v>Thursday</v>
      </c>
      <c r="C57" s="25" t="s">
        <v>156</v>
      </c>
      <c r="D57" s="31">
        <f>IFERROR(__xludf.DUMMYFUNCTION("GOOGLEFINANCE(""NSE:""&amp;UPPER(TRIM(E57)),""marketcap"")/10000000"),3518.5780572)</f>
        <v>3518.578057</v>
      </c>
      <c r="E57" s="32" t="s">
        <v>240</v>
      </c>
      <c r="F57" s="39">
        <f>IFERROR(__xludf.DUMMYFUNCTION("IF(OR(E57="""",A57=""""),"""",
 IF(
   DATE(VALUE(RIGHT(A57,4)),VALUE(MID(A57,4,2)),VALUE(LEFT(A57,2)))&gt;=TODAY(),
   IFERROR(
     GOOGLEFINANCE(""NSE:""&amp;UPPER(TRIM(E57)),""price""),
     ""Not Available""
   ),
   IFERROR(
     INDEX(
       GOOGLEFINANC"&amp;"E(
         ""NSE:""&amp;UPPER(TRIM(E57)),
         ""close"",
         DATE(VALUE(RIGHT(A57,4)),VALUE(MID(A57,4,2)),VALUE(LEFT(A57,2))),
         DATE(VALUE(RIGHT(A57,4)),VALUE(MID(A57,4,2)),VALUE(LEFT(A57,2)))+1
       ),
       2,2
     ),
     ""Not Avail"&amp;"able""
   )
 ))"),707.25)</f>
        <v>707.25</v>
      </c>
      <c r="G57" s="42">
        <f>IFERROR(__xludf.DUMMYFUNCTION("IF(E57="""","""",IFERROR(GOOGLEFINANCE(""NSE:""&amp;UPPER(TRIM(E57)),""price""),""Not Available""))"),730.75)</f>
        <v>730.75</v>
      </c>
      <c r="H57" s="53">
        <f t="shared" si="1"/>
        <v>14</v>
      </c>
      <c r="I57" s="58">
        <f t="shared" si="2"/>
        <v>0.03322728879</v>
      </c>
      <c r="J57" s="60">
        <f t="shared" si="3"/>
        <v>3322.728879</v>
      </c>
      <c r="K57" s="62">
        <v>930.0</v>
      </c>
      <c r="L57" s="62">
        <v>352.0</v>
      </c>
      <c r="M57" s="68">
        <f t="shared" si="4"/>
        <v>0.31495228</v>
      </c>
      <c r="N57" s="68">
        <f t="shared" si="5"/>
        <v>-0.5022976317</v>
      </c>
      <c r="O57" s="68">
        <v>0.0943796394486</v>
      </c>
      <c r="P57" s="23">
        <v>46280</v>
      </c>
      <c r="R57" s="68">
        <v>0.4193</v>
      </c>
      <c r="S57" s="23">
        <v>46203</v>
      </c>
      <c r="T57" s="23">
        <v>46275</v>
      </c>
      <c r="U57" s="39">
        <v>707.25</v>
      </c>
      <c r="V57" s="39">
        <v>569.712666667</v>
      </c>
      <c r="W57" t="inlineStr">
        <is>
          <t>Above 75 DMA</t>
        </is>
      </c>
    </row>
    <row r="58">
      <c r="A58" s="23">
        <v>46275.0</v>
      </c>
      <c r="B58" s="25" t="str">
        <f t="shared" si="6"/>
        <v>Thursday</v>
      </c>
      <c r="C58" s="25" t="s">
        <v>156</v>
      </c>
      <c r="D58" s="31">
        <f>IFERROR(__xludf.DUMMYFUNCTION("GOOGLEFINANCE(""NSE:""&amp;UPPER(TRIM(E58)),""marketcap"")/10000000"),7776.65055)</f>
        <v>7776.65055</v>
      </c>
      <c r="E58" s="32" t="s">
        <v>242</v>
      </c>
      <c r="F58" s="39">
        <f>IFERROR(__xludf.DUMMYFUNCTION("IF(OR(E58="""",A58=""""),"""",
 IF(
   DATE(VALUE(RIGHT(A58,4)),VALUE(MID(A58,4,2)),VALUE(LEFT(A58,2)))&gt;=TODAY(),
   IFERROR(
     GOOGLEFINANCE(""NSE:""&amp;UPPER(TRIM(E58)),""price""),
     ""Not Available""
   ),
   IFERROR(
     INDEX(
       GOOGLEFINANC"&amp;"E(
         ""NSE:""&amp;UPPER(TRIM(E58)),
         ""close"",
         DATE(VALUE(RIGHT(A58,4)),VALUE(MID(A58,4,2)),VALUE(LEFT(A58,2))),
         DATE(VALUE(RIGHT(A58,4)),VALUE(MID(A58,4,2)),VALUE(LEFT(A58,2)))+1
       ),
       2,2
     ),
     ""Not Avail"&amp;"able""
   )
 ))"),917.45)</f>
        <v>917.45</v>
      </c>
      <c r="G58" s="42">
        <f>IFERROR(__xludf.DUMMYFUNCTION("IF(E58="""","""",IFERROR(GOOGLEFINANCE(""NSE:""&amp;UPPER(TRIM(E58)),""price""),""Not Available""))"),966.25)</f>
        <v>966.25</v>
      </c>
      <c r="H58" s="53">
        <f t="shared" si="1"/>
        <v>14</v>
      </c>
      <c r="I58" s="58">
        <f t="shared" si="2"/>
        <v>0.05319090959</v>
      </c>
      <c r="J58" s="60">
        <f t="shared" si="3"/>
        <v>5319.090959</v>
      </c>
      <c r="K58" s="62">
        <v>919.0</v>
      </c>
      <c r="L58" s="62">
        <v>430.0</v>
      </c>
      <c r="M58" s="68">
        <f t="shared" si="4"/>
        <v>0.001689465366</v>
      </c>
      <c r="N58" s="68">
        <f t="shared" si="5"/>
        <v>-0.5313096082</v>
      </c>
      <c r="O58" s="68">
        <v>0.0954275437354</v>
      </c>
      <c r="P58" s="23">
        <v>46288</v>
      </c>
      <c r="R58" s="68">
        <v>0.683</v>
      </c>
      <c r="S58" s="23">
        <v>46203</v>
      </c>
      <c r="T58" s="23">
        <v>46275</v>
      </c>
      <c r="U58" s="39">
        <v>917.45</v>
      </c>
      <c r="V58" s="39">
        <v>882.383333333</v>
      </c>
      <c r="W58" t="inlineStr">
        <is>
          <t>Above 75 DMA</t>
        </is>
      </c>
    </row>
    <row r="59">
      <c r="A59" s="23">
        <v>46275.0</v>
      </c>
      <c r="B59" s="25" t="str">
        <f t="shared" si="6"/>
        <v>Thursday</v>
      </c>
      <c r="C59" s="25" t="s">
        <v>156</v>
      </c>
      <c r="D59" s="31">
        <f>IFERROR(__xludf.DUMMYFUNCTION("GOOGLEFINANCE(""NSE:""&amp;UPPER(TRIM(E59)),""marketcap"")/10000000"),3809.3980286)</f>
        <v>3809.398029</v>
      </c>
      <c r="E59" s="32" t="s">
        <v>245</v>
      </c>
      <c r="F59" s="39">
        <f>IFERROR(__xludf.DUMMYFUNCTION("IF(OR(E59="""",A59=""""),"""",
 IF(
   DATE(VALUE(RIGHT(A59,4)),VALUE(MID(A59,4,2)),VALUE(LEFT(A59,2)))&gt;=TODAY(),
   IFERROR(
     GOOGLEFINANCE(""NSE:""&amp;UPPER(TRIM(E59)),""price""),
     ""Not Available""
   ),
   IFERROR(
     INDEX(
       GOOGLEFINANC"&amp;"E(
         ""NSE:""&amp;UPPER(TRIM(E59)),
         ""close"",
         DATE(VALUE(RIGHT(A59,4)),VALUE(MID(A59,4,2)),VALUE(LEFT(A59,2))),
         DATE(VALUE(RIGHT(A59,4)),VALUE(MID(A59,4,2)),VALUE(LEFT(A59,2)))+1
       ),
       2,2
     ),
     ""Not Avail"&amp;"able""
   )
 ))"),128.56)</f>
        <v>128.56</v>
      </c>
      <c r="G59" s="42">
        <f>IFERROR(__xludf.DUMMYFUNCTION("IF(E59="""","""",IFERROR(GOOGLEFINANCE(""NSE:""&amp;UPPER(TRIM(E59)),""price""),""Not Available""))"),129.09)</f>
        <v>129.09</v>
      </c>
      <c r="H59" s="53">
        <f t="shared" si="1"/>
        <v>14</v>
      </c>
      <c r="I59" s="58">
        <f t="shared" si="2"/>
        <v>0.004122588675</v>
      </c>
      <c r="J59" s="60">
        <f t="shared" si="3"/>
        <v>412.2588675</v>
      </c>
      <c r="K59" s="62">
        <v>101.0</v>
      </c>
      <c r="L59" s="62">
        <v>3018.0</v>
      </c>
      <c r="M59" s="68">
        <f t="shared" si="4"/>
        <v>-0.2143746111</v>
      </c>
      <c r="N59" s="68">
        <f t="shared" si="5"/>
        <v>22.47542004</v>
      </c>
      <c r="O59" s="68">
        <v>0.0500155569384</v>
      </c>
      <c r="P59" s="23">
        <v>46283</v>
      </c>
      <c r="R59" s="68">
        <v>0.6512</v>
      </c>
      <c r="S59" s="23">
        <v>46203</v>
      </c>
      <c r="T59" s="23">
        <v>46275</v>
      </c>
      <c r="U59" s="39">
        <v>128.56</v>
      </c>
      <c r="V59" s="39">
        <v>126.408933333</v>
      </c>
      <c r="W59" t="inlineStr">
        <is>
          <t>Above 75 DMA</t>
        </is>
      </c>
    </row>
    <row r="60">
      <c r="A60" s="23">
        <v>46275.0</v>
      </c>
      <c r="B60" s="25" t="str">
        <f t="shared" si="6"/>
        <v>Thursday</v>
      </c>
      <c r="C60" s="25" t="s">
        <v>156</v>
      </c>
      <c r="D60" s="31">
        <f>IFERROR(__xludf.DUMMYFUNCTION("GOOGLEFINANCE(""NSE:""&amp;UPPER(TRIM(E60)),""marketcap"")/10000000"),47697.6710399)</f>
        <v>47697.67104</v>
      </c>
      <c r="E60" s="32" t="s">
        <v>246</v>
      </c>
      <c r="F60" s="39">
        <f>IFERROR(__xludf.DUMMYFUNCTION("IF(OR(E60="""",A60=""""),"""",
 IF(
   DATE(VALUE(RIGHT(A60,4)),VALUE(MID(A60,4,2)),VALUE(LEFT(A60,2)))&gt;=TODAY(),
   IFERROR(
     GOOGLEFINANCE(""NSE:""&amp;UPPER(TRIM(E60)),""price""),
     ""Not Available""
   ),
   IFERROR(
     INDEX(
       GOOGLEFINANC"&amp;"E(
         ""NSE:""&amp;UPPER(TRIM(E60)),
         ""close"",
         DATE(VALUE(RIGHT(A60,4)),VALUE(MID(A60,4,2)),VALUE(LEFT(A60,2))),
         DATE(VALUE(RIGHT(A60,4)),VALUE(MID(A60,4,2)),VALUE(LEFT(A60,2)))+1
       ),
       2,2
     ),
     ""Not Avail"&amp;"able""
   )
 ))"),1764.4)</f>
        <v>1764.4</v>
      </c>
      <c r="G60" s="42">
        <f>IFERROR(__xludf.DUMMYFUNCTION("IF(E60="""","""",IFERROR(GOOGLEFINANCE(""NSE:""&amp;UPPER(TRIM(E60)),""price""),""Not Available""))"),1671.8)</f>
        <v>1671.8</v>
      </c>
      <c r="H60" s="53">
        <f t="shared" si="1"/>
        <v>14</v>
      </c>
      <c r="I60" s="58">
        <f t="shared" si="2"/>
        <v>-0.05248243029</v>
      </c>
      <c r="J60" s="60">
        <f t="shared" si="3"/>
        <v>-5248.243029</v>
      </c>
      <c r="K60" s="62">
        <v>1891.0</v>
      </c>
      <c r="L60" s="62">
        <v>1151.0</v>
      </c>
      <c r="M60" s="68">
        <f t="shared" si="4"/>
        <v>0.07175243709</v>
      </c>
      <c r="N60" s="68">
        <f t="shared" si="5"/>
        <v>-0.3476535933</v>
      </c>
      <c r="O60" s="68">
        <v>0.038029925187</v>
      </c>
      <c r="P60" s="23">
        <v>46282</v>
      </c>
      <c r="R60" s="68">
        <v>0.5886</v>
      </c>
      <c r="S60" s="23">
        <v>46203</v>
      </c>
      <c r="T60" s="23">
        <v>46275</v>
      </c>
      <c r="U60" s="39">
        <v>1764.4</v>
      </c>
      <c r="V60" s="39">
        <v>1831.02533333</v>
      </c>
      <c r="W60" t="inlineStr">
        <is>
          <t>Below 75 DMA</t>
        </is>
      </c>
    </row>
    <row r="61">
      <c r="A61" s="23">
        <v>46275.0</v>
      </c>
      <c r="B61" s="25" t="str">
        <f t="shared" si="6"/>
        <v>Thursday</v>
      </c>
      <c r="C61" s="25" t="s">
        <v>156</v>
      </c>
      <c r="D61" s="31">
        <f>IFERROR(__xludf.DUMMYFUNCTION("GOOGLEFINANCE(""NSE:""&amp;UPPER(TRIM(E61)),""marketcap"")/10000000"),1862.2835723)</f>
        <v>1862.283572</v>
      </c>
      <c r="E61" s="32" t="s">
        <v>248</v>
      </c>
      <c r="F61" s="39">
        <f>IFERROR(__xludf.DUMMYFUNCTION("IF(OR(E61="""",A61=""""),"""",
 IF(
   DATE(VALUE(RIGHT(A61,4)),VALUE(MID(A61,4,2)),VALUE(LEFT(A61,2)))&gt;=TODAY(),
   IFERROR(
     GOOGLEFINANCE(""NSE:""&amp;UPPER(TRIM(E61)),""price""),
     ""Not Available""
   ),
   IFERROR(
     INDEX(
       GOOGLEFINANC"&amp;"E(
         ""NSE:""&amp;UPPER(TRIM(E61)),
         ""close"",
         DATE(VALUE(RIGHT(A61,4)),VALUE(MID(A61,4,2)),VALUE(LEFT(A61,2))),
         DATE(VALUE(RIGHT(A61,4)),VALUE(MID(A61,4,2)),VALUE(LEFT(A61,2)))+1
       ),
       2,2
     ),
     ""Not Avail"&amp;"able""
   )
 ))"),439.4)</f>
        <v>439.4</v>
      </c>
      <c r="G61" s="42">
        <f>IFERROR(__xludf.DUMMYFUNCTION("IF(E61="""","""",IFERROR(GOOGLEFINANCE(""NSE:""&amp;UPPER(TRIM(E61)),""price""),""Not Available""))"),470.2)</f>
        <v>470.2</v>
      </c>
      <c r="H61" s="53">
        <f t="shared" si="1"/>
        <v>14</v>
      </c>
      <c r="I61" s="58">
        <f t="shared" si="2"/>
        <v>0.07009558489</v>
      </c>
      <c r="J61" s="60">
        <f t="shared" si="3"/>
        <v>7009.558489</v>
      </c>
      <c r="K61" s="62">
        <v>423.0</v>
      </c>
      <c r="L61" s="62">
        <v>0.0</v>
      </c>
      <c r="M61" s="68">
        <f t="shared" si="4"/>
        <v>-0.03732362312</v>
      </c>
      <c r="N61" s="68">
        <f t="shared" si="5"/>
        <v>-1</v>
      </c>
      <c r="O61" s="68">
        <v>0.0982020937642</v>
      </c>
      <c r="P61" s="23">
        <v>46288</v>
      </c>
    </row>
    <row r="62">
      <c r="A62" s="23">
        <v>46275.0</v>
      </c>
      <c r="B62" s="25" t="str">
        <f t="shared" si="6"/>
        <v>Thursday</v>
      </c>
      <c r="C62" s="25" t="s">
        <v>156</v>
      </c>
      <c r="D62" s="31">
        <f>IFERROR(__xludf.DUMMYFUNCTION("GOOGLEFINANCE(""NSE:""&amp;UPPER(TRIM(E62)),""marketcap"")/10000000"),8602.9452056)</f>
        <v>8602.945206</v>
      </c>
      <c r="E62" s="32" t="s">
        <v>250</v>
      </c>
      <c r="F62" s="39">
        <f>IFERROR(__xludf.DUMMYFUNCTION("IF(OR(E62="""",A62=""""),"""",
 IF(
   DATE(VALUE(RIGHT(A62,4)),VALUE(MID(A62,4,2)),VALUE(LEFT(A62,2)))&gt;=TODAY(),
   IFERROR(
     GOOGLEFINANCE(""NSE:""&amp;UPPER(TRIM(E62)),""price""),
     ""Not Available""
   ),
   IFERROR(
     INDEX(
       GOOGLEFINANC"&amp;"E(
         ""NSE:""&amp;UPPER(TRIM(E62)),
         ""close"",
         DATE(VALUE(RIGHT(A62,4)),VALUE(MID(A62,4,2)),VALUE(LEFT(A62,2))),
         DATE(VALUE(RIGHT(A62,4)),VALUE(MID(A62,4,2)),VALUE(LEFT(A62,2)))+1
       ),
       2,2
     ),
     ""Not Avail"&amp;"able""
   )
 ))"),1568.1)</f>
        <v>1568.1</v>
      </c>
      <c r="G62" s="42">
        <f>IFERROR(__xludf.DUMMYFUNCTION("IF(E62="""","""",IFERROR(GOOGLEFINANCE(""NSE:""&amp;UPPER(TRIM(E62)),""price""),""Not Available""))"),1690.1)</f>
        <v>1690.1</v>
      </c>
      <c r="H62" s="53">
        <f t="shared" si="1"/>
        <v>14</v>
      </c>
      <c r="I62" s="58">
        <f t="shared" si="2"/>
        <v>0.07780116064</v>
      </c>
      <c r="J62" s="60">
        <f t="shared" si="3"/>
        <v>7780.116064</v>
      </c>
      <c r="K62" s="62">
        <v>1236.0</v>
      </c>
      <c r="L62" s="62">
        <v>515.0</v>
      </c>
      <c r="M62" s="68">
        <f t="shared" si="4"/>
        <v>-0.2117849627</v>
      </c>
      <c r="N62" s="68">
        <f t="shared" si="5"/>
        <v>-0.6715770678</v>
      </c>
      <c r="O62" s="68">
        <v>0.191378100886</v>
      </c>
      <c r="P62" s="23">
        <v>46287</v>
      </c>
      <c r="R62" s="68">
        <v>0.7982</v>
      </c>
      <c r="S62" s="23">
        <v>46203</v>
      </c>
      <c r="T62" s="23">
        <v>46275</v>
      </c>
      <c r="U62" s="39">
        <v>1568.1</v>
      </c>
      <c r="V62" s="39">
        <v>1276.10866667</v>
      </c>
      <c r="W62" t="inlineStr">
        <is>
          <t>Above 75 DMA</t>
        </is>
      </c>
    </row>
    <row r="63">
      <c r="A63" s="23">
        <v>46269.0</v>
      </c>
      <c r="B63" s="25" t="str">
        <f t="shared" si="6"/>
        <v>Friday</v>
      </c>
      <c r="C63" s="25" t="s">
        <v>252</v>
      </c>
      <c r="D63" s="31">
        <f>IFERROR(__xludf.DUMMYFUNCTION("GOOGLEFINANCE(""NSE:""&amp;UPPER(TRIM(E63)),""marketcap"")/10000000"),2452.0265694)</f>
        <v>2452.026569</v>
      </c>
      <c r="E63" s="32" t="s">
        <v>254</v>
      </c>
      <c r="F63" s="39">
        <f>IFERROR(__xludf.DUMMYFUNCTION("IF(OR(E63="""",A63=""""),"""",
 IF(
   DATE(VALUE(RIGHT(A63,4)),VALUE(MID(A63,4,2)),VALUE(LEFT(A63,2)))&gt;=TODAY(),
   IFERROR(
     GOOGLEFINANCE(""NSE:""&amp;UPPER(TRIM(E63)),""price""),
     ""Not Available""
   ),
   IFERROR(
     INDEX(
       GOOGLEFINANC"&amp;"E(
         ""NSE:""&amp;UPPER(TRIM(E63)),
         ""close"",
         DATE(VALUE(RIGHT(A63,4)),VALUE(MID(A63,4,2)),VALUE(LEFT(A63,2))),
         DATE(VALUE(RIGHT(A63,4)),VALUE(MID(A63,4,2)),VALUE(LEFT(A63,2)))+1
       ),
       2,2
     ),
     ""Not Avail"&amp;"able""
   )
 ))"),552.65)</f>
        <v>552.65</v>
      </c>
      <c r="G63" s="42">
        <f>IFERROR(__xludf.DUMMYFUNCTION("IF(E63="""","""",IFERROR(GOOGLEFINANCE(""NSE:""&amp;UPPER(TRIM(E63)),""price""),""Not Available""))"),540.45)</f>
        <v>540.45</v>
      </c>
      <c r="H63" s="53">
        <f t="shared" si="1"/>
        <v>20</v>
      </c>
      <c r="I63" s="58">
        <f t="shared" si="2"/>
        <v>-0.02207545463</v>
      </c>
      <c r="J63" s="60">
        <f t="shared" si="3"/>
        <v>-2207.545463</v>
      </c>
      <c r="K63" s="62">
        <v>691.0</v>
      </c>
      <c r="L63" s="62">
        <v>289.0</v>
      </c>
      <c r="M63" s="68">
        <f t="shared" si="4"/>
        <v>0.2503392744</v>
      </c>
      <c r="N63" s="68">
        <f t="shared" si="5"/>
        <v>-0.4770650502</v>
      </c>
      <c r="O63" s="68">
        <v>0.0300370940016</v>
      </c>
      <c r="P63" s="23">
        <v>46273</v>
      </c>
      <c r="R63" s="68">
        <v>0.6744</v>
      </c>
      <c r="S63" s="23">
        <v>46203</v>
      </c>
      <c r="T63" s="23">
        <v>46269</v>
      </c>
      <c r="U63" s="39">
        <v>552.65</v>
      </c>
      <c r="V63" s="39">
        <v>614.522</v>
      </c>
      <c r="W63" t="inlineStr">
        <is>
          <t>Below 75 DMA</t>
        </is>
      </c>
    </row>
    <row r="64">
      <c r="A64" s="23">
        <v>46269.0</v>
      </c>
      <c r="B64" s="25" t="str">
        <f t="shared" si="6"/>
        <v>Friday</v>
      </c>
      <c r="C64" s="25" t="s">
        <v>252</v>
      </c>
      <c r="D64" s="31">
        <f>IFERROR(__xludf.DUMMYFUNCTION("GOOGLEFINANCE(""NSE:""&amp;UPPER(TRIM(E64)),""marketcap"")/10000000"),4212.2442877)</f>
        <v>4212.244288</v>
      </c>
      <c r="E64" s="32" t="s">
        <v>256</v>
      </c>
      <c r="F64" s="39">
        <f>IFERROR(__xludf.DUMMYFUNCTION("IF(OR(E64="""",A64=""""),"""",
 IF(
   DATE(VALUE(RIGHT(A64,4)),VALUE(MID(A64,4,2)),VALUE(LEFT(A64,2)))&gt;=TODAY(),
   IFERROR(
     GOOGLEFINANCE(""NSE:""&amp;UPPER(TRIM(E64)),""price""),
     ""Not Available""
   ),
   IFERROR(
     INDEX(
       GOOGLEFINANC"&amp;"E(
         ""NSE:""&amp;UPPER(TRIM(E64)),
         ""close"",
         DATE(VALUE(RIGHT(A64,4)),VALUE(MID(A64,4,2)),VALUE(LEFT(A64,2))),
         DATE(VALUE(RIGHT(A64,4)),VALUE(MID(A64,4,2)),VALUE(LEFT(A64,2)))+1
       ),
       2,2
     ),
     ""Not Avail"&amp;"able""
   )
 ))"),663.65)</f>
        <v>663.65</v>
      </c>
      <c r="G64" s="42">
        <f>IFERROR(__xludf.DUMMYFUNCTION("IF(E64="""","""",IFERROR(GOOGLEFINANCE(""NSE:""&amp;UPPER(TRIM(E64)),""price""),""Not Available""))"),691.6)</f>
        <v>691.6</v>
      </c>
      <c r="H64" s="53">
        <f t="shared" si="1"/>
        <v>20</v>
      </c>
      <c r="I64" s="58">
        <f t="shared" si="2"/>
        <v>0.04211557297</v>
      </c>
      <c r="J64" s="60">
        <f t="shared" si="3"/>
        <v>4211.557297</v>
      </c>
      <c r="K64" s="62">
        <v>973.0</v>
      </c>
      <c r="L64" s="62">
        <v>545.0</v>
      </c>
      <c r="M64" s="68">
        <f t="shared" si="4"/>
        <v>0.4661342575</v>
      </c>
      <c r="N64" s="68">
        <f t="shared" si="5"/>
        <v>-0.1787839976</v>
      </c>
      <c r="O64" s="68">
        <v>0.102991034431</v>
      </c>
      <c r="P64" s="23">
        <v>46274</v>
      </c>
      <c r="R64" s="68">
        <v>0.5962</v>
      </c>
      <c r="S64" s="23">
        <v>46203</v>
      </c>
      <c r="T64" s="23">
        <v>46269</v>
      </c>
      <c r="U64" s="39">
        <v>663.65</v>
      </c>
      <c r="V64" s="39">
        <v>739.781333333</v>
      </c>
      <c r="W64" t="inlineStr">
        <is>
          <t>Below 75 DMA</t>
        </is>
      </c>
    </row>
    <row r="65">
      <c r="A65" s="23">
        <v>46269.0</v>
      </c>
      <c r="B65" s="25" t="str">
        <f t="shared" si="6"/>
        <v>Friday</v>
      </c>
      <c r="C65" s="25" t="s">
        <v>252</v>
      </c>
      <c r="D65" s="31">
        <f>IFERROR(__xludf.DUMMYFUNCTION("GOOGLEFINANCE(""NSE:""&amp;UPPER(TRIM(E65)),""marketcap"")/10000000"),106164.89954)</f>
        <v>106164.8995</v>
      </c>
      <c r="E65" s="32" t="s">
        <v>258</v>
      </c>
      <c r="F65" s="39">
        <f>IFERROR(__xludf.DUMMYFUNCTION("IF(OR(E65="""",A65=""""),"""",
 IF(
   DATE(VALUE(RIGHT(A65,4)),VALUE(MID(A65,4,2)),VALUE(LEFT(A65,2)))&gt;=TODAY(),
   IFERROR(
     GOOGLEFINANCE(""NSE:""&amp;UPPER(TRIM(E65)),""price""),
     ""Not Available""
   ),
   IFERROR(
     INDEX(
       GOOGLEFINANC"&amp;"E(
         ""NSE:""&amp;UPPER(TRIM(E65)),
         ""close"",
         DATE(VALUE(RIGHT(A65,4)),VALUE(MID(A65,4,2)),VALUE(LEFT(A65,2))),
         DATE(VALUE(RIGHT(A65,4)),VALUE(MID(A65,4,2)),VALUE(LEFT(A65,2)))+1
       ),
       2,2
     ),
     ""Not Avail"&amp;"able""
   )
 ))"),5300.0)</f>
        <v>5300</v>
      </c>
      <c r="G65" s="42">
        <f>IFERROR(__xludf.DUMMYFUNCTION("IF(E65="""","""",IFERROR(GOOGLEFINANCE(""NSE:""&amp;UPPER(TRIM(E65)),""price""),""Not Available""))"),5305.5)</f>
        <v>5305.5</v>
      </c>
      <c r="H65" s="53">
        <f t="shared" si="1"/>
        <v>20</v>
      </c>
      <c r="I65" s="58">
        <f t="shared" si="2"/>
        <v>0.001037735849</v>
      </c>
      <c r="J65" s="60">
        <f t="shared" si="3"/>
        <v>103.7735849</v>
      </c>
      <c r="K65" s="62">
        <v>5666.0</v>
      </c>
      <c r="L65" s="62">
        <v>6885.0</v>
      </c>
      <c r="M65" s="68">
        <f t="shared" si="4"/>
        <v>0.06905660377</v>
      </c>
      <c r="N65" s="68">
        <f t="shared" si="5"/>
        <v>0.2990566038</v>
      </c>
      <c r="O65" s="68">
        <v>0.0280188679245</v>
      </c>
      <c r="P65" s="23">
        <v>46288</v>
      </c>
      <c r="R65" s="68">
        <v>0.3473</v>
      </c>
      <c r="S65" s="23">
        <v>46203</v>
      </c>
      <c r="T65" s="23">
        <v>46269</v>
      </c>
      <c r="U65" s="39">
        <v>5300</v>
      </c>
      <c r="V65" s="39">
        <v>5183.74933333</v>
      </c>
      <c r="W65" t="inlineStr">
        <is>
          <t>Above 75 DMA</t>
        </is>
      </c>
    </row>
    <row r="66">
      <c r="A66" s="23">
        <v>46269.0</v>
      </c>
      <c r="B66" s="25" t="str">
        <f t="shared" si="6"/>
        <v>Friday</v>
      </c>
      <c r="C66" s="25" t="s">
        <v>252</v>
      </c>
      <c r="D66" s="31">
        <f>IFERROR(__xludf.DUMMYFUNCTION("GOOGLEFINANCE(""NSE:""&amp;UPPER(TRIM(E66)),""marketcap"")/10000000"),37538.6807491)</f>
        <v>37538.68075</v>
      </c>
      <c r="E66" s="32" t="s">
        <v>260</v>
      </c>
      <c r="F66" s="39">
        <f>IFERROR(__xludf.DUMMYFUNCTION("IF(OR(E66="""",A66=""""),"""",
 IF(
   DATE(VALUE(RIGHT(A66,4)),VALUE(MID(A66,4,2)),VALUE(LEFT(A66,2)))&gt;=TODAY(),
   IFERROR(
     GOOGLEFINANCE(""NSE:""&amp;UPPER(TRIM(E66)),""price""),
     ""Not Available""
   ),
   IFERROR(
     INDEX(
       GOOGLEFINANC"&amp;"E(
         ""NSE:""&amp;UPPER(TRIM(E66)),
         ""close"",
         DATE(VALUE(RIGHT(A66,4)),VALUE(MID(A66,4,2)),VALUE(LEFT(A66,2))),
         DATE(VALUE(RIGHT(A66,4)),VALUE(MID(A66,4,2)),VALUE(LEFT(A66,2)))+1
       ),
       2,2
     ),
     ""Not Avail"&amp;"able""
   )
 ))"),2782.8)</f>
        <v>2782.8</v>
      </c>
      <c r="G66" s="42">
        <f>IFERROR(__xludf.DUMMYFUNCTION("IF(E66="""","""",IFERROR(GOOGLEFINANCE(""NSE:""&amp;UPPER(TRIM(E66)),""price""),""Not Available""))"),2669.2)</f>
        <v>2669.2</v>
      </c>
      <c r="H66" s="53">
        <f t="shared" si="1"/>
        <v>20</v>
      </c>
      <c r="I66" s="58">
        <f t="shared" si="2"/>
        <v>-0.04082219347</v>
      </c>
      <c r="J66" s="60">
        <f t="shared" si="3"/>
        <v>-4082.219347</v>
      </c>
      <c r="K66" s="62">
        <v>2768.0</v>
      </c>
      <c r="L66" s="62">
        <v>2490.0</v>
      </c>
      <c r="M66" s="68">
        <f t="shared" si="4"/>
        <v>-0.005318384361</v>
      </c>
      <c r="N66" s="68">
        <f t="shared" si="5"/>
        <v>-0.1052177663</v>
      </c>
      <c r="O66" s="68">
        <v>0.0144458818456</v>
      </c>
      <c r="P66" s="23">
        <v>46274</v>
      </c>
      <c r="R66" s="68">
        <v>0.75</v>
      </c>
      <c r="S66" s="23">
        <v>46203</v>
      </c>
      <c r="T66" s="23">
        <v>46269</v>
      </c>
      <c r="U66" s="39">
        <v>2782.8</v>
      </c>
      <c r="V66" s="39">
        <v>2753.432</v>
      </c>
      <c r="W66" t="inlineStr">
        <is>
          <t>Above 75 DMA</t>
        </is>
      </c>
    </row>
    <row r="67">
      <c r="A67" s="23">
        <v>46269.0</v>
      </c>
      <c r="B67" s="25" t="str">
        <f t="shared" si="6"/>
        <v>Friday</v>
      </c>
      <c r="C67" s="25" t="s">
        <v>252</v>
      </c>
      <c r="D67" s="31">
        <f>IFERROR(__xludf.DUMMYFUNCTION("GOOGLEFINANCE(""NSE:""&amp;UPPER(TRIM(E67)),""marketcap"")/10000000"),359321.3868895)</f>
        <v>359321.3869</v>
      </c>
      <c r="E67" s="32" t="s">
        <v>262</v>
      </c>
      <c r="F67" s="39">
        <f>IFERROR(__xludf.DUMMYFUNCTION("IF(OR(E67="""",A67=""""),"""",
 IF(
   DATE(VALUE(RIGHT(A67,4)),VALUE(MID(A67,4,2)),VALUE(LEFT(A67,2)))&gt;=TODAY(),
   IFERROR(
     GOOGLEFINANCE(""NSE:""&amp;UPPER(TRIM(E67)),""price""),
     ""Not Available""
   ),
   IFERROR(
     INDEX(
       GOOGLEFINANC"&amp;"E(
         ""NSE:""&amp;UPPER(TRIM(E67)),
         ""close"",
         DATE(VALUE(RIGHT(A67,4)),VALUE(MID(A67,4,2)),VALUE(LEFT(A67,2))),
         DATE(VALUE(RIGHT(A67,4)),VALUE(MID(A67,4,2)),VALUE(LEFT(A67,2)))+1
       ),
       2,2
     ),
     ""Not Avail"&amp;"able""
   )
 ))"),3170.0)</f>
        <v>3170</v>
      </c>
      <c r="G67" s="42">
        <f>IFERROR(__xludf.DUMMYFUNCTION("IF(E67="""","""",IFERROR(GOOGLEFINANCE(""NSE:""&amp;UPPER(TRIM(E67)),""price""),""Not Available""))"),2991.0)</f>
        <v>2991</v>
      </c>
      <c r="H67" s="53">
        <f t="shared" si="1"/>
        <v>20</v>
      </c>
      <c r="I67" s="58">
        <f t="shared" si="2"/>
        <v>-0.05646687697</v>
      </c>
      <c r="J67" s="60">
        <f t="shared" si="3"/>
        <v>-5646.687697</v>
      </c>
      <c r="K67" s="62">
        <v>3436.0</v>
      </c>
      <c r="L67" s="62">
        <v>3274.0</v>
      </c>
      <c r="M67" s="68">
        <f t="shared" si="4"/>
        <v>0.08391167192</v>
      </c>
      <c r="N67" s="68">
        <f t="shared" si="5"/>
        <v>0.03280757098</v>
      </c>
      <c r="O67" s="68">
        <v>0.00252365930599</v>
      </c>
      <c r="P67" s="23">
        <v>46272</v>
      </c>
      <c r="R67" s="68">
        <v>0.1845</v>
      </c>
      <c r="S67" s="23">
        <v>46203</v>
      </c>
      <c r="T67" s="23">
        <v>46269</v>
      </c>
      <c r="U67" s="39">
        <v>3170</v>
      </c>
      <c r="V67" s="39">
        <v>3204.568</v>
      </c>
      <c r="W67" t="inlineStr">
        <is>
          <t>Below 75 DMA</t>
        </is>
      </c>
    </row>
    <row r="68">
      <c r="A68" s="23">
        <v>46268.0</v>
      </c>
      <c r="B68" s="25" t="str">
        <f t="shared" si="6"/>
        <v>Thursday</v>
      </c>
      <c r="C68" s="25" t="s">
        <v>252</v>
      </c>
      <c r="D68" s="31">
        <f>IFERROR(__xludf.DUMMYFUNCTION("GOOGLEFINANCE(""NSE:""&amp;UPPER(TRIM(E68)),""marketcap"")/10000000"),7681.016)</f>
        <v>7681.016</v>
      </c>
      <c r="E68" s="32" t="s">
        <v>105</v>
      </c>
      <c r="F68" s="39">
        <f>IFERROR(__xludf.DUMMYFUNCTION("IF(OR(E68="""",A68=""""),"""",
 IF(
   DATE(VALUE(RIGHT(A68,4)),VALUE(MID(A68,4,2)),VALUE(LEFT(A68,2)))&gt;=TODAY(),
   IFERROR(
     GOOGLEFINANCE(""NSE:""&amp;UPPER(TRIM(E68)),""price""),
     ""Not Available""
   ),
   IFERROR(
     INDEX(
       GOOGLEFINANC"&amp;"E(
         ""NSE:""&amp;UPPER(TRIM(E68)),
         ""close"",
         DATE(VALUE(RIGHT(A68,4)),VALUE(MID(A68,4,2)),VALUE(LEFT(A68,2))),
         DATE(VALUE(RIGHT(A68,4)),VALUE(MID(A68,4,2)),VALUE(LEFT(A68,2)))+1
       ),
       2,2
     ),
     ""Not Avail"&amp;"able""
   )
 ))"),707.45)</f>
        <v>707.45</v>
      </c>
      <c r="G68" s="42">
        <f>IFERROR(__xludf.DUMMYFUNCTION("IF(E68="""","""",IFERROR(GOOGLEFINANCE(""NSE:""&amp;UPPER(TRIM(E68)),""price""),""Not Available""))"),248.5)</f>
        <v>248.5</v>
      </c>
      <c r="H68" s="53">
        <f t="shared" si="1"/>
        <v>21</v>
      </c>
      <c r="I68" s="58">
        <f t="shared" si="2"/>
        <v>-0.6487384267</v>
      </c>
      <c r="J68" s="60">
        <f t="shared" si="3"/>
        <v>-64873.84267</v>
      </c>
      <c r="K68" s="62">
        <v>298.0</v>
      </c>
      <c r="L68" s="62">
        <v>223.0</v>
      </c>
      <c r="M68" s="68">
        <f t="shared" si="4"/>
        <v>-0.5787688176</v>
      </c>
      <c r="N68" s="68">
        <f t="shared" si="5"/>
        <v>-0.6847833769</v>
      </c>
      <c r="T68" s="23">
        <v>46268</v>
      </c>
      <c r="U68" s="39">
        <v>708</v>
      </c>
      <c r="V68" s="39">
        <v>609.448</v>
      </c>
      <c r="W68" t="inlineStr">
        <is>
          <t>Above 75 DMA</t>
        </is>
      </c>
    </row>
    <row r="69">
      <c r="A69" s="23">
        <v>46268.0</v>
      </c>
      <c r="B69" s="25" t="str">
        <f t="shared" si="6"/>
        <v>Thursday</v>
      </c>
      <c r="C69" s="25" t="s">
        <v>252</v>
      </c>
      <c r="D69" s="31">
        <f>IFERROR(__xludf.DUMMYFUNCTION("GOOGLEFINANCE(""NSE:""&amp;UPPER(TRIM(E69)),""marketcap"")/10000000"),16786.4637324)</f>
        <v>16786.46373</v>
      </c>
      <c r="E69" s="32" t="s">
        <v>265</v>
      </c>
      <c r="F69" s="39">
        <f>IFERROR(__xludf.DUMMYFUNCTION("IF(OR(E69="""",A69=""""),"""",
 IF(
   DATE(VALUE(RIGHT(A69,4)),VALUE(MID(A69,4,2)),VALUE(LEFT(A69,2)))&gt;=TODAY(),
   IFERROR(
     GOOGLEFINANCE(""NSE:""&amp;UPPER(TRIM(E69)),""price""),
     ""Not Available""
   ),
   IFERROR(
     INDEX(
       GOOGLEFINANC"&amp;"E(
         ""NSE:""&amp;UPPER(TRIM(E69)),
         ""close"",
         DATE(VALUE(RIGHT(A69,4)),VALUE(MID(A69,4,2)),VALUE(LEFT(A69,2))),
         DATE(VALUE(RIGHT(A69,4)),VALUE(MID(A69,4,2)),VALUE(LEFT(A69,2)))+1
       ),
       2,2
     ),
     ""Not Avail"&amp;"able""
   )
 ))"),138.05)</f>
        <v>138.05</v>
      </c>
      <c r="G69" s="42">
        <f>IFERROR(__xludf.DUMMYFUNCTION("IF(E69="""","""",IFERROR(GOOGLEFINANCE(""NSE:""&amp;UPPER(TRIM(E69)),""price""),""Not Available""))"),136.15)</f>
        <v>136.15</v>
      </c>
      <c r="H69" s="53">
        <f t="shared" si="1"/>
        <v>21</v>
      </c>
      <c r="I69" s="58">
        <f t="shared" si="2"/>
        <v>-0.0137631293</v>
      </c>
      <c r="J69" s="60">
        <f t="shared" si="3"/>
        <v>-1376.31293</v>
      </c>
      <c r="K69" s="62">
        <v>149.0</v>
      </c>
      <c r="L69" s="62">
        <v>59.0</v>
      </c>
      <c r="M69" s="68">
        <f t="shared" si="4"/>
        <v>0.07931908729</v>
      </c>
      <c r="N69" s="68">
        <f t="shared" si="5"/>
        <v>-0.5726186164</v>
      </c>
      <c r="O69" s="68">
        <v>0.053241579138</v>
      </c>
      <c r="P69" s="23">
        <v>46287</v>
      </c>
      <c r="R69" s="68">
        <v>0.6136</v>
      </c>
      <c r="S69" s="23">
        <v>46203</v>
      </c>
      <c r="T69" s="23">
        <v>46268</v>
      </c>
      <c r="U69" s="39">
        <v>138.05</v>
      </c>
      <c r="V69" s="39">
        <v>121.456533333</v>
      </c>
      <c r="W69" t="inlineStr">
        <is>
          <t>Above 75 DMA</t>
        </is>
      </c>
    </row>
    <row r="70">
      <c r="A70" s="23">
        <v>46268.0</v>
      </c>
      <c r="B70" s="25" t="str">
        <f t="shared" si="6"/>
        <v>Thursday</v>
      </c>
      <c r="C70" s="25" t="s">
        <v>252</v>
      </c>
      <c r="D70" s="31">
        <f>IFERROR(__xludf.DUMMYFUNCTION("GOOGLEFINANCE(""NSE:""&amp;UPPER(TRIM(E70)),""marketcap"")/10000000"),18009.0271683)</f>
        <v>18009.02717</v>
      </c>
      <c r="E70" s="32" t="s">
        <v>85</v>
      </c>
      <c r="F70" s="39">
        <f>IFERROR(__xludf.DUMMYFUNCTION("IF(OR(E70="""",A70=""""),"""",
 IF(
   DATE(VALUE(RIGHT(A70,4)),VALUE(MID(A70,4,2)),VALUE(LEFT(A70,2)))&gt;=TODAY(),
   IFERROR(
     GOOGLEFINANCE(""NSE:""&amp;UPPER(TRIM(E70)),""price""),
     ""Not Available""
   ),
   IFERROR(
     INDEX(
       GOOGLEFINANC"&amp;"E(
         ""NSE:""&amp;UPPER(TRIM(E70)),
         ""close"",
         DATE(VALUE(RIGHT(A70,4)),VALUE(MID(A70,4,2)),VALUE(LEFT(A70,2))),
         DATE(VALUE(RIGHT(A70,4)),VALUE(MID(A70,4,2)),VALUE(LEFT(A70,2)))+1
       ),
       2,2
     ),
     ""Not Avail"&amp;"able""
   )
 ))"),310.85)</f>
        <v>310.85</v>
      </c>
      <c r="G70" s="42">
        <f>IFERROR(__xludf.DUMMYFUNCTION("IF(E70="""","""",IFERROR(GOOGLEFINANCE(""NSE:""&amp;UPPER(TRIM(E70)),""price""),""Not Available""))"),283.1)</f>
        <v>283.1</v>
      </c>
      <c r="H70" s="53">
        <f t="shared" si="1"/>
        <v>21</v>
      </c>
      <c r="I70" s="58">
        <f t="shared" si="2"/>
        <v>-0.08927135274</v>
      </c>
      <c r="J70" s="60">
        <f t="shared" si="3"/>
        <v>-8927.135274</v>
      </c>
      <c r="K70" s="62">
        <v>327.0</v>
      </c>
      <c r="L70" s="62">
        <v>124.0</v>
      </c>
      <c r="M70" s="68">
        <f t="shared" si="4"/>
        <v>0.0519543188</v>
      </c>
      <c r="N70" s="68">
        <f t="shared" si="5"/>
        <v>-0.6010937751</v>
      </c>
      <c r="O70" s="68">
        <v>0.0294354190124</v>
      </c>
      <c r="P70" s="23">
        <v>46275</v>
      </c>
      <c r="Q70" s="68">
        <v>0.101104155882</v>
      </c>
      <c r="R70" s="68">
        <v>0.6325</v>
      </c>
      <c r="S70" s="23">
        <v>46203</v>
      </c>
      <c r="T70" s="23">
        <v>46268</v>
      </c>
      <c r="U70" s="39">
        <v>310.85</v>
      </c>
      <c r="V70" s="39">
        <v>261.909333333</v>
      </c>
      <c r="W70" t="inlineStr">
        <is>
          <t>Above 75 DMA</t>
        </is>
      </c>
    </row>
    <row r="71">
      <c r="A71" s="23">
        <v>46268.0</v>
      </c>
      <c r="B71" s="25" t="str">
        <f t="shared" si="6"/>
        <v>Thursday</v>
      </c>
      <c r="C71" s="25" t="s">
        <v>252</v>
      </c>
      <c r="D71" s="31">
        <f>IFERROR(__xludf.DUMMYFUNCTION("GOOGLEFINANCE(""NSE:""&amp;UPPER(TRIM(E71)),""marketcap"")/10000000"),17027.6054077)</f>
        <v>17027.60541</v>
      </c>
      <c r="E71" s="32" t="s">
        <v>268</v>
      </c>
      <c r="F71" s="39">
        <f>IFERROR(__xludf.DUMMYFUNCTION("IF(OR(E71="""",A71=""""),"""",
 IF(
   DATE(VALUE(RIGHT(A71,4)),VALUE(MID(A71,4,2)),VALUE(LEFT(A71,2)))&gt;=TODAY(),
   IFERROR(
     GOOGLEFINANCE(""NSE:""&amp;UPPER(TRIM(E71)),""price""),
     ""Not Available""
   ),
   IFERROR(
     INDEX(
       GOOGLEFINANC"&amp;"E(
         ""NSE:""&amp;UPPER(TRIM(E71)),
         ""close"",
         DATE(VALUE(RIGHT(A71,4)),VALUE(MID(A71,4,2)),VALUE(LEFT(A71,2))),
         DATE(VALUE(RIGHT(A71,4)),VALUE(MID(A71,4,2)),VALUE(LEFT(A71,2)))+1
       ),
       2,2
     ),
     ""Not Avail"&amp;"able""
   )
 ))"),2079.4)</f>
        <v>2079.4</v>
      </c>
      <c r="G71" s="42">
        <f>IFERROR(__xludf.DUMMYFUNCTION("IF(E71="""","""",IFERROR(GOOGLEFINANCE(""NSE:""&amp;UPPER(TRIM(E71)),""price""),""Not Available""))"),2044.4)</f>
        <v>2044.4</v>
      </c>
      <c r="H71" s="53">
        <f t="shared" si="1"/>
        <v>21</v>
      </c>
      <c r="I71" s="58">
        <f t="shared" si="2"/>
        <v>-0.0168317784</v>
      </c>
      <c r="J71" s="60">
        <f t="shared" si="3"/>
        <v>-1683.17784</v>
      </c>
      <c r="K71" s="62">
        <v>1687.0</v>
      </c>
      <c r="L71" s="62">
        <v>1164.0</v>
      </c>
      <c r="M71" s="68">
        <f t="shared" si="4"/>
        <v>-0.1887082812</v>
      </c>
      <c r="N71" s="68">
        <f t="shared" si="5"/>
        <v>-0.4402231413</v>
      </c>
      <c r="O71" s="68">
        <v>0.0604020390497</v>
      </c>
      <c r="P71" s="23">
        <v>46273</v>
      </c>
      <c r="R71" s="68">
        <v>0.5403</v>
      </c>
      <c r="S71" s="23">
        <v>46203</v>
      </c>
      <c r="T71" s="23">
        <v>46268</v>
      </c>
      <c r="U71" s="39">
        <v>2079.4</v>
      </c>
      <c r="V71" s="39">
        <v>1820.93066667</v>
      </c>
      <c r="W71" t="inlineStr">
        <is>
          <t>Above 75 DMA</t>
        </is>
      </c>
    </row>
    <row r="72">
      <c r="A72" s="23">
        <v>46267.0</v>
      </c>
      <c r="B72" s="25" t="str">
        <f t="shared" si="6"/>
        <v>Wednesday</v>
      </c>
      <c r="C72" s="25" t="s">
        <v>252</v>
      </c>
      <c r="D72" s="31">
        <f>IFERROR(__xludf.DUMMYFUNCTION("GOOGLEFINANCE(""NSE:""&amp;UPPER(TRIM(E72)),""marketcap"")/10000000"),24836.1880677)</f>
        <v>24836.18807</v>
      </c>
      <c r="E72" s="32" t="s">
        <v>67</v>
      </c>
      <c r="F72" s="39">
        <f>IFERROR(__xludf.DUMMYFUNCTION("IF(OR(E72="""",A72=""""),"""",
 IF(
   DATE(VALUE(RIGHT(A72,4)),VALUE(MID(A72,4,2)),VALUE(LEFT(A72,2)))&gt;=TODAY(),
   IFERROR(
     GOOGLEFINANCE(""NSE:""&amp;UPPER(TRIM(E72)),""price""),
     ""Not Available""
   ),
   IFERROR(
     INDEX(
       GOOGLEFINANC"&amp;"E(
         ""NSE:""&amp;UPPER(TRIM(E72)),
         ""close"",
         DATE(VALUE(RIGHT(A72,4)),VALUE(MID(A72,4,2)),VALUE(LEFT(A72,2))),
         DATE(VALUE(RIGHT(A72,4)),VALUE(MID(A72,4,2)),VALUE(LEFT(A72,2)))+1
       ),
       2,2
     ),
     ""Not Avail"&amp;"able""
   )
 ))"),1071.5)</f>
        <v>1071.5</v>
      </c>
      <c r="G72" s="42">
        <f>IFERROR(__xludf.DUMMYFUNCTION("IF(E72="""","""",IFERROR(GOOGLEFINANCE(""NSE:""&amp;UPPER(TRIM(E72)),""price""),""Not Available""))"),1303.7)</f>
        <v>1303.7</v>
      </c>
      <c r="H72" s="53">
        <f t="shared" si="1"/>
        <v>22</v>
      </c>
      <c r="I72" s="58">
        <f t="shared" si="2"/>
        <v>0.216705553</v>
      </c>
      <c r="J72" s="60">
        <f t="shared" si="3"/>
        <v>21670.5553</v>
      </c>
      <c r="K72" s="62">
        <v>988.0</v>
      </c>
      <c r="L72" s="62">
        <v>593.0</v>
      </c>
      <c r="M72" s="68">
        <f t="shared" si="4"/>
        <v>-0.07792813812</v>
      </c>
      <c r="N72" s="68">
        <f t="shared" si="5"/>
        <v>-0.4465702287</v>
      </c>
      <c r="O72" s="68">
        <v>0.187960802613</v>
      </c>
      <c r="P72" s="23">
        <v>46288</v>
      </c>
      <c r="R72" s="68">
        <v>0.3889</v>
      </c>
      <c r="S72" s="23">
        <v>46203</v>
      </c>
      <c r="T72" s="23">
        <v>46267</v>
      </c>
      <c r="U72" s="39">
        <v>1071.5</v>
      </c>
      <c r="V72" s="39">
        <v>1095.77733333</v>
      </c>
      <c r="W72" t="inlineStr">
        <is>
          <t>Below 75 DMA</t>
        </is>
      </c>
    </row>
    <row r="73">
      <c r="A73" s="23">
        <v>46267.0</v>
      </c>
      <c r="B73" s="25" t="str">
        <f t="shared" si="6"/>
        <v>Wednesday</v>
      </c>
      <c r="C73" s="25" t="s">
        <v>252</v>
      </c>
      <c r="D73" s="31">
        <f>IFERROR(__xludf.DUMMYFUNCTION("GOOGLEFINANCE(""NSE:""&amp;UPPER(TRIM(E73)),""marketcap"")/10000000"),7175.1944488)</f>
        <v>7175.194449</v>
      </c>
      <c r="E73" s="32" t="s">
        <v>271</v>
      </c>
      <c r="F73" s="39">
        <f>IFERROR(__xludf.DUMMYFUNCTION("IF(OR(E73="""",A73=""""),"""",
 IF(
   DATE(VALUE(RIGHT(A73,4)),VALUE(MID(A73,4,2)),VALUE(LEFT(A73,2)))&gt;=TODAY(),
   IFERROR(
     GOOGLEFINANCE(""NSE:""&amp;UPPER(TRIM(E73)),""price""),
     ""Not Available""
   ),
   IFERROR(
     INDEX(
       GOOGLEFINANC"&amp;"E(
         ""NSE:""&amp;UPPER(TRIM(E73)),
         ""close"",
         DATE(VALUE(RIGHT(A73,4)),VALUE(MID(A73,4,2)),VALUE(LEFT(A73,2))),
         DATE(VALUE(RIGHT(A73,4)),VALUE(MID(A73,4,2)),VALUE(LEFT(A73,2)))+1
       ),
       2,2
     ),
     ""Not Avail"&amp;"able""
   )
 ))"),228.21)</f>
        <v>228.21</v>
      </c>
      <c r="G73" s="42">
        <f>IFERROR(__xludf.DUMMYFUNCTION("IF(E73="""","""",IFERROR(GOOGLEFINANCE(""NSE:""&amp;UPPER(TRIM(E73)),""price""),""Not Available""))"),223.27)</f>
        <v>223.27</v>
      </c>
      <c r="H73" s="53">
        <f t="shared" si="1"/>
        <v>22</v>
      </c>
      <c r="I73" s="58">
        <f t="shared" si="2"/>
        <v>-0.02164672889</v>
      </c>
      <c r="J73" s="60">
        <f t="shared" si="3"/>
        <v>-2164.672889</v>
      </c>
      <c r="K73" s="62">
        <v>311.0</v>
      </c>
      <c r="L73" s="62">
        <v>76.0</v>
      </c>
      <c r="M73" s="68">
        <f t="shared" si="4"/>
        <v>0.3627798957</v>
      </c>
      <c r="N73" s="68">
        <f t="shared" si="5"/>
        <v>-0.6669734017</v>
      </c>
      <c r="O73" s="68">
        <v>0.0599886069848</v>
      </c>
      <c r="P73" s="23">
        <v>46286</v>
      </c>
      <c r="R73" s="68">
        <v>0.2607</v>
      </c>
      <c r="S73" s="23">
        <v>46203</v>
      </c>
      <c r="T73" s="23">
        <v>46267</v>
      </c>
      <c r="U73" s="39">
        <v>228.21</v>
      </c>
      <c r="V73" s="39">
        <v>196.3836</v>
      </c>
      <c r="W73" t="inlineStr">
        <is>
          <t>Above 75 DMA</t>
        </is>
      </c>
    </row>
    <row r="74">
      <c r="A74" s="23">
        <v>46267.0</v>
      </c>
      <c r="B74" s="25" t="str">
        <f t="shared" si="6"/>
        <v>Wednesday</v>
      </c>
      <c r="C74" s="25" t="s">
        <v>252</v>
      </c>
      <c r="D74" s="31">
        <f>IFERROR(__xludf.DUMMYFUNCTION("GOOGLEFINANCE(""NSE:""&amp;UPPER(TRIM(E74)),""marketcap"")/10000000"),31579.7738028)</f>
        <v>31579.7738</v>
      </c>
      <c r="E74" s="32" t="s">
        <v>273</v>
      </c>
      <c r="F74" s="39">
        <f>IFERROR(__xludf.DUMMYFUNCTION("IF(OR(E74="""",A74=""""),"""",
 IF(
   DATE(VALUE(RIGHT(A74,4)),VALUE(MID(A74,4,2)),VALUE(LEFT(A74,2)))&gt;=TODAY(),
   IFERROR(
     GOOGLEFINANCE(""NSE:""&amp;UPPER(TRIM(E74)),""price""),
     ""Not Available""
   ),
   IFERROR(
     INDEX(
       GOOGLEFINANC"&amp;"E(
         ""NSE:""&amp;UPPER(TRIM(E74)),
         ""close"",
         DATE(VALUE(RIGHT(A74,4)),VALUE(MID(A74,4,2)),VALUE(LEFT(A74,2))),
         DATE(VALUE(RIGHT(A74,4)),VALUE(MID(A74,4,2)),VALUE(LEFT(A74,2)))+1
       ),
       2,2
     ),
     ""Not Avail"&amp;"able""
   )
 ))"),363.2)</f>
        <v>363.2</v>
      </c>
      <c r="G74" s="42">
        <f>IFERROR(__xludf.DUMMYFUNCTION("IF(E74="""","""",IFERROR(GOOGLEFINANCE(""NSE:""&amp;UPPER(TRIM(E74)),""price""),""Not Available""))"),404.0)</f>
        <v>404</v>
      </c>
      <c r="H74" s="53">
        <f t="shared" si="1"/>
        <v>22</v>
      </c>
      <c r="I74" s="58">
        <f t="shared" si="2"/>
        <v>0.1123348018</v>
      </c>
      <c r="J74" s="60">
        <f t="shared" si="3"/>
        <v>11233.48018</v>
      </c>
      <c r="K74" s="62">
        <v>474.0</v>
      </c>
      <c r="L74" s="62">
        <v>164.0</v>
      </c>
      <c r="M74" s="68">
        <f t="shared" si="4"/>
        <v>0.3050660793</v>
      </c>
      <c r="N74" s="68">
        <f t="shared" si="5"/>
        <v>-0.5484581498</v>
      </c>
      <c r="O74" s="68">
        <v>0.155011013216</v>
      </c>
      <c r="P74" s="23">
        <v>46288</v>
      </c>
      <c r="R74" s="68">
        <v>0</v>
      </c>
      <c r="S74" s="23">
        <v>46203</v>
      </c>
      <c r="T74" s="23">
        <v>46267</v>
      </c>
      <c r="U74" s="39">
        <v>363.2</v>
      </c>
      <c r="V74" s="39">
        <v>285.311733333</v>
      </c>
      <c r="W74" t="inlineStr">
        <is>
          <t>Above 75 DMA</t>
        </is>
      </c>
    </row>
    <row r="75">
      <c r="A75" s="23">
        <v>46267.0</v>
      </c>
      <c r="B75" s="25" t="str">
        <f t="shared" si="6"/>
        <v>Wednesday</v>
      </c>
      <c r="C75" s="25" t="s">
        <v>252</v>
      </c>
      <c r="D75" s="31">
        <f>IFERROR(__xludf.DUMMYFUNCTION("GOOGLEFINANCE(""NSE:""&amp;UPPER(TRIM(E75)),""marketcap"")/10000000"),12853.92458)</f>
        <v>12853.92458</v>
      </c>
      <c r="E75" s="32" t="s">
        <v>275</v>
      </c>
      <c r="F75" s="39">
        <f>IFERROR(__xludf.DUMMYFUNCTION("IF(OR(E75="""",A75=""""),"""",
 IF(
   DATE(VALUE(RIGHT(A75,4)),VALUE(MID(A75,4,2)),VALUE(LEFT(A75,2)))&gt;=TODAY(),
   IFERROR(
     GOOGLEFINANCE(""NSE:""&amp;UPPER(TRIM(E75)),""price""),
     ""Not Available""
   ),
   IFERROR(
     INDEX(
       GOOGLEFINANC"&amp;"E(
         ""NSE:""&amp;UPPER(TRIM(E75)),
         ""close"",
         DATE(VALUE(RIGHT(A75,4)),VALUE(MID(A75,4,2)),VALUE(LEFT(A75,2))),
         DATE(VALUE(RIGHT(A75,4)),VALUE(MID(A75,4,2)),VALUE(LEFT(A75,2)))+1
       ),
       2,2
     ),
     ""Not Avail"&amp;"able""
   )
 ))"),726.1)</f>
        <v>726.1</v>
      </c>
      <c r="G75" s="42">
        <f>IFERROR(__xludf.DUMMYFUNCTION("IF(E75="""","""",IFERROR(GOOGLEFINANCE(""NSE:""&amp;UPPER(TRIM(E75)),""price""),""Not Available""))"),707.0)</f>
        <v>707</v>
      </c>
      <c r="H75" s="53">
        <f t="shared" si="1"/>
        <v>22</v>
      </c>
      <c r="I75" s="58">
        <f t="shared" si="2"/>
        <v>-0.02630491668</v>
      </c>
      <c r="J75" s="60">
        <f t="shared" si="3"/>
        <v>-2630.491668</v>
      </c>
      <c r="K75" s="62">
        <v>776.0</v>
      </c>
      <c r="L75" s="62">
        <v>281.0</v>
      </c>
      <c r="M75" s="68">
        <f t="shared" si="4"/>
        <v>0.06872331635</v>
      </c>
      <c r="N75" s="68">
        <f t="shared" si="5"/>
        <v>-0.6130009641</v>
      </c>
      <c r="O75" s="68">
        <v>0.0225864206032</v>
      </c>
      <c r="P75" s="23">
        <v>46268</v>
      </c>
      <c r="R75" s="68">
        <v>0.4339</v>
      </c>
      <c r="S75" s="23">
        <v>46203</v>
      </c>
      <c r="T75" s="23">
        <v>46267</v>
      </c>
      <c r="U75" s="39">
        <v>726.1</v>
      </c>
      <c r="V75" s="39">
        <v>623.17</v>
      </c>
      <c r="W75" t="inlineStr">
        <is>
          <t>Above 75 DMA</t>
        </is>
      </c>
    </row>
    <row r="76">
      <c r="A76" s="23">
        <v>46267.0</v>
      </c>
      <c r="B76" s="25" t="str">
        <f t="shared" si="6"/>
        <v>Wednesday</v>
      </c>
      <c r="C76" s="25" t="s">
        <v>252</v>
      </c>
      <c r="D76" s="31">
        <f>IFERROR(__xludf.DUMMYFUNCTION("GOOGLEFINANCE(""NSE:""&amp;UPPER(TRIM(E76)),""marketcap"")/10000000"),11002.1438948)</f>
        <v>11002.14389</v>
      </c>
      <c r="E76" s="32" t="s">
        <v>277</v>
      </c>
      <c r="F76" s="39">
        <f>IFERROR(__xludf.DUMMYFUNCTION("IF(OR(E76="""",A76=""""),"""",
 IF(
   DATE(VALUE(RIGHT(A76,4)),VALUE(MID(A76,4,2)),VALUE(LEFT(A76,2)))&gt;=TODAY(),
   IFERROR(
     GOOGLEFINANCE(""NSE:""&amp;UPPER(TRIM(E76)),""price""),
     ""Not Available""
   ),
   IFERROR(
     INDEX(
       GOOGLEFINANC"&amp;"E(
         ""NSE:""&amp;UPPER(TRIM(E76)),
         ""close"",
         DATE(VALUE(RIGHT(A76,4)),VALUE(MID(A76,4,2)),VALUE(LEFT(A76,2))),
         DATE(VALUE(RIGHT(A76,4)),VALUE(MID(A76,4,2)),VALUE(LEFT(A76,2)))+1
       ),
       2,2
     ),
     ""Not Avail"&amp;"able""
   )
 ))"),1122.2)</f>
        <v>1122.2</v>
      </c>
      <c r="G76" s="42">
        <f>IFERROR(__xludf.DUMMYFUNCTION("IF(E76="""","""",IFERROR(GOOGLEFINANCE(""NSE:""&amp;UPPER(TRIM(E76)),""price""),""Not Available""))"),1055.8)</f>
        <v>1055.8</v>
      </c>
      <c r="H76" s="53">
        <f t="shared" si="1"/>
        <v>22</v>
      </c>
      <c r="I76" s="58">
        <f t="shared" si="2"/>
        <v>-0.0591694885</v>
      </c>
      <c r="J76" s="60">
        <f t="shared" si="3"/>
        <v>-5916.94885</v>
      </c>
      <c r="K76" s="62">
        <v>1295.0</v>
      </c>
      <c r="L76" s="62">
        <v>448.0</v>
      </c>
      <c r="M76" s="68">
        <f t="shared" si="4"/>
        <v>0.1539832472</v>
      </c>
      <c r="N76" s="68">
        <f t="shared" si="5"/>
        <v>-0.6007841739</v>
      </c>
      <c r="O76" s="68">
        <v>0.0084655141686</v>
      </c>
      <c r="P76" s="23">
        <v>46269</v>
      </c>
      <c r="R76" s="68">
        <v>0.2328</v>
      </c>
      <c r="S76" s="23">
        <v>46203</v>
      </c>
      <c r="T76" s="23">
        <v>46267</v>
      </c>
      <c r="U76" s="39">
        <v>1122.2</v>
      </c>
      <c r="V76" s="39">
        <v>892.528</v>
      </c>
      <c r="W76" t="inlineStr">
        <is>
          <t>Above 75 DMA</t>
        </is>
      </c>
    </row>
    <row r="77">
      <c r="A77" s="23">
        <v>46267.0</v>
      </c>
      <c r="B77" s="25" t="str">
        <f t="shared" si="6"/>
        <v>Wednesday</v>
      </c>
      <c r="C77" s="25" t="s">
        <v>252</v>
      </c>
      <c r="D77" s="31">
        <f>IFERROR(__xludf.DUMMYFUNCTION("GOOGLEFINANCE(""NSE:""&amp;UPPER(TRIM(E77)),""marketcap"")/10000000"),24532.1286865)</f>
        <v>24532.12869</v>
      </c>
      <c r="E77" s="32" t="s">
        <v>279</v>
      </c>
      <c r="F77" s="39">
        <f>IFERROR(__xludf.DUMMYFUNCTION("IF(OR(E77="""",A77=""""),"""",
 IF(
   DATE(VALUE(RIGHT(A77,4)),VALUE(MID(A77,4,2)),VALUE(LEFT(A77,2)))&gt;=TODAY(),
   IFERROR(
     GOOGLEFINANCE(""NSE:""&amp;UPPER(TRIM(E77)),""price""),
     ""Not Available""
   ),
   IFERROR(
     INDEX(
       GOOGLEFINANC"&amp;"E(
         ""NSE:""&amp;UPPER(TRIM(E77)),
         ""close"",
         DATE(VALUE(RIGHT(A77,4)),VALUE(MID(A77,4,2)),VALUE(LEFT(A77,2))),
         DATE(VALUE(RIGHT(A77,4)),VALUE(MID(A77,4,2)),VALUE(LEFT(A77,2)))+1
       ),
       2,2
     ),
     ""Not Avail"&amp;"able""
   )
 ))"),955.65)</f>
        <v>955.65</v>
      </c>
      <c r="G77" s="42">
        <f>IFERROR(__xludf.DUMMYFUNCTION("IF(E77="""","""",IFERROR(GOOGLEFINANCE(""NSE:""&amp;UPPER(TRIM(E77)),""price""),""Not Available""))"),1078.8)</f>
        <v>1078.8</v>
      </c>
      <c r="H77" s="53">
        <f t="shared" si="1"/>
        <v>22</v>
      </c>
      <c r="I77" s="58">
        <f t="shared" si="2"/>
        <v>0.1288651703</v>
      </c>
      <c r="J77" s="60">
        <f t="shared" si="3"/>
        <v>12886.51703</v>
      </c>
      <c r="K77" s="62">
        <v>720.0</v>
      </c>
      <c r="L77" s="62">
        <v>492.0</v>
      </c>
      <c r="M77" s="68">
        <f t="shared" si="4"/>
        <v>-0.2465860932</v>
      </c>
      <c r="N77" s="68">
        <f t="shared" si="5"/>
        <v>-0.4851671637</v>
      </c>
      <c r="O77" s="68">
        <v>0.187254748077</v>
      </c>
      <c r="P77" s="23">
        <v>46286</v>
      </c>
      <c r="R77" s="68">
        <v>0.6255</v>
      </c>
      <c r="S77" s="23">
        <v>46203</v>
      </c>
      <c r="T77" s="23">
        <v>46267</v>
      </c>
      <c r="U77" s="39">
        <v>955.65</v>
      </c>
      <c r="V77" s="39">
        <v>783.218</v>
      </c>
      <c r="W77" t="inlineStr">
        <is>
          <t>Above 75 DMA</t>
        </is>
      </c>
    </row>
    <row r="78">
      <c r="A78" s="23">
        <v>46267.0</v>
      </c>
      <c r="B78" s="25" t="str">
        <f t="shared" si="6"/>
        <v>Wednesday</v>
      </c>
      <c r="C78" s="25" t="s">
        <v>252</v>
      </c>
      <c r="D78" s="31">
        <f>IFERROR(__xludf.DUMMYFUNCTION("GOOGLEFINANCE(""NSE:""&amp;UPPER(TRIM(E78)),""marketcap"")/10000000"),162190.0693522)</f>
        <v>162190.0694</v>
      </c>
      <c r="E78" s="32" t="s">
        <v>281</v>
      </c>
      <c r="F78" s="39">
        <f>IFERROR(__xludf.DUMMYFUNCTION("IF(OR(E78="""",A78=""""),"""",
 IF(
   DATE(VALUE(RIGHT(A78,4)),VALUE(MID(A78,4,2)),VALUE(LEFT(A78,2)))&gt;=TODAY(),
   IFERROR(
     GOOGLEFINANCE(""NSE:""&amp;UPPER(TRIM(E78)),""price""),
     ""Not Available""
   ),
   IFERROR(
     INDEX(
       GOOGLEFINANC"&amp;"E(
         ""NSE:""&amp;UPPER(TRIM(E78)),
         ""close"",
         DATE(VALUE(RIGHT(A78,4)),VALUE(MID(A78,4,2)),VALUE(LEFT(A78,2))),
         DATE(VALUE(RIGHT(A78,4)),VALUE(MID(A78,4,2)),VALUE(LEFT(A78,2)))+1
       ),
       2,2
     ),
     ""Not Avail"&amp;"able""
   )
 ))"),447.45)</f>
        <v>447.45</v>
      </c>
      <c r="G78" s="42">
        <f>IFERROR(__xludf.DUMMYFUNCTION("IF(E78="""","""",IFERROR(GOOGLEFINANCE(""NSE:""&amp;UPPER(TRIM(E78)),""price""),""Not Available""))"),440.4)</f>
        <v>440.4</v>
      </c>
      <c r="H78" s="53">
        <f t="shared" si="1"/>
        <v>22</v>
      </c>
      <c r="I78" s="58">
        <f t="shared" si="2"/>
        <v>-0.01575595039</v>
      </c>
      <c r="J78" s="60">
        <f t="shared" si="3"/>
        <v>-1575.595039</v>
      </c>
      <c r="K78" s="62">
        <v>528.0</v>
      </c>
      <c r="L78" s="62">
        <v>0.0</v>
      </c>
      <c r="M78" s="68">
        <f t="shared" si="4"/>
        <v>0.180020114</v>
      </c>
      <c r="N78" s="68">
        <f t="shared" si="5"/>
        <v>-1</v>
      </c>
      <c r="O78" s="68">
        <v>0.0486087831043</v>
      </c>
      <c r="P78" s="23">
        <v>46269</v>
      </c>
      <c r="R78" s="68">
        <v>0.4256</v>
      </c>
      <c r="S78" s="23">
        <v>46203</v>
      </c>
      <c r="T78" s="23">
        <v>46267</v>
      </c>
      <c r="U78" s="39">
        <v>447.45</v>
      </c>
      <c r="V78" s="39">
        <v>421.642</v>
      </c>
      <c r="W78" t="inlineStr">
        <is>
          <t>Above 75 DMA</t>
        </is>
      </c>
    </row>
    <row r="79">
      <c r="A79" s="23">
        <v>46267.0</v>
      </c>
      <c r="B79" s="25" t="str">
        <f t="shared" si="6"/>
        <v>Wednesday</v>
      </c>
      <c r="C79" s="25" t="s">
        <v>252</v>
      </c>
      <c r="D79" s="31">
        <f>IFERROR(__xludf.DUMMYFUNCTION("GOOGLEFINANCE(""NSE:""&amp;UPPER(TRIM(E79)),""marketcap"")/10000000"),22654.8992557)</f>
        <v>22654.89926</v>
      </c>
      <c r="E79" s="32" t="s">
        <v>181</v>
      </c>
      <c r="F79" s="39">
        <f>IFERROR(__xludf.DUMMYFUNCTION("IF(OR(E79="""",A79=""""),"""",
 IF(
   DATE(VALUE(RIGHT(A79,4)),VALUE(MID(A79,4,2)),VALUE(LEFT(A79,2)))&gt;=TODAY(),
   IFERROR(
     GOOGLEFINANCE(""NSE:""&amp;UPPER(TRIM(E79)),""price""),
     ""Not Available""
   ),
   IFERROR(
     INDEX(
       GOOGLEFINANC"&amp;"E(
         ""NSE:""&amp;UPPER(TRIM(E79)),
         ""close"",
         DATE(VALUE(RIGHT(A79,4)),VALUE(MID(A79,4,2)),VALUE(LEFT(A79,2))),
         DATE(VALUE(RIGHT(A79,4)),VALUE(MID(A79,4,2)),VALUE(LEFT(A79,2)))+1
       ),
       2,2
     ),
     ""Not Avail"&amp;"able""
   )
 ))"),1191.2)</f>
        <v>1191.2</v>
      </c>
      <c r="G79" s="42">
        <f>IFERROR(__xludf.DUMMYFUNCTION("IF(E79="""","""",IFERROR(GOOGLEFINANCE(""NSE:""&amp;UPPER(TRIM(E79)),""price""),""Not Available""))"),1481.3)</f>
        <v>1481.3</v>
      </c>
      <c r="H79" s="53">
        <f t="shared" si="1"/>
        <v>22</v>
      </c>
      <c r="I79" s="58">
        <f t="shared" si="2"/>
        <v>0.2435359302</v>
      </c>
      <c r="J79" s="60">
        <f t="shared" si="3"/>
        <v>24353.59302</v>
      </c>
      <c r="K79" s="62">
        <v>1473.0</v>
      </c>
      <c r="L79" s="62">
        <v>660.0</v>
      </c>
      <c r="M79" s="68">
        <f t="shared" si="4"/>
        <v>0.2365681666</v>
      </c>
      <c r="N79" s="68">
        <f t="shared" si="5"/>
        <v>-0.4459368704</v>
      </c>
      <c r="O79" s="68">
        <v>0.257555406313</v>
      </c>
      <c r="P79" s="23">
        <v>46276</v>
      </c>
      <c r="R79" s="68">
        <v>0.3586</v>
      </c>
      <c r="S79" s="23">
        <v>46203</v>
      </c>
      <c r="T79" s="23">
        <v>46267</v>
      </c>
      <c r="U79" s="39">
        <v>1191.2</v>
      </c>
      <c r="V79" s="39">
        <v>1103.71866667</v>
      </c>
      <c r="W79" t="inlineStr">
        <is>
          <t>Above 75 DMA</t>
        </is>
      </c>
    </row>
    <row r="80">
      <c r="A80" s="23">
        <v>46267.0</v>
      </c>
      <c r="B80" s="25" t="str">
        <f t="shared" si="6"/>
        <v>Wednesday</v>
      </c>
      <c r="C80" s="25" t="s">
        <v>252</v>
      </c>
      <c r="D80" s="31">
        <f>IFERROR(__xludf.DUMMYFUNCTION("GOOGLEFINANCE(""NSE:""&amp;UPPER(TRIM(E80)),""marketcap"")/10000000"),17027.6054077)</f>
        <v>17027.60541</v>
      </c>
      <c r="E80" s="32" t="s">
        <v>268</v>
      </c>
      <c r="F80" s="39">
        <f>IFERROR(__xludf.DUMMYFUNCTION("IF(OR(E80="""",A80=""""),"""",
 IF(
   DATE(VALUE(RIGHT(A80,4)),VALUE(MID(A80,4,2)),VALUE(LEFT(A80,2)))&gt;=TODAY(),
   IFERROR(
     GOOGLEFINANCE(""NSE:""&amp;UPPER(TRIM(E80)),""price""),
     ""Not Available""
   ),
   IFERROR(
     INDEX(
       GOOGLEFINANC"&amp;"E(
         ""NSE:""&amp;UPPER(TRIM(E80)),
         ""close"",
         DATE(VALUE(RIGHT(A80,4)),VALUE(MID(A80,4,2)),VALUE(LEFT(A80,2))),
         DATE(VALUE(RIGHT(A80,4)),VALUE(MID(A80,4,2)),VALUE(LEFT(A80,2)))+1
       ),
       2,2
     ),
     ""Not Avail"&amp;"able""
   )
 ))"),2032.4)</f>
        <v>2032.4</v>
      </c>
      <c r="G80" s="42">
        <f>IFERROR(__xludf.DUMMYFUNCTION("IF(E80="""","""",IFERROR(GOOGLEFINANCE(""NSE:""&amp;UPPER(TRIM(E80)),""price""),""Not Available""))"),2044.4)</f>
        <v>2044.4</v>
      </c>
      <c r="H80" s="53">
        <f t="shared" si="1"/>
        <v>22</v>
      </c>
      <c r="I80" s="58">
        <f t="shared" si="2"/>
        <v>0.005904349537</v>
      </c>
      <c r="J80" s="60">
        <f t="shared" si="3"/>
        <v>590.4349537</v>
      </c>
      <c r="K80" s="62">
        <v>1687.0</v>
      </c>
      <c r="L80" s="62">
        <v>1164.0</v>
      </c>
      <c r="M80" s="68">
        <f t="shared" si="4"/>
        <v>-0.1699468609</v>
      </c>
      <c r="N80" s="68">
        <f t="shared" si="5"/>
        <v>-0.4272780949</v>
      </c>
      <c r="O80" s="68">
        <v>0.0849242275143</v>
      </c>
      <c r="P80" s="23">
        <v>46273</v>
      </c>
      <c r="R80" s="68">
        <v>0.5403</v>
      </c>
      <c r="S80" s="23">
        <v>46203</v>
      </c>
      <c r="T80" s="23">
        <v>46267</v>
      </c>
      <c r="U80" s="39">
        <v>2032.4</v>
      </c>
      <c r="V80" s="39">
        <v>1817.55733333</v>
      </c>
      <c r="W80" t="inlineStr">
        <is>
          <t>Above 75 DMA</t>
        </is>
      </c>
    </row>
    <row r="81">
      <c r="A81" s="23">
        <v>46267.0</v>
      </c>
      <c r="B81" s="25" t="str">
        <f t="shared" si="6"/>
        <v>Wednesday</v>
      </c>
      <c r="C81" s="25" t="s">
        <v>252</v>
      </c>
      <c r="D81" s="31">
        <f>IFERROR(__xludf.DUMMYFUNCTION("GOOGLEFINANCE(""NSE:""&amp;UPPER(TRIM(E81)),""marketcap"")/10000000"),14808.5732515)</f>
        <v>14808.57325</v>
      </c>
      <c r="E81" s="32" t="s">
        <v>287</v>
      </c>
      <c r="F81" s="39">
        <f>IFERROR(__xludf.DUMMYFUNCTION("IF(OR(E81="""",A81=""""),"""",
 IF(
   DATE(VALUE(RIGHT(A81,4)),VALUE(MID(A81,4,2)),VALUE(LEFT(A81,2)))&gt;=TODAY(),
   IFERROR(
     GOOGLEFINANCE(""NSE:""&amp;UPPER(TRIM(E81)),""price""),
     ""Not Available""
   ),
   IFERROR(
     INDEX(
       GOOGLEFINANC"&amp;"E(
         ""NSE:""&amp;UPPER(TRIM(E81)),
         ""close"",
         DATE(VALUE(RIGHT(A81,4)),VALUE(MID(A81,4,2)),VALUE(LEFT(A81,2))),
         DATE(VALUE(RIGHT(A81,4)),VALUE(MID(A81,4,2)),VALUE(LEFT(A81,2)))+1
       ),
       2,2
     ),
     ""Not Avail"&amp;"able""
   )
 ))"),1829.1)</f>
        <v>1829.1</v>
      </c>
      <c r="G81" s="42">
        <f>IFERROR(__xludf.DUMMYFUNCTION("IF(E81="""","""",IFERROR(GOOGLEFINANCE(""NSE:""&amp;UPPER(TRIM(E81)),""price""),""Not Available""))"),1646.5)</f>
        <v>1646.5</v>
      </c>
      <c r="H81" s="53">
        <f t="shared" si="1"/>
        <v>22</v>
      </c>
      <c r="I81" s="58">
        <f t="shared" si="2"/>
        <v>-0.09983051774</v>
      </c>
      <c r="J81" s="60">
        <f t="shared" si="3"/>
        <v>-9983.051774</v>
      </c>
      <c r="K81" s="62">
        <v>1532.0</v>
      </c>
      <c r="L81" s="62">
        <v>1106.0</v>
      </c>
      <c r="M81" s="68">
        <f t="shared" si="4"/>
        <v>-0.1624296102</v>
      </c>
      <c r="N81" s="68">
        <f t="shared" si="5"/>
        <v>-0.3953310371</v>
      </c>
      <c r="O81" s="68">
        <v>0.0203925427806</v>
      </c>
      <c r="P81" s="23">
        <v>46268</v>
      </c>
      <c r="Q81" s="68">
        <v>0.0941347106269</v>
      </c>
      <c r="R81" s="68">
        <v>0.4851</v>
      </c>
      <c r="S81" s="23">
        <v>46203</v>
      </c>
      <c r="T81" s="23">
        <v>46267</v>
      </c>
      <c r="U81" s="39">
        <v>1829.1</v>
      </c>
      <c r="V81" s="39">
        <v>1778.15066667</v>
      </c>
      <c r="W81" t="inlineStr">
        <is>
          <t>Above 75 DMA</t>
        </is>
      </c>
    </row>
    <row r="82">
      <c r="A82" s="23">
        <v>46267.0</v>
      </c>
      <c r="B82" s="25" t="str">
        <f t="shared" si="6"/>
        <v>Wednesday</v>
      </c>
      <c r="C82" s="25" t="s">
        <v>252</v>
      </c>
      <c r="D82" s="31">
        <f>IFERROR(__xludf.DUMMYFUNCTION("GOOGLEFINANCE(""NSE:""&amp;UPPER(TRIM(E82)),""marketcap"")/10000000"),29098.9568)</f>
        <v>29098.9568</v>
      </c>
      <c r="E82" s="32" t="s">
        <v>128</v>
      </c>
      <c r="F82" s="39">
        <f>IFERROR(__xludf.DUMMYFUNCTION("IF(OR(E82="""",A82=""""),"""",
 IF(
   DATE(VALUE(RIGHT(A82,4)),VALUE(MID(A82,4,2)),VALUE(LEFT(A82,2)))&gt;=TODAY(),
   IFERROR(
     GOOGLEFINANCE(""NSE:""&amp;UPPER(TRIM(E82)),""price""),
     ""Not Available""
   ),
   IFERROR(
     INDEX(
       GOOGLEFINANC"&amp;"E(
         ""NSE:""&amp;UPPER(TRIM(E82)),
         ""close"",
         DATE(VALUE(RIGHT(A82,4)),VALUE(MID(A82,4,2)),VALUE(LEFT(A82,2))),
         DATE(VALUE(RIGHT(A82,4)),VALUE(MID(A82,4,2)),VALUE(LEFT(A82,2)))+1
       ),
       2,2
     ),
     ""Not Avail"&amp;"able""
   )
 ))"),1169.5)</f>
        <v>1169.5</v>
      </c>
      <c r="G82" s="42">
        <f>IFERROR(__xludf.DUMMYFUNCTION("IF(E82="""","""",IFERROR(GOOGLEFINANCE(""NSE:""&amp;UPPER(TRIM(E82)),""price""),""Not Available""))"),1217.0)</f>
        <v>1217</v>
      </c>
      <c r="H82" s="53">
        <f t="shared" si="1"/>
        <v>22</v>
      </c>
      <c r="I82" s="58">
        <f t="shared" si="2"/>
        <v>0.04061564771</v>
      </c>
      <c r="J82" s="60">
        <f t="shared" si="3"/>
        <v>4061.564771</v>
      </c>
      <c r="K82" s="62">
        <v>877.0</v>
      </c>
      <c r="L82" s="62">
        <v>1070.0</v>
      </c>
      <c r="M82" s="68">
        <f t="shared" si="4"/>
        <v>-0.2501068833</v>
      </c>
      <c r="N82" s="68">
        <f t="shared" si="5"/>
        <v>-0.08507909363</v>
      </c>
      <c r="O82" s="68">
        <v>0.072338606242</v>
      </c>
      <c r="P82" s="23">
        <v>46287</v>
      </c>
      <c r="R82" s="68">
        <v>0.75</v>
      </c>
      <c r="S82" s="23">
        <v>46203</v>
      </c>
      <c r="T82" s="23">
        <v>46267</v>
      </c>
      <c r="U82" s="39">
        <v>1169.5</v>
      </c>
      <c r="V82" s="39">
        <v>1303.38</v>
      </c>
      <c r="W82" t="inlineStr">
        <is>
          <t>Below 75 DMA</t>
        </is>
      </c>
    </row>
    <row r="83">
      <c r="A83" s="23">
        <v>46267.0</v>
      </c>
      <c r="B83" s="25" t="str">
        <f t="shared" si="6"/>
        <v>Wednesday</v>
      </c>
      <c r="C83" s="25" t="s">
        <v>252</v>
      </c>
      <c r="D83" s="31">
        <f>IFERROR(__xludf.DUMMYFUNCTION("GOOGLEFINANCE(""NSE:""&amp;UPPER(TRIM(E83)),""marketcap"")/10000000"),9097.9541146)</f>
        <v>9097.954115</v>
      </c>
      <c r="E83" s="32" t="s">
        <v>292</v>
      </c>
      <c r="F83" s="39">
        <f>IFERROR(__xludf.DUMMYFUNCTION("IF(OR(E83="""",A83=""""),"""",
 IF(
   DATE(VALUE(RIGHT(A83,4)),VALUE(MID(A83,4,2)),VALUE(LEFT(A83,2)))&gt;=TODAY(),
   IFERROR(
     GOOGLEFINANCE(""NSE:""&amp;UPPER(TRIM(E83)),""price""),
     ""Not Available""
   ),
   IFERROR(
     INDEX(
       GOOGLEFINANC"&amp;"E(
         ""NSE:""&amp;UPPER(TRIM(E83)),
         ""close"",
         DATE(VALUE(RIGHT(A83,4)),VALUE(MID(A83,4,2)),VALUE(LEFT(A83,2))),
         DATE(VALUE(RIGHT(A83,4)),VALUE(MID(A83,4,2)),VALUE(LEFT(A83,2)))+1
       ),
       2,2
     ),
     ""Not Avail"&amp;"able""
   )
 ))"),548.85)</f>
        <v>548.85</v>
      </c>
      <c r="G83" s="42">
        <f>IFERROR(__xludf.DUMMYFUNCTION("IF(E83="""","""",IFERROR(GOOGLEFINANCE(""NSE:""&amp;UPPER(TRIM(E83)),""price""),""Not Available""))"),511.45)</f>
        <v>511.45</v>
      </c>
      <c r="H83" s="53">
        <f t="shared" si="1"/>
        <v>22</v>
      </c>
      <c r="I83" s="58">
        <f t="shared" si="2"/>
        <v>-0.06814247973</v>
      </c>
      <c r="J83" s="60">
        <f t="shared" si="3"/>
        <v>-6814.247973</v>
      </c>
      <c r="K83" s="62">
        <v>675.0</v>
      </c>
      <c r="L83" s="62">
        <v>196.0</v>
      </c>
      <c r="M83" s="68">
        <f t="shared" si="4"/>
        <v>0.2298442197</v>
      </c>
      <c r="N83" s="68">
        <f t="shared" si="5"/>
        <v>-0.6428896784</v>
      </c>
      <c r="O83" s="68">
        <v>0.13473626674</v>
      </c>
      <c r="P83" s="23">
        <v>46269</v>
      </c>
      <c r="R83" s="68">
        <v>0.5333</v>
      </c>
      <c r="S83" s="23">
        <v>46203</v>
      </c>
      <c r="T83" s="23">
        <v>46267</v>
      </c>
      <c r="U83" s="39">
        <v>548.85</v>
      </c>
      <c r="V83" s="39">
        <v>542.642666667</v>
      </c>
      <c r="W83" t="inlineStr">
        <is>
          <t>Above 75 DMA</t>
        </is>
      </c>
    </row>
    <row r="84">
      <c r="A84" s="23">
        <v>46267.0</v>
      </c>
      <c r="B84" s="25" t="str">
        <f t="shared" si="6"/>
        <v>Wednesday</v>
      </c>
      <c r="C84" s="25" t="s">
        <v>252</v>
      </c>
      <c r="D84" s="31">
        <f>IFERROR(__xludf.DUMMYFUNCTION("GOOGLEFINANCE(""NSE:""&amp;UPPER(TRIM(E84)),""marketcap"")/10000000"),9033.188049)</f>
        <v>9033.188049</v>
      </c>
      <c r="E84" s="32" t="s">
        <v>295</v>
      </c>
      <c r="F84" s="39">
        <f>IFERROR(__xludf.DUMMYFUNCTION("IF(OR(E84="""",A84=""""),"""",
 IF(
   DATE(VALUE(RIGHT(A84,4)),VALUE(MID(A84,4,2)),VALUE(LEFT(A84,2)))&gt;=TODAY(),
   IFERROR(
     GOOGLEFINANCE(""NSE:""&amp;UPPER(TRIM(E84)),""price""),
     ""Not Available""
   ),
   IFERROR(
     INDEX(
       GOOGLEFINANC"&amp;"E(
         ""NSE:""&amp;UPPER(TRIM(E84)),
         ""close"",
         DATE(VALUE(RIGHT(A84,4)),VALUE(MID(A84,4,2)),VALUE(LEFT(A84,2))),
         DATE(VALUE(RIGHT(A84,4)),VALUE(MID(A84,4,2)),VALUE(LEFT(A84,2)))+1
       ),
       2,2
     ),
     ""Not Avail"&amp;"able""
   )
 ))"),679.25)</f>
        <v>679.25</v>
      </c>
      <c r="G84" s="42">
        <f>IFERROR(__xludf.DUMMYFUNCTION("IF(E84="""","""",IFERROR(GOOGLEFINANCE(""NSE:""&amp;UPPER(TRIM(E84)),""price""),""Not Available""))"),643.1)</f>
        <v>643.1</v>
      </c>
      <c r="H84" s="53">
        <f t="shared" si="1"/>
        <v>22</v>
      </c>
      <c r="I84" s="58">
        <f t="shared" si="2"/>
        <v>-0.05322046375</v>
      </c>
      <c r="J84" s="60">
        <f t="shared" si="3"/>
        <v>-5322.046375</v>
      </c>
      <c r="K84" s="62">
        <v>791.0</v>
      </c>
      <c r="L84" s="62">
        <v>517.0</v>
      </c>
      <c r="M84" s="68">
        <f t="shared" si="4"/>
        <v>0.1645196908</v>
      </c>
      <c r="N84" s="68">
        <f t="shared" si="5"/>
        <v>-0.2388663968</v>
      </c>
      <c r="O84" s="68">
        <v>0.0359219727641</v>
      </c>
      <c r="P84" s="23">
        <v>46269</v>
      </c>
      <c r="R84" s="68">
        <v>0.2962</v>
      </c>
      <c r="S84" s="23">
        <v>46203</v>
      </c>
      <c r="T84" s="23">
        <v>46267</v>
      </c>
      <c r="U84" s="39">
        <v>679.25</v>
      </c>
      <c r="V84" s="39">
        <v>728.020666667</v>
      </c>
      <c r="W84" t="inlineStr">
        <is>
          <t>Below 75 DMA</t>
        </is>
      </c>
    </row>
    <row r="85">
      <c r="A85" s="23">
        <v>46267.0</v>
      </c>
      <c r="B85" s="25" t="str">
        <f t="shared" si="6"/>
        <v>Wednesday</v>
      </c>
      <c r="C85" s="25" t="s">
        <v>252</v>
      </c>
      <c r="D85" s="31">
        <f>IFERROR(__xludf.DUMMYFUNCTION("GOOGLEFINANCE(""NSE:""&amp;UPPER(TRIM(E85)),""marketcap"")/10000000"),48074.2448605)</f>
        <v>48074.24486</v>
      </c>
      <c r="E85" s="32" t="s">
        <v>298</v>
      </c>
      <c r="F85" s="39">
        <f>IFERROR(__xludf.DUMMYFUNCTION("IF(OR(E85="""",A85=""""),"""",
 IF(
   DATE(VALUE(RIGHT(A85,4)),VALUE(MID(A85,4,2)),VALUE(LEFT(A85,2)))&gt;=TODAY(),
   IFERROR(
     GOOGLEFINANCE(""NSE:""&amp;UPPER(TRIM(E85)),""price""),
     ""Not Available""
   ),
   IFERROR(
     INDEX(
       GOOGLEFINANC"&amp;"E(
         ""NSE:""&amp;UPPER(TRIM(E85)),
         ""close"",
         DATE(VALUE(RIGHT(A85,4)),VALUE(MID(A85,4,2)),VALUE(LEFT(A85,2))),
         DATE(VALUE(RIGHT(A85,4)),VALUE(MID(A85,4,2)),VALUE(LEFT(A85,2)))+1
       ),
       2,2
     ),
     ""Not Avail"&amp;"able""
   )
 ))"),2868.4)</f>
        <v>2868.4</v>
      </c>
      <c r="G85" s="42">
        <f>IFERROR(__xludf.DUMMYFUNCTION("IF(E85="""","""",IFERROR(GOOGLEFINANCE(""NSE:""&amp;UPPER(TRIM(E85)),""price""),""Not Available""))"),2912.7)</f>
        <v>2912.7</v>
      </c>
      <c r="H85" s="53">
        <f t="shared" si="1"/>
        <v>22</v>
      </c>
      <c r="I85" s="58">
        <f t="shared" si="2"/>
        <v>0.01544415005</v>
      </c>
      <c r="J85" s="60">
        <f t="shared" si="3"/>
        <v>1544.415005</v>
      </c>
      <c r="K85" s="62">
        <v>2896.0</v>
      </c>
      <c r="L85" s="62">
        <v>1806.0</v>
      </c>
      <c r="M85" s="68">
        <f t="shared" si="4"/>
        <v>0.009622088969</v>
      </c>
      <c r="N85" s="68">
        <f t="shared" si="5"/>
        <v>-0.3703807</v>
      </c>
      <c r="O85" s="68">
        <v>0.0605215451123</v>
      </c>
      <c r="P85" s="23">
        <v>46272</v>
      </c>
      <c r="R85" s="68">
        <v>0.5177</v>
      </c>
      <c r="S85" s="23">
        <v>46203</v>
      </c>
      <c r="T85" s="23">
        <v>46267</v>
      </c>
      <c r="U85" s="39">
        <v>2868.4</v>
      </c>
      <c r="V85" s="39">
        <v>2497.10266667</v>
      </c>
      <c r="W85" t="inlineStr">
        <is>
          <t>Above 75 DMA</t>
        </is>
      </c>
    </row>
    <row r="86">
      <c r="A86" s="23">
        <v>46267.0</v>
      </c>
      <c r="B86" s="25" t="str">
        <f t="shared" si="6"/>
        <v>Wednesday</v>
      </c>
      <c r="C86" s="25" t="s">
        <v>252</v>
      </c>
      <c r="D86" s="31">
        <f>IFERROR(__xludf.DUMMYFUNCTION("GOOGLEFINANCE(""NSE:""&amp;UPPER(TRIM(E86)),""marketcap"")/10000000"),26731.0550258)</f>
        <v>26731.05503</v>
      </c>
      <c r="E86" s="32" t="s">
        <v>301</v>
      </c>
      <c r="F86" s="39">
        <f>IFERROR(__xludf.DUMMYFUNCTION("IF(OR(E86="""",A86=""""),"""",
 IF(
   DATE(VALUE(RIGHT(A86,4)),VALUE(MID(A86,4,2)),VALUE(LEFT(A86,2)))&gt;=TODAY(),
   IFERROR(
     GOOGLEFINANCE(""NSE:""&amp;UPPER(TRIM(E86)),""price""),
     ""Not Available""
   ),
   IFERROR(
     INDEX(
       GOOGLEFINANC"&amp;"E(
         ""NSE:""&amp;UPPER(TRIM(E86)),
         ""close"",
         DATE(VALUE(RIGHT(A86,4)),VALUE(MID(A86,4,2)),VALUE(LEFT(A86,2))),
         DATE(VALUE(RIGHT(A86,4)),VALUE(MID(A86,4,2)),VALUE(LEFT(A86,2)))+1
       ),
       2,2
     ),
     ""Not Avail"&amp;"able""
   )
 ))"),1384.9)</f>
        <v>1384.9</v>
      </c>
      <c r="G86" s="42">
        <f>IFERROR(__xludf.DUMMYFUNCTION("IF(E86="""","""",IFERROR(GOOGLEFINANCE(""NSE:""&amp;UPPER(TRIM(E86)),""price""),""Not Available""))"),1395.9)</f>
        <v>1395.9</v>
      </c>
      <c r="H86" s="53">
        <f t="shared" si="1"/>
        <v>22</v>
      </c>
      <c r="I86" s="58">
        <f t="shared" si="2"/>
        <v>0.007942811755</v>
      </c>
      <c r="J86" s="60">
        <f t="shared" si="3"/>
        <v>794.2811755</v>
      </c>
      <c r="K86" s="62">
        <v>1167.0</v>
      </c>
      <c r="L86" s="62">
        <v>1178.0</v>
      </c>
      <c r="M86" s="68">
        <f t="shared" si="4"/>
        <v>-0.1573398801</v>
      </c>
      <c r="N86" s="68">
        <f t="shared" si="5"/>
        <v>-0.1493970684</v>
      </c>
      <c r="O86" s="68">
        <v>0.0795003249332</v>
      </c>
      <c r="P86" s="23">
        <v>46287</v>
      </c>
      <c r="R86" s="68">
        <v>0.6355</v>
      </c>
      <c r="S86" s="23">
        <v>46203</v>
      </c>
      <c r="T86" s="23">
        <v>46267</v>
      </c>
      <c r="U86" s="39">
        <v>1384.9</v>
      </c>
      <c r="V86" s="39">
        <v>1284.82</v>
      </c>
      <c r="W86" t="inlineStr">
        <is>
          <t>Above 75 DMA</t>
        </is>
      </c>
    </row>
    <row r="87">
      <c r="A87" s="23">
        <v>46266.0</v>
      </c>
      <c r="B87" s="25" t="str">
        <f t="shared" si="6"/>
        <v>Tuesday</v>
      </c>
      <c r="C87" s="25" t="s">
        <v>252</v>
      </c>
      <c r="D87" s="31">
        <f>IFERROR(__xludf.DUMMYFUNCTION("GOOGLEFINANCE(""NSE:""&amp;UPPER(TRIM(E87)),""marketcap"")/10000000"),107774.2130845)</f>
        <v>107774.2131</v>
      </c>
      <c r="E87" s="32" t="s">
        <v>304</v>
      </c>
      <c r="F87" s="39">
        <f>IFERROR(__xludf.DUMMYFUNCTION("IF(OR(E87="""",A87=""""),"""",
 IF(
   DATE(VALUE(RIGHT(A87,4)),VALUE(MID(A87,4,2)),VALUE(LEFT(A87,2)))&gt;=TODAY(),
   IFERROR(
     GOOGLEFINANCE(""NSE:""&amp;UPPER(TRIM(E87)),""price""),
     ""Not Available""
   ),
   IFERROR(
     INDEX(
       GOOGLEFINANC"&amp;"E(
         ""NSE:""&amp;UPPER(TRIM(E87)),
         ""close"",
         DATE(VALUE(RIGHT(A87,4)),VALUE(MID(A87,4,2)),VALUE(LEFT(A87,2))),
         DATE(VALUE(RIGHT(A87,4)),VALUE(MID(A87,4,2)),VALUE(LEFT(A87,2)))+1
       ),
       2,2
     ),
     ""Not Avail"&amp;"able""
   )
 ))"),205.15)</f>
        <v>205.15</v>
      </c>
      <c r="G87" s="42">
        <f>IFERROR(__xludf.DUMMYFUNCTION("IF(E87="""","""",IFERROR(GOOGLEFINANCE(""NSE:""&amp;UPPER(TRIM(E87)),""price""),""Not Available""))"),232.91)</f>
        <v>232.91</v>
      </c>
      <c r="H87" s="53">
        <f t="shared" si="1"/>
        <v>23</v>
      </c>
      <c r="I87" s="58">
        <f t="shared" si="2"/>
        <v>0.1353156227</v>
      </c>
      <c r="J87" s="60">
        <f t="shared" si="3"/>
        <v>13531.56227</v>
      </c>
      <c r="K87" s="62">
        <v>261.0</v>
      </c>
      <c r="L87" s="62">
        <v>0.0</v>
      </c>
      <c r="M87" s="68">
        <f t="shared" si="4"/>
        <v>0.2722398245</v>
      </c>
      <c r="N87" s="68">
        <f t="shared" si="5"/>
        <v>-1</v>
      </c>
      <c r="O87" s="68">
        <v>0.192980745796</v>
      </c>
      <c r="P87" s="23">
        <v>46287</v>
      </c>
      <c r="R87" s="68">
        <v>0.1641</v>
      </c>
      <c r="S87" s="23">
        <v>46203</v>
      </c>
      <c r="T87" s="23">
        <v>46266</v>
      </c>
      <c r="U87" s="39">
        <v>205.15</v>
      </c>
      <c r="V87" s="39">
        <v>187.4648</v>
      </c>
      <c r="W87" t="inlineStr">
        <is>
          <t>Above 75 DMA</t>
        </is>
      </c>
    </row>
    <row r="88">
      <c r="A88" s="23">
        <v>46266.0</v>
      </c>
      <c r="B88" s="25" t="str">
        <f t="shared" si="6"/>
        <v>Tuesday</v>
      </c>
      <c r="C88" s="25" t="s">
        <v>252</v>
      </c>
      <c r="D88" s="31">
        <f>IFERROR(__xludf.DUMMYFUNCTION("GOOGLEFINANCE(""NSE:""&amp;UPPER(TRIM(E88)),""marketcap"")/10000000"),22654.8992557)</f>
        <v>22654.89926</v>
      </c>
      <c r="E88" s="32" t="s">
        <v>181</v>
      </c>
      <c r="F88" s="39">
        <f>IFERROR(__xludf.DUMMYFUNCTION("IF(OR(E88="""",A88=""""),"""",
 IF(
   DATE(VALUE(RIGHT(A88,4)),VALUE(MID(A88,4,2)),VALUE(LEFT(A88,2)))&gt;=TODAY(),
   IFERROR(
     GOOGLEFINANCE(""NSE:""&amp;UPPER(TRIM(E88)),""price""),
     ""Not Available""
   ),
   IFERROR(
     INDEX(
       GOOGLEFINANC"&amp;"E(
         ""NSE:""&amp;UPPER(TRIM(E88)),
         ""close"",
         DATE(VALUE(RIGHT(A88,4)),VALUE(MID(A88,4,2)),VALUE(LEFT(A88,2))),
         DATE(VALUE(RIGHT(A88,4)),VALUE(MID(A88,4,2)),VALUE(LEFT(A88,2)))+1
       ),
       2,2
     ),
     ""Not Avail"&amp;"able""
   )
 ))"),1248.3)</f>
        <v>1248.3</v>
      </c>
      <c r="G88" s="42">
        <f>IFERROR(__xludf.DUMMYFUNCTION("IF(E88="""","""",IFERROR(GOOGLEFINANCE(""NSE:""&amp;UPPER(TRIM(E88)),""price""),""Not Available""))"),1481.3)</f>
        <v>1481.3</v>
      </c>
      <c r="H88" s="53">
        <f t="shared" si="1"/>
        <v>23</v>
      </c>
      <c r="I88" s="58">
        <f t="shared" si="2"/>
        <v>0.1866538492</v>
      </c>
      <c r="J88" s="60">
        <f t="shared" si="3"/>
        <v>18665.38492</v>
      </c>
      <c r="K88" s="62">
        <v>1473.0</v>
      </c>
      <c r="L88" s="62">
        <v>660.0</v>
      </c>
      <c r="M88" s="68">
        <f t="shared" si="4"/>
        <v>0.1800048065</v>
      </c>
      <c r="N88" s="68">
        <f t="shared" si="5"/>
        <v>-0.4712809421</v>
      </c>
      <c r="O88" s="68">
        <v>0.200032043579</v>
      </c>
      <c r="P88" s="23">
        <v>46276</v>
      </c>
      <c r="R88" s="68">
        <v>0.3586</v>
      </c>
      <c r="S88" s="23">
        <v>46203</v>
      </c>
      <c r="T88" s="23">
        <v>46266</v>
      </c>
      <c r="U88" s="39">
        <v>1248.3</v>
      </c>
      <c r="V88" s="39">
        <v>1101.47533333</v>
      </c>
      <c r="W88" t="inlineStr">
        <is>
          <t>Above 75 DMA</t>
        </is>
      </c>
    </row>
    <row r="89">
      <c r="A89" s="23">
        <v>46266.0</v>
      </c>
      <c r="B89" s="25" t="str">
        <f t="shared" si="6"/>
        <v>Tuesday</v>
      </c>
      <c r="C89" s="25" t="s">
        <v>252</v>
      </c>
      <c r="D89" s="31">
        <f>IFERROR(__xludf.DUMMYFUNCTION("GOOGLEFINANCE(""NSE:""&amp;UPPER(TRIM(E89)),""marketcap"")/10000000"),16786.4637324)</f>
        <v>16786.46373</v>
      </c>
      <c r="E89" s="32" t="s">
        <v>265</v>
      </c>
      <c r="F89" s="39">
        <f>IFERROR(__xludf.DUMMYFUNCTION("IF(OR(E89="""",A89=""""),"""",
 IF(
   DATE(VALUE(RIGHT(A89,4)),VALUE(MID(A89,4,2)),VALUE(LEFT(A89,2)))&gt;=TODAY(),
   IFERROR(
     GOOGLEFINANCE(""NSE:""&amp;UPPER(TRIM(E89)),""price""),
     ""Not Available""
   ),
   IFERROR(
     INDEX(
       GOOGLEFINANC"&amp;"E(
         ""NSE:""&amp;UPPER(TRIM(E89)),
         ""close"",
         DATE(VALUE(RIGHT(A89,4)),VALUE(MID(A89,4,2)),VALUE(LEFT(A89,2))),
         DATE(VALUE(RIGHT(A89,4)),VALUE(MID(A89,4,2)),VALUE(LEFT(A89,2)))+1
       ),
       2,2
     ),
     ""Not Avail"&amp;"able""
   )
 ))"),138.69)</f>
        <v>138.69</v>
      </c>
      <c r="G89" s="42">
        <f>IFERROR(__xludf.DUMMYFUNCTION("IF(E89="""","""",IFERROR(GOOGLEFINANCE(""NSE:""&amp;UPPER(TRIM(E89)),""price""),""Not Available""))"),136.15)</f>
        <v>136.15</v>
      </c>
      <c r="H89" s="53">
        <f t="shared" si="1"/>
        <v>23</v>
      </c>
      <c r="I89" s="58">
        <f t="shared" si="2"/>
        <v>-0.01831422597</v>
      </c>
      <c r="J89" s="60">
        <f t="shared" si="3"/>
        <v>-1831.422597</v>
      </c>
      <c r="K89" s="62">
        <v>149.0</v>
      </c>
      <c r="L89" s="62">
        <v>59.0</v>
      </c>
      <c r="M89" s="68">
        <f t="shared" si="4"/>
        <v>0.07433845266</v>
      </c>
      <c r="N89" s="68">
        <f t="shared" si="5"/>
        <v>-0.574590814</v>
      </c>
      <c r="O89" s="68">
        <v>0.0483812819958</v>
      </c>
      <c r="P89" s="23">
        <v>46287</v>
      </c>
      <c r="R89" s="68">
        <v>0.6136</v>
      </c>
      <c r="S89" s="23">
        <v>46203</v>
      </c>
      <c r="T89" s="23">
        <v>46266</v>
      </c>
      <c r="U89" s="39">
        <v>138.69</v>
      </c>
      <c r="V89" s="39">
        <v>120.904266667</v>
      </c>
      <c r="W89" t="inlineStr">
        <is>
          <t>Above 75 DMA</t>
        </is>
      </c>
    </row>
    <row r="90">
      <c r="A90" s="23">
        <v>46266.0</v>
      </c>
      <c r="B90" s="25" t="str">
        <f t="shared" si="6"/>
        <v>Tuesday</v>
      </c>
      <c r="C90" s="25" t="s">
        <v>252</v>
      </c>
      <c r="D90" s="31">
        <f>IFERROR(__xludf.DUMMYFUNCTION("GOOGLEFINANCE(""NSE:""&amp;UPPER(TRIM(E90)),""marketcap"")/10000000"),22816.7855536)</f>
        <v>22816.78555</v>
      </c>
      <c r="E90" s="32" t="s">
        <v>147</v>
      </c>
      <c r="F90" s="39">
        <f>IFERROR(__xludf.DUMMYFUNCTION("IF(OR(E90="""",A90=""""),"""",
 IF(
   DATE(VALUE(RIGHT(A90,4)),VALUE(MID(A90,4,2)),VALUE(LEFT(A90,2)))&gt;=TODAY(),
   IFERROR(
     GOOGLEFINANCE(""NSE:""&amp;UPPER(TRIM(E90)),""price""),
     ""Not Available""
   ),
   IFERROR(
     INDEX(
       GOOGLEFINANC"&amp;"E(
         ""NSE:""&amp;UPPER(TRIM(E90)),
         ""close"",
         DATE(VALUE(RIGHT(A90,4)),VALUE(MID(A90,4,2)),VALUE(LEFT(A90,2))),
         DATE(VALUE(RIGHT(A90,4)),VALUE(MID(A90,4,2)),VALUE(LEFT(A90,2)))+1
       ),
       2,2
     ),
     ""Not Avail"&amp;"able""
   )
 ))"),3600.5)</f>
        <v>3600.5</v>
      </c>
      <c r="G90" s="42">
        <f>IFERROR(__xludf.DUMMYFUNCTION("IF(E90="""","""",IFERROR(GOOGLEFINANCE(""NSE:""&amp;UPPER(TRIM(E90)),""price""),""Not Available""))"),3559.9)</f>
        <v>3559.9</v>
      </c>
      <c r="H90" s="53">
        <f t="shared" si="1"/>
        <v>23</v>
      </c>
      <c r="I90" s="58">
        <f t="shared" si="2"/>
        <v>-0.01127621164</v>
      </c>
      <c r="J90" s="60">
        <f t="shared" si="3"/>
        <v>-1127.621164</v>
      </c>
      <c r="K90" s="62">
        <v>3767.0</v>
      </c>
      <c r="L90" s="62">
        <v>2477.0</v>
      </c>
      <c r="M90" s="68">
        <f t="shared" si="4"/>
        <v>0.04624357728</v>
      </c>
      <c r="N90" s="68">
        <f t="shared" si="5"/>
        <v>-0.3120399944</v>
      </c>
      <c r="O90" s="68">
        <v>0.0373003749479</v>
      </c>
      <c r="P90" s="23">
        <v>46272</v>
      </c>
      <c r="R90" s="68">
        <v>0.5346</v>
      </c>
      <c r="S90" s="23">
        <v>46203</v>
      </c>
      <c r="T90" s="23">
        <v>46266</v>
      </c>
      <c r="U90" s="39">
        <v>3600.5</v>
      </c>
      <c r="V90" s="39">
        <v>3410.19733333</v>
      </c>
      <c r="W90" t="inlineStr">
        <is>
          <t>Above 75 DMA</t>
        </is>
      </c>
    </row>
    <row r="91">
      <c r="A91" s="23">
        <v>46266.0</v>
      </c>
      <c r="B91" s="25" t="str">
        <f t="shared" si="6"/>
        <v>Tuesday</v>
      </c>
      <c r="C91" s="25" t="s">
        <v>252</v>
      </c>
      <c r="D91" s="31">
        <f>IFERROR(__xludf.DUMMYFUNCTION("GOOGLEFINANCE(""NSE:""&amp;UPPER(TRIM(E91)),""marketcap"")/10000000"),74557.870798)</f>
        <v>74557.8708</v>
      </c>
      <c r="E91" s="32" t="s">
        <v>135</v>
      </c>
      <c r="F91" s="39">
        <f>IFERROR(__xludf.DUMMYFUNCTION("IF(OR(E91="""",A91=""""),"""",
 IF(
   DATE(VALUE(RIGHT(A91,4)),VALUE(MID(A91,4,2)),VALUE(LEFT(A91,2)))&gt;=TODAY(),
   IFERROR(
     GOOGLEFINANCE(""NSE:""&amp;UPPER(TRIM(E91)),""price""),
     ""Not Available""
   ),
   IFERROR(
     INDEX(
       GOOGLEFINANC"&amp;"E(
         ""NSE:""&amp;UPPER(TRIM(E91)),
         ""close"",
         DATE(VALUE(RIGHT(A91,4)),VALUE(MID(A91,4,2)),VALUE(LEFT(A91,2))),
         DATE(VALUE(RIGHT(A91,4)),VALUE(MID(A91,4,2)),VALUE(LEFT(A91,2)))+1
       ),
       2,2
     ),
     ""Not Avail"&amp;"able""
   )
 ))"),17400.0)</f>
        <v>17400</v>
      </c>
      <c r="G91" s="42">
        <f>IFERROR(__xludf.DUMMYFUNCTION("IF(E91="""","""",IFERROR(GOOGLEFINANCE(""NSE:""&amp;UPPER(TRIM(E91)),""price""),""Not Available""))"),17806.0)</f>
        <v>17806</v>
      </c>
      <c r="H91" s="53">
        <f t="shared" si="1"/>
        <v>23</v>
      </c>
      <c r="I91" s="58">
        <f t="shared" si="2"/>
        <v>0.02333333333</v>
      </c>
      <c r="J91" s="60">
        <f t="shared" si="3"/>
        <v>2333.333333</v>
      </c>
      <c r="K91" s="62">
        <v>16395.0</v>
      </c>
      <c r="L91" s="62">
        <v>17623.0</v>
      </c>
      <c r="M91" s="68">
        <f t="shared" si="4"/>
        <v>-0.05775862069</v>
      </c>
      <c r="N91" s="68">
        <f t="shared" si="5"/>
        <v>0.01281609195</v>
      </c>
      <c r="O91" s="68">
        <v>0.107183908046</v>
      </c>
      <c r="P91" s="23">
        <v>46287</v>
      </c>
      <c r="R91" s="68">
        <v>0.5776</v>
      </c>
      <c r="S91" s="23">
        <v>46203</v>
      </c>
      <c r="T91" s="23">
        <v>46266</v>
      </c>
      <c r="U91" s="39">
        <v>17400</v>
      </c>
      <c r="V91" s="39">
        <v>14943.7466667</v>
      </c>
      <c r="W91" t="inlineStr">
        <is>
          <t>Above 75 DMA</t>
        </is>
      </c>
    </row>
    <row r="92">
      <c r="A92" s="23">
        <v>46266.0</v>
      </c>
      <c r="B92" s="25" t="str">
        <f t="shared" si="6"/>
        <v>Tuesday</v>
      </c>
      <c r="C92" s="25" t="s">
        <v>252</v>
      </c>
      <c r="D92" s="31">
        <f>IFERROR(__xludf.DUMMYFUNCTION("GOOGLEFINANCE(""NSE:""&amp;UPPER(TRIM(E92)),""marketcap"")/10000000"),10322.3954)</f>
        <v>10322.3954</v>
      </c>
      <c r="E92" s="32" t="s">
        <v>314</v>
      </c>
      <c r="F92" s="39">
        <f>IFERROR(__xludf.DUMMYFUNCTION("IF(OR(E92="""",A92=""""),"""",
 IF(
   DATE(VALUE(RIGHT(A92,4)),VALUE(MID(A92,4,2)),VALUE(LEFT(A92,2)))&gt;=TODAY(),
   IFERROR(
     GOOGLEFINANCE(""NSE:""&amp;UPPER(TRIM(E92)),""price""),
     ""Not Available""
   ),
   IFERROR(
     INDEX(
       GOOGLEFINANC"&amp;"E(
         ""NSE:""&amp;UPPER(TRIM(E92)),
         ""close"",
         DATE(VALUE(RIGHT(A92,4)),VALUE(MID(A92,4,2)),VALUE(LEFT(A92,2))),
         DATE(VALUE(RIGHT(A92,4)),VALUE(MID(A92,4,2)),VALUE(LEFT(A92,2)))+1
       ),
       2,2
     ),
     ""Not Avail"&amp;"able""
   )
 ))"),412.25)</f>
        <v>412.25</v>
      </c>
      <c r="G92" s="42">
        <f>IFERROR(__xludf.DUMMYFUNCTION("IF(E92="""","""",IFERROR(GOOGLEFINANCE(""NSE:""&amp;UPPER(TRIM(E92)),""price""),""Not Available""))"),460.0)</f>
        <v>460</v>
      </c>
      <c r="H92" s="53">
        <f t="shared" si="1"/>
        <v>23</v>
      </c>
      <c r="I92" s="58">
        <f t="shared" si="2"/>
        <v>0.1158277744</v>
      </c>
      <c r="J92" s="60">
        <f t="shared" si="3"/>
        <v>11582.77744</v>
      </c>
      <c r="K92" s="62">
        <v>453.0</v>
      </c>
      <c r="L92" s="62">
        <v>280.0</v>
      </c>
      <c r="M92" s="68">
        <f t="shared" si="4"/>
        <v>0.09884778654</v>
      </c>
      <c r="N92" s="68">
        <f t="shared" si="5"/>
        <v>-0.3208004851</v>
      </c>
      <c r="O92" s="68">
        <v>0.156822316555</v>
      </c>
      <c r="P92" s="23">
        <v>46288</v>
      </c>
      <c r="R92" s="68">
        <v>0.5927</v>
      </c>
      <c r="S92" s="23">
        <v>46203</v>
      </c>
      <c r="T92" s="23">
        <v>46266</v>
      </c>
      <c r="U92" s="39">
        <v>412.25</v>
      </c>
      <c r="V92" s="39">
        <v>482.114666667</v>
      </c>
      <c r="W92" t="inlineStr">
        <is>
          <t>Below 75 DMA</t>
        </is>
      </c>
    </row>
    <row r="93">
      <c r="A93" s="23">
        <v>46266.0</v>
      </c>
      <c r="B93" s="25" t="str">
        <f t="shared" si="6"/>
        <v>Tuesday</v>
      </c>
      <c r="C93" s="25" t="s">
        <v>252</v>
      </c>
      <c r="D93" s="31">
        <f>IFERROR(__xludf.DUMMYFUNCTION("GOOGLEFINANCE(""NSE:""&amp;UPPER(TRIM(E93)),""marketcap"")/10000000"),38607.8907116)</f>
        <v>38607.89071</v>
      </c>
      <c r="E93" s="32" t="s">
        <v>317</v>
      </c>
      <c r="F93" s="39">
        <f>IFERROR(__xludf.DUMMYFUNCTION("IF(OR(E93="""",A93=""""),"""",
 IF(
   DATE(VALUE(RIGHT(A93,4)),VALUE(MID(A93,4,2)),VALUE(LEFT(A93,2)))&gt;=TODAY(),
   IFERROR(
     GOOGLEFINANCE(""NSE:""&amp;UPPER(TRIM(E93)),""price""),
     ""Not Available""
   ),
   IFERROR(
     INDEX(
       GOOGLEFINANC"&amp;"E(
         ""NSE:""&amp;UPPER(TRIM(E93)),
         ""close"",
         DATE(VALUE(RIGHT(A93,4)),VALUE(MID(A93,4,2)),VALUE(LEFT(A93,2))),
         DATE(VALUE(RIGHT(A93,4)),VALUE(MID(A93,4,2)),VALUE(LEFT(A93,2)))+1
       ),
       2,2
     ),
     ""Not Avail"&amp;"able""
   )
 ))"),114.94)</f>
        <v>114.94</v>
      </c>
      <c r="G93" s="42">
        <f>IFERROR(__xludf.DUMMYFUNCTION("IF(E93="""","""",IFERROR(GOOGLEFINANCE(""NSE:""&amp;UPPER(TRIM(E93)),""price""),""Not Available""))"),133.09)</f>
        <v>133.09</v>
      </c>
      <c r="H93" s="53">
        <f t="shared" si="1"/>
        <v>23</v>
      </c>
      <c r="I93" s="58">
        <f t="shared" si="2"/>
        <v>0.157908474</v>
      </c>
      <c r="J93" s="60">
        <f t="shared" si="3"/>
        <v>15790.8474</v>
      </c>
      <c r="K93" s="62">
        <v>113.0</v>
      </c>
      <c r="L93" s="62">
        <v>0.0</v>
      </c>
      <c r="M93" s="68">
        <f t="shared" si="4"/>
        <v>-0.01687837132</v>
      </c>
      <c r="N93" s="68">
        <f t="shared" si="5"/>
        <v>-1</v>
      </c>
      <c r="O93" s="68">
        <v>0.21802679659</v>
      </c>
      <c r="P93" s="23">
        <v>46288</v>
      </c>
      <c r="R93" s="68">
        <v>0.7127</v>
      </c>
      <c r="S93" s="23">
        <v>46203</v>
      </c>
      <c r="T93" s="23">
        <v>46266</v>
      </c>
      <c r="U93" s="39">
        <v>114.94</v>
      </c>
      <c r="V93" s="39">
        <v>122.0084</v>
      </c>
      <c r="W93" t="inlineStr">
        <is>
          <t>Below 75 DMA</t>
        </is>
      </c>
    </row>
    <row r="94">
      <c r="A94" s="23">
        <v>46266.0</v>
      </c>
      <c r="B94" s="25" t="str">
        <f t="shared" si="6"/>
        <v>Tuesday</v>
      </c>
      <c r="C94" s="25" t="s">
        <v>252</v>
      </c>
      <c r="D94" s="31">
        <f>IFERROR(__xludf.DUMMYFUNCTION("GOOGLEFINANCE(""NSE:""&amp;UPPER(TRIM(E94)),""marketcap"")/10000000"),9551.8998611)</f>
        <v>9551.899861</v>
      </c>
      <c r="E94" s="32" t="s">
        <v>321</v>
      </c>
      <c r="F94" s="39">
        <f>IFERROR(__xludf.DUMMYFUNCTION("IF(OR(E94="""",A94=""""),"""",
 IF(
   DATE(VALUE(RIGHT(A94,4)),VALUE(MID(A94,4,2)),VALUE(LEFT(A94,2)))&gt;=TODAY(),
   IFERROR(
     GOOGLEFINANCE(""NSE:""&amp;UPPER(TRIM(E94)),""price""),
     ""Not Available""
   ),
   IFERROR(
     INDEX(
       GOOGLEFINANC"&amp;"E(
         ""NSE:""&amp;UPPER(TRIM(E94)),
         ""close"",
         DATE(VALUE(RIGHT(A94,4)),VALUE(MID(A94,4,2)),VALUE(LEFT(A94,2))),
         DATE(VALUE(RIGHT(A94,4)),VALUE(MID(A94,4,2)),VALUE(LEFT(A94,2)))+1
       ),
       2,2
     ),
     ""Not Avail"&amp;"able""
   )
 ))"),493.75)</f>
        <v>493.75</v>
      </c>
      <c r="G94" s="42">
        <f>IFERROR(__xludf.DUMMYFUNCTION("IF(E94="""","""",IFERROR(GOOGLEFINANCE(""NSE:""&amp;UPPER(TRIM(E94)),""price""),""Not Available""))"),497.6)</f>
        <v>497.6</v>
      </c>
      <c r="H94" s="53">
        <f t="shared" si="1"/>
        <v>23</v>
      </c>
      <c r="I94" s="58">
        <f t="shared" si="2"/>
        <v>0.007797468354</v>
      </c>
      <c r="J94" s="60">
        <f t="shared" si="3"/>
        <v>779.7468354</v>
      </c>
      <c r="K94" s="62">
        <v>449.0</v>
      </c>
      <c r="L94" s="62">
        <v>199.0</v>
      </c>
      <c r="M94" s="68">
        <f t="shared" si="4"/>
        <v>-0.09063291139</v>
      </c>
      <c r="N94" s="68">
        <f t="shared" si="5"/>
        <v>-0.5969620253</v>
      </c>
      <c r="O94" s="68">
        <v>0.0474936708861</v>
      </c>
      <c r="P94" s="23">
        <v>46288</v>
      </c>
      <c r="R94" s="68">
        <v>0.6084</v>
      </c>
      <c r="S94" s="23">
        <v>46203</v>
      </c>
      <c r="T94" s="23">
        <v>46266</v>
      </c>
      <c r="U94" s="39">
        <v>493.75</v>
      </c>
      <c r="V94" s="39">
        <v>481.702</v>
      </c>
      <c r="W94" t="inlineStr">
        <is>
          <t>Above 75 DMA</t>
        </is>
      </c>
    </row>
    <row r="95">
      <c r="A95" s="23">
        <v>46266.0</v>
      </c>
      <c r="B95" s="25" t="str">
        <f t="shared" si="6"/>
        <v>Tuesday</v>
      </c>
      <c r="C95" s="25" t="s">
        <v>252</v>
      </c>
      <c r="D95" s="31">
        <f>IFERROR(__xludf.DUMMYFUNCTION("GOOGLEFINANCE(""NSE:""&amp;UPPER(TRIM(E95)),""marketcap"")/10000000"),31932.3019725)</f>
        <v>31932.30197</v>
      </c>
      <c r="E95" s="32" t="s">
        <v>324</v>
      </c>
      <c r="F95" s="39">
        <f>IFERROR(__xludf.DUMMYFUNCTION("IF(OR(E95="""",A95=""""),"""",
 IF(
   DATE(VALUE(RIGHT(A95,4)),VALUE(MID(A95,4,2)),VALUE(LEFT(A95,2)))&gt;=TODAY(),
   IFERROR(
     GOOGLEFINANCE(""NSE:""&amp;UPPER(TRIM(E95)),""price""),
     ""Not Available""
   ),
   IFERROR(
     INDEX(
       GOOGLEFINANC"&amp;"E(
         ""NSE:""&amp;UPPER(TRIM(E95)),
         ""close"",
         DATE(VALUE(RIGHT(A95,4)),VALUE(MID(A95,4,2)),VALUE(LEFT(A95,2))),
         DATE(VALUE(RIGHT(A95,4)),VALUE(MID(A95,4,2)),VALUE(LEFT(A95,2)))+1
       ),
       2,2
     ),
     ""Not Avail"&amp;"able""
   )
 ))"),270.1)</f>
        <v>270.1</v>
      </c>
      <c r="G95" s="42">
        <f>IFERROR(__xludf.DUMMYFUNCTION("IF(E95="""","""",IFERROR(GOOGLEFINANCE(""NSE:""&amp;UPPER(TRIM(E95)),""price""),""Not Available""))"),288.2)</f>
        <v>288.2</v>
      </c>
      <c r="H95" s="53">
        <f t="shared" si="1"/>
        <v>23</v>
      </c>
      <c r="I95" s="58">
        <f t="shared" si="2"/>
        <v>0.0670122177</v>
      </c>
      <c r="J95" s="60">
        <f t="shared" si="3"/>
        <v>6701.22177</v>
      </c>
      <c r="K95" s="62">
        <v>285.0</v>
      </c>
      <c r="L95" s="62">
        <v>0.0</v>
      </c>
      <c r="M95" s="68">
        <f t="shared" si="4"/>
        <v>0.05516475379</v>
      </c>
      <c r="N95" s="68">
        <f t="shared" si="5"/>
        <v>-1</v>
      </c>
      <c r="O95" s="68">
        <v>0.188263606072</v>
      </c>
      <c r="P95" s="23">
        <v>46286</v>
      </c>
      <c r="R95" s="68">
        <v>0.8693</v>
      </c>
      <c r="S95" s="23">
        <v>46203</v>
      </c>
      <c r="T95" s="23">
        <v>46266</v>
      </c>
      <c r="U95" s="39">
        <v>270.1</v>
      </c>
      <c r="V95" s="39">
        <v>252.114933333</v>
      </c>
      <c r="W95" t="inlineStr">
        <is>
          <t>Above 75 DMA</t>
        </is>
      </c>
    </row>
    <row r="96">
      <c r="A96" s="23">
        <v>46266.0</v>
      </c>
      <c r="B96" s="25" t="str">
        <f t="shared" si="6"/>
        <v>Tuesday</v>
      </c>
      <c r="C96" s="25" t="s">
        <v>252</v>
      </c>
      <c r="D96" s="31">
        <f>IFERROR(__xludf.DUMMYFUNCTION("GOOGLEFINANCE(""NSE:""&amp;UPPER(TRIM(E96)),""marketcap"")/10000000"),21760.3344531)</f>
        <v>21760.33445</v>
      </c>
      <c r="E96" s="32" t="s">
        <v>327</v>
      </c>
      <c r="F96" s="39">
        <f>IFERROR(__xludf.DUMMYFUNCTION("IF(OR(E96="""",A96=""""),"""",
 IF(
   DATE(VALUE(RIGHT(A96,4)),VALUE(MID(A96,4,2)),VALUE(LEFT(A96,2)))&gt;=TODAY(),
   IFERROR(
     GOOGLEFINANCE(""NSE:""&amp;UPPER(TRIM(E96)),""price""),
     ""Not Available""
   ),
   IFERROR(
     INDEX(
       GOOGLEFINANC"&amp;"E(
         ""NSE:""&amp;UPPER(TRIM(E96)),
         ""close"",
         DATE(VALUE(RIGHT(A96,4)),VALUE(MID(A96,4,2)),VALUE(LEFT(A96,2))),
         DATE(VALUE(RIGHT(A96,4)),VALUE(MID(A96,4,2)),VALUE(LEFT(A96,2)))+1
       ),
       2,2
     ),
     ""Not Avail"&amp;"able""
   )
 ))"),1244.1)</f>
        <v>1244.1</v>
      </c>
      <c r="G96" s="42">
        <f>IFERROR(__xludf.DUMMYFUNCTION("IF(E96="""","""",IFERROR(GOOGLEFINANCE(""NSE:""&amp;UPPER(TRIM(E96)),""price""),""Not Available""))"),1266.7)</f>
        <v>1266.7</v>
      </c>
      <c r="H96" s="53">
        <f t="shared" si="1"/>
        <v>23</v>
      </c>
      <c r="I96" s="58">
        <f t="shared" si="2"/>
        <v>0.0181657423</v>
      </c>
      <c r="J96" s="60">
        <f t="shared" si="3"/>
        <v>1816.57423</v>
      </c>
      <c r="K96" s="62">
        <v>1078.0</v>
      </c>
      <c r="L96" s="62">
        <v>468.0</v>
      </c>
      <c r="M96" s="68">
        <f t="shared" si="4"/>
        <v>-0.133510168</v>
      </c>
      <c r="N96" s="68">
        <f t="shared" si="5"/>
        <v>-0.6238244514</v>
      </c>
      <c r="O96" s="68">
        <v>0.0891407443132</v>
      </c>
      <c r="P96" s="23">
        <v>46272</v>
      </c>
      <c r="R96" s="68">
        <v>0.6746</v>
      </c>
      <c r="S96" s="23">
        <v>46203</v>
      </c>
      <c r="T96" s="23">
        <v>46266</v>
      </c>
      <c r="U96" s="39">
        <v>1244.1</v>
      </c>
      <c r="V96" s="39">
        <v>1272.218</v>
      </c>
      <c r="W96" t="inlineStr">
        <is>
          <t>Below 75 DMA</t>
        </is>
      </c>
    </row>
    <row r="97">
      <c r="A97" s="23">
        <v>46266.0</v>
      </c>
      <c r="B97" s="25" t="str">
        <f t="shared" si="6"/>
        <v>Tuesday</v>
      </c>
      <c r="C97" s="25" t="s">
        <v>252</v>
      </c>
      <c r="D97" s="31">
        <f>IFERROR(__xludf.DUMMYFUNCTION("GOOGLEFINANCE(""NSE:""&amp;UPPER(TRIM(E97)),""marketcap"")/10000000"),7175.1944488)</f>
        <v>7175.194449</v>
      </c>
      <c r="E97" s="32" t="s">
        <v>271</v>
      </c>
      <c r="F97" s="39">
        <f>IFERROR(__xludf.DUMMYFUNCTION("IF(OR(E97="""",A97=""""),"""",
 IF(
   DATE(VALUE(RIGHT(A97,4)),VALUE(MID(A97,4,2)),VALUE(LEFT(A97,2)))&gt;=TODAY(),
   IFERROR(
     GOOGLEFINANCE(""NSE:""&amp;UPPER(TRIM(E97)),""price""),
     ""Not Available""
   ),
   IFERROR(
     INDEX(
       GOOGLEFINANC"&amp;"E(
         ""NSE:""&amp;UPPER(TRIM(E97)),
         ""close"",
         DATE(VALUE(RIGHT(A97,4)),VALUE(MID(A97,4,2)),VALUE(LEFT(A97,2))),
         DATE(VALUE(RIGHT(A97,4)),VALUE(MID(A97,4,2)),VALUE(LEFT(A97,2)))+1
       ),
       2,2
     ),
     ""Not Avail"&amp;"able""
   )
 ))"),229.96)</f>
        <v>229.96</v>
      </c>
      <c r="G97" s="42">
        <f>IFERROR(__xludf.DUMMYFUNCTION("IF(E97="""","""",IFERROR(GOOGLEFINANCE(""NSE:""&amp;UPPER(TRIM(E97)),""price""),""Not Available""))"),223.27)</f>
        <v>223.27</v>
      </c>
      <c r="H97" s="53">
        <f t="shared" si="1"/>
        <v>23</v>
      </c>
      <c r="I97" s="58">
        <f t="shared" si="2"/>
        <v>-0.029092016</v>
      </c>
      <c r="J97" s="60">
        <f t="shared" si="3"/>
        <v>-2909.2016</v>
      </c>
      <c r="K97" s="62">
        <v>311.0</v>
      </c>
      <c r="L97" s="62">
        <v>76.0</v>
      </c>
      <c r="M97" s="68">
        <f t="shared" si="4"/>
        <v>0.3524091146</v>
      </c>
      <c r="N97" s="68">
        <f t="shared" si="5"/>
        <v>-0.6695077405</v>
      </c>
      <c r="O97" s="68">
        <v>0.0519220734041</v>
      </c>
      <c r="P97" s="23">
        <v>46286</v>
      </c>
      <c r="R97" s="68">
        <v>0.2607</v>
      </c>
      <c r="S97" s="23">
        <v>46203</v>
      </c>
      <c r="T97" s="23">
        <v>46266</v>
      </c>
      <c r="U97" s="39">
        <v>229.96</v>
      </c>
      <c r="V97" s="39">
        <v>195.744933333</v>
      </c>
      <c r="W97" t="inlineStr">
        <is>
          <t>Above 75 DMA</t>
        </is>
      </c>
    </row>
    <row r="98">
      <c r="A98" s="23">
        <v>46266.0</v>
      </c>
      <c r="B98" s="25" t="str">
        <f t="shared" si="6"/>
        <v>Tuesday</v>
      </c>
      <c r="C98" s="25" t="s">
        <v>252</v>
      </c>
      <c r="D98" s="31">
        <f>IFERROR(__xludf.DUMMYFUNCTION("GOOGLEFINANCE(""NSE:""&amp;UPPER(TRIM(E98)),""marketcap"")/10000000"),9515.4245904)</f>
        <v>9515.42459</v>
      </c>
      <c r="E98" s="32" t="s">
        <v>332</v>
      </c>
      <c r="F98" s="39">
        <f>IFERROR(__xludf.DUMMYFUNCTION("IF(OR(E98="""",A98=""""),"""",
 IF(
   DATE(VALUE(RIGHT(A98,4)),VALUE(MID(A98,4,2)),VALUE(LEFT(A98,2)))&gt;=TODAY(),
   IFERROR(
     GOOGLEFINANCE(""NSE:""&amp;UPPER(TRIM(E98)),""price""),
     ""Not Available""
   ),
   IFERROR(
     INDEX(
       GOOGLEFINANC"&amp;"E(
         ""NSE:""&amp;UPPER(TRIM(E98)),
         ""close"",
         DATE(VALUE(RIGHT(A98,4)),VALUE(MID(A98,4,2)),VALUE(LEFT(A98,2))),
         DATE(VALUE(RIGHT(A98,4)),VALUE(MID(A98,4,2)),VALUE(LEFT(A98,2)))+1
       ),
       2,2
     ),
     ""Not Avail"&amp;"able""
   )
 ))"),472.95)</f>
        <v>472.95</v>
      </c>
      <c r="G98" s="42">
        <f>IFERROR(__xludf.DUMMYFUNCTION("IF(E98="""","""",IFERROR(GOOGLEFINANCE(""NSE:""&amp;UPPER(TRIM(E98)),""price""),""Not Available""))"),419.4)</f>
        <v>419.4</v>
      </c>
      <c r="H98" s="53">
        <f t="shared" si="1"/>
        <v>23</v>
      </c>
      <c r="I98" s="58">
        <f t="shared" si="2"/>
        <v>-0.1132254995</v>
      </c>
      <c r="J98" s="60">
        <f t="shared" si="3"/>
        <v>-11322.54995</v>
      </c>
      <c r="K98" s="62">
        <v>549.0</v>
      </c>
      <c r="L98" s="62">
        <v>377.0</v>
      </c>
      <c r="M98" s="68">
        <f t="shared" si="4"/>
        <v>0.1607992388</v>
      </c>
      <c r="N98" s="68">
        <f t="shared" si="5"/>
        <v>-0.2028755682</v>
      </c>
      <c r="O98" s="68">
        <v>0.0146949994714</v>
      </c>
      <c r="P98" s="23">
        <v>46280</v>
      </c>
      <c r="R98" s="68">
        <v>0.4899</v>
      </c>
      <c r="S98" s="23">
        <v>46203</v>
      </c>
      <c r="T98" s="23">
        <v>46266</v>
      </c>
      <c r="U98" s="39">
        <v>472.95</v>
      </c>
      <c r="V98" s="39">
        <v>479.152666667</v>
      </c>
      <c r="W98" t="inlineStr">
        <is>
          <t>Below 75 DMA</t>
        </is>
      </c>
    </row>
    <row r="99">
      <c r="A99" s="23">
        <v>46266.0</v>
      </c>
      <c r="B99" s="25" t="str">
        <f t="shared" si="6"/>
        <v>Tuesday</v>
      </c>
      <c r="C99" s="25" t="s">
        <v>252</v>
      </c>
      <c r="D99" s="31">
        <f>IFERROR(__xludf.DUMMYFUNCTION("GOOGLEFINANCE(""NSE:""&amp;UPPER(TRIM(E99)),""marketcap"")/10000000"),63390.5467138)</f>
        <v>63390.54671</v>
      </c>
      <c r="E99" s="32" t="s">
        <v>334</v>
      </c>
      <c r="F99" s="39">
        <f>IFERROR(__xludf.DUMMYFUNCTION("IF(OR(E99="""",A99=""""),"""",
 IF(
   DATE(VALUE(RIGHT(A99,4)),VALUE(MID(A99,4,2)),VALUE(LEFT(A99,2)))&gt;=TODAY(),
   IFERROR(
     GOOGLEFINANCE(""NSE:""&amp;UPPER(TRIM(E99)),""price""),
     ""Not Available""
   ),
   IFERROR(
     INDEX(
       GOOGLEFINANC"&amp;"E(
         ""NSE:""&amp;UPPER(TRIM(E99)),
         ""close"",
         DATE(VALUE(RIGHT(A99,4)),VALUE(MID(A99,4,2)),VALUE(LEFT(A99,2))),
         DATE(VALUE(RIGHT(A99,4)),VALUE(MID(A99,4,2)),VALUE(LEFT(A99,2)))+1
       ),
       2,2
     ),
     ""Not Avail"&amp;"able""
   )
 ))"),1570.0)</f>
        <v>1570</v>
      </c>
      <c r="G99" s="42">
        <f>IFERROR(__xludf.DUMMYFUNCTION("IF(E99="""","""",IFERROR(GOOGLEFINANCE(""NSE:""&amp;UPPER(TRIM(E99)),""price""),""Not Available""))"),1471.2)</f>
        <v>1471.2</v>
      </c>
      <c r="H99" s="53">
        <f t="shared" si="1"/>
        <v>23</v>
      </c>
      <c r="I99" s="58">
        <f t="shared" si="2"/>
        <v>-0.06292993631</v>
      </c>
      <c r="J99" s="60">
        <f t="shared" si="3"/>
        <v>-6292.993631</v>
      </c>
      <c r="K99" s="62">
        <v>1620.0</v>
      </c>
      <c r="L99" s="62">
        <v>1071.0</v>
      </c>
      <c r="M99" s="68">
        <f t="shared" si="4"/>
        <v>0.03184713376</v>
      </c>
      <c r="N99" s="68">
        <f t="shared" si="5"/>
        <v>-0.3178343949</v>
      </c>
      <c r="O99" s="68">
        <v>0.0487898089172</v>
      </c>
      <c r="P99" s="23">
        <v>46269</v>
      </c>
      <c r="R99" s="68">
        <v>0.6094</v>
      </c>
      <c r="S99" s="23">
        <v>46203</v>
      </c>
      <c r="T99" s="23">
        <v>46266</v>
      </c>
      <c r="U99" s="39">
        <v>1570</v>
      </c>
      <c r="V99" s="39">
        <v>1551.17066667</v>
      </c>
      <c r="W99" t="inlineStr">
        <is>
          <t>Above 75 DMA</t>
        </is>
      </c>
    </row>
    <row r="100">
      <c r="A100" s="23">
        <v>46267.0</v>
      </c>
      <c r="B100" s="25" t="str">
        <f t="shared" si="6"/>
        <v>Wednesday</v>
      </c>
      <c r="C100" s="25" t="s">
        <v>335</v>
      </c>
      <c r="D100" s="31">
        <f>IFERROR(__xludf.DUMMYFUNCTION("GOOGLEFINANCE(""NSE:""&amp;UPPER(TRIM(E100)),""marketcap"")/10000000"),7534.0575535)</f>
        <v>7534.057554</v>
      </c>
      <c r="E100" s="32" t="s">
        <v>337</v>
      </c>
      <c r="F100" s="39">
        <f>IFERROR(__xludf.DUMMYFUNCTION("IF(OR(E100="""",A100=""""),"""",
 IF(
   DATE(VALUE(RIGHT(A100,4)),VALUE(MID(A100,4,2)),VALUE(LEFT(A100,2)))&gt;=TODAY(),
   IFERROR(
     GOOGLEFINANCE(""NSE:""&amp;UPPER(TRIM(E100)),""price""),
     ""Not Available""
   ),
   IFERROR(
     INDEX(
       GOOGLE"&amp;"FINANCE(
         ""NSE:""&amp;UPPER(TRIM(E100)),
         ""close"",
         DATE(VALUE(RIGHT(A100,4)),VALUE(MID(A100,4,2)),VALUE(LEFT(A100,2))),
         DATE(VALUE(RIGHT(A100,4)),VALUE(MID(A100,4,2)),VALUE(LEFT(A100,2)))+1
       ),
       2,2
     ),
   "&amp;"  ""Not Available""
   )
 ))"),814.75)</f>
        <v>814.75</v>
      </c>
      <c r="G100" s="42">
        <f>IFERROR(__xludf.DUMMYFUNCTION("IF(E100="""","""",IFERROR(GOOGLEFINANCE(""NSE:""&amp;UPPER(TRIM(E100)),""price""),""Not Available""))"),772.0)</f>
        <v>772</v>
      </c>
      <c r="H100" s="53">
        <f t="shared" si="1"/>
        <v>22</v>
      </c>
      <c r="I100" s="58">
        <f t="shared" si="2"/>
        <v>-0.05247008285</v>
      </c>
      <c r="J100" s="60">
        <f t="shared" si="3"/>
        <v>-5247.008285</v>
      </c>
      <c r="K100" s="62">
        <v>797.0</v>
      </c>
      <c r="L100" s="62">
        <v>425.0</v>
      </c>
      <c r="M100" s="68">
        <f t="shared" si="4"/>
        <v>-0.02178582387</v>
      </c>
      <c r="N100" s="68">
        <f t="shared" si="5"/>
        <v>-0.4783675974</v>
      </c>
      <c r="O100" s="68">
        <v>0.0309911015649</v>
      </c>
      <c r="P100" s="23">
        <v>46283</v>
      </c>
      <c r="R100" s="68">
        <v>0.5425</v>
      </c>
      <c r="S100" s="23">
        <v>46203</v>
      </c>
      <c r="T100" s="23">
        <v>46267</v>
      </c>
      <c r="U100" s="39">
        <v>814.75</v>
      </c>
      <c r="V100" s="39">
        <v>734.793333333</v>
      </c>
      <c r="W100" t="inlineStr">
        <is>
          <t>Above 75 DMA</t>
        </is>
      </c>
    </row>
    <row r="101">
      <c r="A101" s="23">
        <v>46267.0</v>
      </c>
      <c r="B101" s="25" t="str">
        <f t="shared" si="6"/>
        <v>Wednesday</v>
      </c>
      <c r="C101" s="25" t="s">
        <v>335</v>
      </c>
      <c r="D101" s="31">
        <f>IFERROR(__xludf.DUMMYFUNCTION("GOOGLEFINANCE(""NSE:""&amp;UPPER(TRIM(E101)),""marketcap"")/10000000"),23909.86)</f>
        <v>23909.86</v>
      </c>
      <c r="E101" s="32" t="s">
        <v>340</v>
      </c>
      <c r="F101" s="39">
        <f>IFERROR(__xludf.DUMMYFUNCTION("IF(OR(E101="""",A101=""""),"""",
 IF(
   DATE(VALUE(RIGHT(A101,4)),VALUE(MID(A101,4,2)),VALUE(LEFT(A101,2)))&gt;=TODAY(),
   IFERROR(
     GOOGLEFINANCE(""NSE:""&amp;UPPER(TRIM(E101)),""price""),
     ""Not Available""
   ),
   IFERROR(
     INDEX(
       GOOGLE"&amp;"FINANCE(
         ""NSE:""&amp;UPPER(TRIM(E101)),
         ""close"",
         DATE(VALUE(RIGHT(A101,4)),VALUE(MID(A101,4,2)),VALUE(LEFT(A101,2))),
         DATE(VALUE(RIGHT(A101,4)),VALUE(MID(A101,4,2)),VALUE(LEFT(A101,2)))+1
       ),
       2,2
     ),
   "&amp;"  ""Not Available""
   )
 ))"),1410.5)</f>
        <v>1410.5</v>
      </c>
      <c r="G101" s="42">
        <f>IFERROR(__xludf.DUMMYFUNCTION("IF(E101="""","""",IFERROR(GOOGLEFINANCE(""NSE:""&amp;UPPER(TRIM(E101)),""price""),""Not Available""))"),1384.9)</f>
        <v>1384.9</v>
      </c>
      <c r="H101" s="53">
        <f t="shared" si="1"/>
        <v>22</v>
      </c>
      <c r="I101" s="58">
        <f t="shared" si="2"/>
        <v>-0.01814959234</v>
      </c>
      <c r="J101" s="60">
        <f t="shared" si="3"/>
        <v>-1814.959234</v>
      </c>
      <c r="K101" s="62">
        <v>1527.0</v>
      </c>
      <c r="L101" s="62">
        <v>1147.0</v>
      </c>
      <c r="M101" s="68">
        <f t="shared" si="4"/>
        <v>0.08259482453</v>
      </c>
      <c r="N101" s="68">
        <f t="shared" si="5"/>
        <v>-0.1868131868</v>
      </c>
      <c r="O101" s="68">
        <v>0.0355193193903</v>
      </c>
      <c r="P101" s="23">
        <v>46286</v>
      </c>
      <c r="R101" s="68">
        <v>0.3358</v>
      </c>
      <c r="S101" s="23">
        <v>46203</v>
      </c>
      <c r="T101" s="23">
        <v>46267</v>
      </c>
      <c r="U101" s="39">
        <v>1410.5</v>
      </c>
      <c r="V101" s="39">
        <v>1334.35466667</v>
      </c>
      <c r="W101" t="inlineStr">
        <is>
          <t>Above 75 DMA</t>
        </is>
      </c>
    </row>
    <row r="102">
      <c r="A102" s="23">
        <v>46267.0</v>
      </c>
      <c r="B102" s="25" t="str">
        <f t="shared" si="6"/>
        <v>Wednesday</v>
      </c>
      <c r="C102" s="25" t="s">
        <v>343</v>
      </c>
      <c r="D102" s="31">
        <f>IFERROR(__xludf.DUMMYFUNCTION("GOOGLEFINANCE(""NSE:""&amp;UPPER(TRIM(E102)),""marketcap"")/10000000"),264.2309599)</f>
        <v>264.2309599</v>
      </c>
      <c r="E102" s="32" t="s">
        <v>344</v>
      </c>
      <c r="F102" s="39">
        <f>IFERROR(__xludf.DUMMYFUNCTION("IF(OR(E102="""",A102=""""),"""",
 IF(
   DATE(VALUE(RIGHT(A102,4)),VALUE(MID(A102,4,2)),VALUE(LEFT(A102,2)))&gt;=TODAY(),
   IFERROR(
     GOOGLEFINANCE(""NSE:""&amp;UPPER(TRIM(E102)),""price""),
     ""Not Available""
   ),
   IFERROR(
     INDEX(
       GOOGLE"&amp;"FINANCE(
         ""NSE:""&amp;UPPER(TRIM(E102)),
         ""close"",
         DATE(VALUE(RIGHT(A102,4)),VALUE(MID(A102,4,2)),VALUE(LEFT(A102,2))),
         DATE(VALUE(RIGHT(A102,4)),VALUE(MID(A102,4,2)),VALUE(LEFT(A102,2)))+1
       ),
       2,2
     ),
   "&amp;"  ""Not Available""
   )
 ))"),88.34)</f>
        <v>88.34</v>
      </c>
      <c r="G102" s="42">
        <f>IFERROR(__xludf.DUMMYFUNCTION("IF(E102="""","""",IFERROR(GOOGLEFINANCE(""NSE:""&amp;UPPER(TRIM(E102)),""price""),""Not Available""))"),79.99)</f>
        <v>79.99</v>
      </c>
      <c r="H102" s="53">
        <f t="shared" si="1"/>
        <v>22</v>
      </c>
      <c r="I102" s="58">
        <f t="shared" si="2"/>
        <v>-0.09452116821</v>
      </c>
      <c r="J102" s="60">
        <f t="shared" si="3"/>
        <v>-9452.116821</v>
      </c>
      <c r="K102" s="62">
        <v>88.0</v>
      </c>
      <c r="L102" s="62">
        <v>218.0</v>
      </c>
      <c r="M102" s="68">
        <f t="shared" si="4"/>
        <v>-0.003848766131</v>
      </c>
      <c r="N102" s="68">
        <f t="shared" si="5"/>
        <v>1.467738284</v>
      </c>
      <c r="O102" s="68">
        <v>0.102331899479</v>
      </c>
      <c r="P102" s="23">
        <v>46269</v>
      </c>
      <c r="R102" s="68">
        <v>0.806</v>
      </c>
      <c r="S102" s="23">
        <v>46203</v>
      </c>
      <c r="T102" s="23">
        <v>46267</v>
      </c>
      <c r="U102" s="39">
        <v>88.34</v>
      </c>
      <c r="V102" s="39">
        <v>96.9666666667</v>
      </c>
      <c r="W102" t="inlineStr">
        <is>
          <t>Below 75 DMA</t>
        </is>
      </c>
    </row>
    <row r="103">
      <c r="A103" s="23">
        <v>46267.0</v>
      </c>
      <c r="B103" s="25" t="str">
        <f t="shared" si="6"/>
        <v>Wednesday</v>
      </c>
      <c r="C103" s="25" t="s">
        <v>347</v>
      </c>
      <c r="D103" s="31">
        <f>IFERROR(__xludf.DUMMYFUNCTION("GOOGLEFINANCE(""NSE:""&amp;UPPER(TRIM(E103)),""marketcap"")/10000000"),4294.55131)</f>
        <v>4294.55131</v>
      </c>
      <c r="E103" s="32" t="s">
        <v>348</v>
      </c>
      <c r="F103" s="39">
        <f>IFERROR(__xludf.DUMMYFUNCTION("IF(OR(E103="""",A103=""""),"""",
 IF(
   DATE(VALUE(RIGHT(A103,4)),VALUE(MID(A103,4,2)),VALUE(LEFT(A103,2)))&gt;=TODAY(),
   IFERROR(
     GOOGLEFINANCE(""NSE:""&amp;UPPER(TRIM(E103)),""price""),
     ""Not Available""
   ),
   IFERROR(
     INDEX(
       GOOGLE"&amp;"FINANCE(
         ""NSE:""&amp;UPPER(TRIM(E103)),
         ""close"",
         DATE(VALUE(RIGHT(A103,4)),VALUE(MID(A103,4,2)),VALUE(LEFT(A103,2))),
         DATE(VALUE(RIGHT(A103,4)),VALUE(MID(A103,4,2)),VALUE(LEFT(A103,2)))+1
       ),
       2,2
     ),
   "&amp;"  ""Not Available""
   )
 ))"),3540.9)</f>
        <v>3540.9</v>
      </c>
      <c r="G103" s="42">
        <f>IFERROR(__xludf.DUMMYFUNCTION("IF(E103="""","""",IFERROR(GOOGLEFINANCE(""NSE:""&amp;UPPER(TRIM(E103)),""price""),""Not Available""))"),3536.3)</f>
        <v>3536.3</v>
      </c>
      <c r="H103" s="53">
        <f t="shared" si="1"/>
        <v>22</v>
      </c>
      <c r="I103" s="58">
        <f t="shared" si="2"/>
        <v>-0.001299104747</v>
      </c>
      <c r="J103" s="60">
        <f t="shared" si="3"/>
        <v>-129.9104747</v>
      </c>
      <c r="K103" s="62">
        <v>3852.0</v>
      </c>
      <c r="L103" s="62">
        <v>2807.0</v>
      </c>
      <c r="M103" s="68">
        <f t="shared" si="4"/>
        <v>0.08785901889</v>
      </c>
      <c r="N103" s="68">
        <f t="shared" si="5"/>
        <v>-0.20726369</v>
      </c>
      <c r="O103" s="68">
        <v>0.0446496653393</v>
      </c>
      <c r="P103" s="23">
        <v>46272</v>
      </c>
      <c r="R103" s="68">
        <v>0.5211</v>
      </c>
      <c r="S103" s="23">
        <v>46203</v>
      </c>
      <c r="T103" s="23">
        <v>46267</v>
      </c>
      <c r="U103" s="39">
        <v>3540.9</v>
      </c>
      <c r="V103" s="39">
        <v>3675.92</v>
      </c>
      <c r="W103" t="inlineStr">
        <is>
          <t>Below 75 DMA</t>
        </is>
      </c>
    </row>
    <row r="104">
      <c r="A104" s="23">
        <v>46267.0</v>
      </c>
      <c r="B104" s="25" t="str">
        <f t="shared" si="6"/>
        <v>Wednesday</v>
      </c>
      <c r="C104" s="25" t="s">
        <v>347</v>
      </c>
      <c r="D104" s="31">
        <f>IFERROR(__xludf.DUMMYFUNCTION("GOOGLEFINANCE(""NSE:""&amp;UPPER(TRIM(E104)),""marketcap"")/10000000"),12774.89557)</f>
        <v>12774.89557</v>
      </c>
      <c r="E104" s="32" t="s">
        <v>351</v>
      </c>
      <c r="F104" s="39">
        <f>IFERROR(__xludf.DUMMYFUNCTION("IF(OR(E104="""",A104=""""),"""",
 IF(
   DATE(VALUE(RIGHT(A104,4)),VALUE(MID(A104,4,2)),VALUE(LEFT(A104,2)))&gt;=TODAY(),
   IFERROR(
     GOOGLEFINANCE(""NSE:""&amp;UPPER(TRIM(E104)),""price""),
     ""Not Available""
   ),
   IFERROR(
     INDEX(
       GOOGLE"&amp;"FINANCE(
         ""NSE:""&amp;UPPER(TRIM(E104)),
         ""close"",
         DATE(VALUE(RIGHT(A104,4)),VALUE(MID(A104,4,2)),VALUE(LEFT(A104,2))),
         DATE(VALUE(RIGHT(A104,4)),VALUE(MID(A104,4,2)),VALUE(LEFT(A104,2)))+1
       ),
       2,2
     ),
   "&amp;"  ""Not Available""
   )
 ))"),2206.3)</f>
        <v>2206.3</v>
      </c>
      <c r="G104" s="42">
        <f>IFERROR(__xludf.DUMMYFUNCTION("IF(E104="""","""",IFERROR(GOOGLEFINANCE(""NSE:""&amp;UPPER(TRIM(E104)),""price""),""Not Available""))"),2105.0)</f>
        <v>2105</v>
      </c>
      <c r="H104" s="53">
        <f t="shared" si="1"/>
        <v>22</v>
      </c>
      <c r="I104" s="58">
        <f t="shared" si="2"/>
        <v>-0.04591397362</v>
      </c>
      <c r="J104" s="60">
        <f t="shared" si="3"/>
        <v>-4591.397362</v>
      </c>
      <c r="K104" s="62">
        <v>1776.0</v>
      </c>
      <c r="L104" s="62">
        <v>1836.0</v>
      </c>
      <c r="M104" s="68">
        <f t="shared" si="4"/>
        <v>-0.1950324072</v>
      </c>
      <c r="N104" s="68">
        <f t="shared" si="5"/>
        <v>-0.1678375561</v>
      </c>
      <c r="O104" s="68">
        <v>0.00847572859539</v>
      </c>
      <c r="P104" s="23">
        <v>46272</v>
      </c>
      <c r="R104" s="68">
        <v>0.6339</v>
      </c>
      <c r="S104" s="23">
        <v>46203</v>
      </c>
      <c r="T104" s="23">
        <v>46267</v>
      </c>
      <c r="U104" s="39">
        <v>2206.3</v>
      </c>
      <c r="V104" s="39">
        <v>2245.34133333</v>
      </c>
      <c r="W104" t="inlineStr">
        <is>
          <t>Below 75 DMA</t>
        </is>
      </c>
    </row>
    <row r="105">
      <c r="A105" s="23">
        <v>46267.0</v>
      </c>
      <c r="B105" s="25" t="str">
        <f t="shared" si="6"/>
        <v>Wednesday</v>
      </c>
      <c r="C105" s="25" t="s">
        <v>347</v>
      </c>
      <c r="D105" s="31">
        <f>IFERROR(__xludf.DUMMYFUNCTION("GOOGLEFINANCE(""NSE:""&amp;UPPER(TRIM(E105)),""marketcap"")/10000000"),1186.6965375)</f>
        <v>1186.696538</v>
      </c>
      <c r="E105" s="32" t="s">
        <v>126</v>
      </c>
      <c r="F105" s="39">
        <f>IFERROR(__xludf.DUMMYFUNCTION("IF(OR(E105="""",A105=""""),"""",
 IF(
   DATE(VALUE(RIGHT(A105,4)),VALUE(MID(A105,4,2)),VALUE(LEFT(A105,2)))&gt;=TODAY(),
   IFERROR(
     GOOGLEFINANCE(""NSE:""&amp;UPPER(TRIM(E105)),""price""),
     ""Not Available""
   ),
   IFERROR(
     INDEX(
       GOOGLE"&amp;"FINANCE(
         ""NSE:""&amp;UPPER(TRIM(E105)),
         ""close"",
         DATE(VALUE(RIGHT(A105,4)),VALUE(MID(A105,4,2)),VALUE(LEFT(A105,2))),
         DATE(VALUE(RIGHT(A105,4)),VALUE(MID(A105,4,2)),VALUE(LEFT(A105,2)))+1
       ),
       2,2
     ),
   "&amp;"  ""Not Available""
   )
 ))"),329.0)</f>
        <v>329</v>
      </c>
      <c r="G105" s="42">
        <f>IFERROR(__xludf.DUMMYFUNCTION("IF(E105="""","""",IFERROR(GOOGLEFINANCE(""NSE:""&amp;UPPER(TRIM(E105)),""price""),""Not Available""))"),352.5)</f>
        <v>352.5</v>
      </c>
      <c r="H105" s="53">
        <f t="shared" si="1"/>
        <v>22</v>
      </c>
      <c r="I105" s="58">
        <f t="shared" si="2"/>
        <v>0.07142857143</v>
      </c>
      <c r="J105" s="60">
        <f t="shared" si="3"/>
        <v>7142.857143</v>
      </c>
      <c r="K105" s="62">
        <v>406.0</v>
      </c>
      <c r="L105" s="62">
        <v>125.0</v>
      </c>
      <c r="M105" s="68">
        <f t="shared" si="4"/>
        <v>0.2340425532</v>
      </c>
      <c r="N105" s="68">
        <f t="shared" si="5"/>
        <v>-0.6200607903</v>
      </c>
      <c r="O105" s="68">
        <v>0.0851063829787</v>
      </c>
      <c r="P105" s="23">
        <v>46288</v>
      </c>
      <c r="R105" s="68">
        <v>0.5859</v>
      </c>
      <c r="S105" s="23">
        <v>46203</v>
      </c>
      <c r="T105" s="23">
        <v>46267</v>
      </c>
      <c r="U105" s="39">
        <v>329</v>
      </c>
      <c r="V105" s="39">
        <v>323.369333333</v>
      </c>
      <c r="W105" t="inlineStr">
        <is>
          <t>Above 75 DMA</t>
        </is>
      </c>
    </row>
    <row r="106">
      <c r="A106" s="23">
        <v>46267.0</v>
      </c>
      <c r="B106" s="25" t="str">
        <f t="shared" si="6"/>
        <v>Wednesday</v>
      </c>
      <c r="C106" s="25" t="s">
        <v>347</v>
      </c>
      <c r="D106" s="31">
        <f>IFERROR(__xludf.DUMMYFUNCTION("GOOGLEFINANCE(""NSE:""&amp;UPPER(TRIM(E106)),""marketcap"")/10000000"),1360.587564)</f>
        <v>1360.587564</v>
      </c>
      <c r="E106" s="32" t="s">
        <v>294</v>
      </c>
      <c r="F106" s="39">
        <f>IFERROR(__xludf.DUMMYFUNCTION("IF(OR(E106="""",A106=""""),"""",
 IF(
   DATE(VALUE(RIGHT(A106,4)),VALUE(MID(A106,4,2)),VALUE(LEFT(A106,2)))&gt;=TODAY(),
   IFERROR(
     GOOGLEFINANCE(""NSE:""&amp;UPPER(TRIM(E106)),""price""),
     ""Not Available""
   ),
   IFERROR(
     INDEX(
       GOOGLE"&amp;"FINANCE(
         ""NSE:""&amp;UPPER(TRIM(E106)),
         ""close"",
         DATE(VALUE(RIGHT(A106,4)),VALUE(MID(A106,4,2)),VALUE(LEFT(A106,2))),
         DATE(VALUE(RIGHT(A106,4)),VALUE(MID(A106,4,2)),VALUE(LEFT(A106,2)))+1
       ),
       2,2
     ),
   "&amp;"  ""Not Available""
   )
 ))"),938.8)</f>
        <v>938.8</v>
      </c>
      <c r="G106" s="42">
        <f>IFERROR(__xludf.DUMMYFUNCTION("IF(E106="""","""",IFERROR(GOOGLEFINANCE(""NSE:""&amp;UPPER(TRIM(E106)),""price""),""Not Available""))"),908.25)</f>
        <v>908.25</v>
      </c>
      <c r="H106" s="53">
        <f t="shared" si="1"/>
        <v>22</v>
      </c>
      <c r="I106" s="58">
        <f t="shared" si="2"/>
        <v>-0.03254154239</v>
      </c>
      <c r="J106" s="60">
        <f t="shared" si="3"/>
        <v>-3254.154239</v>
      </c>
      <c r="K106" s="62">
        <v>986.0</v>
      </c>
      <c r="L106" s="62">
        <v>1419.0</v>
      </c>
      <c r="M106" s="68">
        <f t="shared" si="4"/>
        <v>0.0502769493</v>
      </c>
      <c r="N106" s="68">
        <f t="shared" si="5"/>
        <v>0.5115040477</v>
      </c>
      <c r="O106" s="68">
        <v>0.0437792927141</v>
      </c>
      <c r="P106" s="23">
        <v>46287</v>
      </c>
      <c r="R106" s="68">
        <v>0.3479</v>
      </c>
      <c r="S106" s="23">
        <v>46203</v>
      </c>
      <c r="T106" s="23">
        <v>46267</v>
      </c>
      <c r="U106" s="39">
        <v>938.8</v>
      </c>
      <c r="V106" s="39">
        <v>949.402666667</v>
      </c>
      <c r="W106" t="inlineStr">
        <is>
          <t>Below 75 DMA</t>
        </is>
      </c>
    </row>
    <row r="107">
      <c r="A107" s="23">
        <v>46267.0</v>
      </c>
      <c r="B107" s="25" t="str">
        <f t="shared" si="6"/>
        <v>Wednesday</v>
      </c>
      <c r="C107" s="25" t="s">
        <v>347</v>
      </c>
      <c r="D107" s="31">
        <f>IFERROR(__xludf.DUMMYFUNCTION("GOOGLEFINANCE(""NSE:""&amp;UPPER(TRIM(E107)),""marketcap"")/10000000"),591.3493299)</f>
        <v>591.3493299</v>
      </c>
      <c r="E107" s="32" t="s">
        <v>356</v>
      </c>
      <c r="F107" s="39">
        <f>IFERROR(__xludf.DUMMYFUNCTION("IF(OR(E107="""",A107=""""),"""",
 IF(
   DATE(VALUE(RIGHT(A107,4)),VALUE(MID(A107,4,2)),VALUE(LEFT(A107,2)))&gt;=TODAY(),
   IFERROR(
     GOOGLEFINANCE(""NSE:""&amp;UPPER(TRIM(E107)),""price""),
     ""Not Available""
   ),
   IFERROR(
     INDEX(
       GOOGLE"&amp;"FINANCE(
         ""NSE:""&amp;UPPER(TRIM(E107)),
         ""close"",
         DATE(VALUE(RIGHT(A107,4)),VALUE(MID(A107,4,2)),VALUE(LEFT(A107,2))),
         DATE(VALUE(RIGHT(A107,4)),VALUE(MID(A107,4,2)),VALUE(LEFT(A107,2)))+1
       ),
       2,2
     ),
   "&amp;"  ""Not Available""
   )
 ))"),273.2)</f>
        <v>273.2</v>
      </c>
      <c r="G107" s="42">
        <f>IFERROR(__xludf.DUMMYFUNCTION("IF(E107="""","""",IFERROR(GOOGLEFINANCE(""NSE:""&amp;UPPER(TRIM(E107)),""price""),""Not Available""))"),249.3)</f>
        <v>249.3</v>
      </c>
      <c r="H107" s="53">
        <f t="shared" si="1"/>
        <v>22</v>
      </c>
      <c r="I107" s="58">
        <f t="shared" si="2"/>
        <v>-0.08748169839</v>
      </c>
      <c r="J107" s="60">
        <f t="shared" si="3"/>
        <v>-8748.169839</v>
      </c>
      <c r="K107" s="62">
        <v>284.0</v>
      </c>
      <c r="L107" s="62">
        <v>140.0</v>
      </c>
      <c r="M107" s="68">
        <f t="shared" si="4"/>
        <v>0.03953147877</v>
      </c>
      <c r="N107" s="68">
        <f t="shared" si="5"/>
        <v>-0.4875549048</v>
      </c>
      <c r="O107" s="68">
        <v>0.0215959004392</v>
      </c>
      <c r="P107" s="23">
        <v>46268</v>
      </c>
      <c r="R107" s="68">
        <v>0.5892</v>
      </c>
      <c r="S107" s="23">
        <v>46203</v>
      </c>
      <c r="T107" s="23">
        <v>46267</v>
      </c>
      <c r="U107" s="39">
        <v>273.2</v>
      </c>
      <c r="V107" s="39">
        <v>283.117333333</v>
      </c>
      <c r="W107" t="inlineStr">
        <is>
          <t>Below 75 DMA</t>
        </is>
      </c>
    </row>
    <row r="108">
      <c r="A108" s="23">
        <v>46267.0</v>
      </c>
      <c r="B108" s="25" t="str">
        <f t="shared" si="6"/>
        <v>Wednesday</v>
      </c>
      <c r="C108" s="25" t="s">
        <v>347</v>
      </c>
      <c r="D108" s="31">
        <f>IFERROR(__xludf.DUMMYFUNCTION("GOOGLEFINANCE(""NSE:""&amp;UPPER(TRIM(E108)),""marketcap"")/10000000"),16270.0994709)</f>
        <v>16270.09947</v>
      </c>
      <c r="E108" s="32" t="s">
        <v>357</v>
      </c>
      <c r="F108" s="39">
        <f>IFERROR(__xludf.DUMMYFUNCTION("IF(OR(E108="""",A108=""""),"""",
 IF(
   DATE(VALUE(RIGHT(A108,4)),VALUE(MID(A108,4,2)),VALUE(LEFT(A108,2)))&gt;=TODAY(),
   IFERROR(
     GOOGLEFINANCE(""NSE:""&amp;UPPER(TRIM(E108)),""price""),
     ""Not Available""
   ),
   IFERROR(
     INDEX(
       GOOGLE"&amp;"FINANCE(
         ""NSE:""&amp;UPPER(TRIM(E108)),
         ""close"",
         DATE(VALUE(RIGHT(A108,4)),VALUE(MID(A108,4,2)),VALUE(LEFT(A108,2))),
         DATE(VALUE(RIGHT(A108,4)),VALUE(MID(A108,4,2)),VALUE(LEFT(A108,2)))+1
       ),
       2,2
     ),
   "&amp;"  ""Not Available""
   )
 ))"),587.45)</f>
        <v>587.45</v>
      </c>
      <c r="G108" s="42">
        <f>IFERROR(__xludf.DUMMYFUNCTION("IF(E108="""","""",IFERROR(GOOGLEFINANCE(""NSE:""&amp;UPPER(TRIM(E108)),""price""),""Not Available""))"),562.25)</f>
        <v>562.25</v>
      </c>
      <c r="H108" s="53">
        <f t="shared" si="1"/>
        <v>22</v>
      </c>
      <c r="I108" s="58">
        <f t="shared" si="2"/>
        <v>-0.04289726785</v>
      </c>
      <c r="J108" s="60">
        <f t="shared" si="3"/>
        <v>-4289.726785</v>
      </c>
      <c r="K108" s="62">
        <v>576.0</v>
      </c>
      <c r="L108" s="62">
        <v>694.0</v>
      </c>
      <c r="M108" s="68">
        <f t="shared" si="4"/>
        <v>-0.01949102051</v>
      </c>
      <c r="N108" s="68">
        <f t="shared" si="5"/>
        <v>0.1813771385</v>
      </c>
      <c r="O108" s="68">
        <v>0.0283428376883</v>
      </c>
      <c r="P108" s="23">
        <v>46269</v>
      </c>
      <c r="R108" s="68">
        <v>0.6508</v>
      </c>
      <c r="S108" s="23">
        <v>46203</v>
      </c>
      <c r="T108" s="23">
        <v>46267</v>
      </c>
      <c r="U108" s="39">
        <v>587.45</v>
      </c>
      <c r="V108" s="39">
        <v>617.904666667</v>
      </c>
      <c r="W108" t="inlineStr">
        <is>
          <t>Below 75 DMA</t>
        </is>
      </c>
    </row>
    <row r="109">
      <c r="A109" s="23">
        <v>46267.0</v>
      </c>
      <c r="B109" s="25" t="str">
        <f t="shared" si="6"/>
        <v>Wednesday</v>
      </c>
      <c r="C109" s="25" t="s">
        <v>347</v>
      </c>
      <c r="D109" s="31">
        <f>IFERROR(__xludf.DUMMYFUNCTION("GOOGLEFINANCE(""NSE:""&amp;UPPER(TRIM(E109)),""marketcap"")/10000000"),6005.6291542)</f>
        <v>6005.629154</v>
      </c>
      <c r="E109" s="32" t="s">
        <v>360</v>
      </c>
      <c r="F109" s="39">
        <f>IFERROR(__xludf.DUMMYFUNCTION("IF(OR(E109="""",A109=""""),"""",
 IF(
   DATE(VALUE(RIGHT(A109,4)),VALUE(MID(A109,4,2)),VALUE(LEFT(A109,2)))&gt;=TODAY(),
   IFERROR(
     GOOGLEFINANCE(""NSE:""&amp;UPPER(TRIM(E109)),""price""),
     ""Not Available""
   ),
   IFERROR(
     INDEX(
       GOOGLE"&amp;"FINANCE(
         ""NSE:""&amp;UPPER(TRIM(E109)),
         ""close"",
         DATE(VALUE(RIGHT(A109,4)),VALUE(MID(A109,4,2)),VALUE(LEFT(A109,2))),
         DATE(VALUE(RIGHT(A109,4)),VALUE(MID(A109,4,2)),VALUE(LEFT(A109,2)))+1
       ),
       2,2
     ),
   "&amp;"  ""Not Available""
   )
 ))"),494.1)</f>
        <v>494.1</v>
      </c>
      <c r="G109" s="42">
        <f>IFERROR(__xludf.DUMMYFUNCTION("IF(E109="""","""",IFERROR(GOOGLEFINANCE(""NSE:""&amp;UPPER(TRIM(E109)),""price""),""Not Available""))"),486.8)</f>
        <v>486.8</v>
      </c>
      <c r="H109" s="53">
        <f t="shared" si="1"/>
        <v>22</v>
      </c>
      <c r="I109" s="58">
        <f t="shared" si="2"/>
        <v>-0.01477433718</v>
      </c>
      <c r="J109" s="60">
        <f t="shared" si="3"/>
        <v>-1477.433718</v>
      </c>
      <c r="K109" s="62">
        <v>479.0</v>
      </c>
      <c r="L109" s="62">
        <v>666.0</v>
      </c>
      <c r="M109" s="68">
        <f t="shared" si="4"/>
        <v>-0.03056061526</v>
      </c>
      <c r="N109" s="68">
        <f t="shared" si="5"/>
        <v>0.3479052823</v>
      </c>
      <c r="O109" s="68">
        <v>0.0394656952034</v>
      </c>
      <c r="P109" s="23">
        <v>46272</v>
      </c>
      <c r="R109" s="68">
        <v>0.5343</v>
      </c>
      <c r="S109" s="23">
        <v>46203</v>
      </c>
      <c r="T109" s="23">
        <v>46267</v>
      </c>
      <c r="U109" s="39">
        <v>494.1</v>
      </c>
      <c r="V109" s="39">
        <v>527.551333333</v>
      </c>
      <c r="W109" t="inlineStr">
        <is>
          <t>Below 75 DMA</t>
        </is>
      </c>
    </row>
    <row r="110">
      <c r="A110" s="23">
        <v>46267.0</v>
      </c>
      <c r="B110" s="25" t="str">
        <f t="shared" si="6"/>
        <v>Wednesday</v>
      </c>
      <c r="C110" s="25" t="s">
        <v>347</v>
      </c>
      <c r="D110" s="31">
        <f>IFERROR(__xludf.DUMMYFUNCTION("GOOGLEFINANCE(""NSE:""&amp;UPPER(TRIM(E110)),""marketcap"")/10000000"),20371.4137819)</f>
        <v>20371.41378</v>
      </c>
      <c r="E110" s="32" t="s">
        <v>363</v>
      </c>
      <c r="F110" s="39">
        <f>IFERROR(__xludf.DUMMYFUNCTION("IF(OR(E110="""",A110=""""),"""",
 IF(
   DATE(VALUE(RIGHT(A110,4)),VALUE(MID(A110,4,2)),VALUE(LEFT(A110,2)))&gt;=TODAY(),
   IFERROR(
     GOOGLEFINANCE(""NSE:""&amp;UPPER(TRIM(E110)),""price""),
     ""Not Available""
   ),
   IFERROR(
     INDEX(
       GOOGLE"&amp;"FINANCE(
         ""NSE:""&amp;UPPER(TRIM(E110)),
         ""close"",
         DATE(VALUE(RIGHT(A110,4)),VALUE(MID(A110,4,2)),VALUE(LEFT(A110,2))),
         DATE(VALUE(RIGHT(A110,4)),VALUE(MID(A110,4,2)),VALUE(LEFT(A110,2)))+1
       ),
       2,2
     ),
   "&amp;"  ""Not Available""
   )
 ))"),147.94)</f>
        <v>147.94</v>
      </c>
      <c r="G110" s="42">
        <f>IFERROR(__xludf.DUMMYFUNCTION("IF(E110="""","""",IFERROR(GOOGLEFINANCE(""NSE:""&amp;UPPER(TRIM(E110)),""price""),""Not Available""))"),145.51)</f>
        <v>145.51</v>
      </c>
      <c r="H110" s="53">
        <f t="shared" si="1"/>
        <v>22</v>
      </c>
      <c r="I110" s="58">
        <f t="shared" si="2"/>
        <v>-0.01642557794</v>
      </c>
      <c r="J110" s="60">
        <f t="shared" si="3"/>
        <v>-1642.557794</v>
      </c>
      <c r="K110" s="62">
        <v>174.0</v>
      </c>
      <c r="L110" s="62">
        <v>104.0</v>
      </c>
      <c r="M110" s="68">
        <f t="shared" si="4"/>
        <v>0.1761524943</v>
      </c>
      <c r="N110" s="68">
        <f t="shared" si="5"/>
        <v>-0.2970123023</v>
      </c>
      <c r="O110" s="68">
        <v>0.0781397863999</v>
      </c>
      <c r="P110" s="23">
        <v>46269</v>
      </c>
      <c r="R110" s="68">
        <v>0.45</v>
      </c>
      <c r="S110" s="23">
        <v>46203</v>
      </c>
      <c r="T110" s="23">
        <v>46267</v>
      </c>
      <c r="U110" s="39">
        <v>147.94</v>
      </c>
      <c r="V110" s="39">
        <v>156.4624</v>
      </c>
      <c r="W110" t="inlineStr">
        <is>
          <t>Below 75 DMA</t>
        </is>
      </c>
    </row>
    <row r="111">
      <c r="A111" s="23">
        <v>46267.0</v>
      </c>
      <c r="B111" s="25" t="str">
        <f t="shared" si="6"/>
        <v>Wednesday</v>
      </c>
      <c r="C111" s="25" t="s">
        <v>347</v>
      </c>
      <c r="D111" s="31">
        <f>IFERROR(__xludf.DUMMYFUNCTION("GOOGLEFINANCE(""NSE:""&amp;UPPER(TRIM(E111)),""marketcap"")/10000000"),126215.853575)</f>
        <v>126215.8536</v>
      </c>
      <c r="E111" s="32" t="s">
        <v>366</v>
      </c>
      <c r="F111" s="39">
        <f>IFERROR(__xludf.DUMMYFUNCTION("IF(OR(E111="""",A111=""""),"""",
 IF(
   DATE(VALUE(RIGHT(A111,4)),VALUE(MID(A111,4,2)),VALUE(LEFT(A111,2)))&gt;=TODAY(),
   IFERROR(
     GOOGLEFINANCE(""NSE:""&amp;UPPER(TRIM(E111)),""price""),
     ""Not Available""
   ),
   IFERROR(
     INDEX(
       GOOGLE"&amp;"FINANCE(
         ""NSE:""&amp;UPPER(TRIM(E111)),
         ""close"",
         DATE(VALUE(RIGHT(A111,4)),VALUE(MID(A111,4,2)),VALUE(LEFT(A111,2))),
         DATE(VALUE(RIGHT(A111,4)),VALUE(MID(A111,4,2)),VALUE(LEFT(A111,2)))+1
       ),
       2,2
     ),
   "&amp;"  ""Not Available""
   )
 ))"),8804.0)</f>
        <v>8804</v>
      </c>
      <c r="G111" s="42">
        <f>IFERROR(__xludf.DUMMYFUNCTION("IF(E111="""","""",IFERROR(GOOGLEFINANCE(""NSE:""&amp;UPPER(TRIM(E111)),""price""),""Not Available""))"),8376.0)</f>
        <v>8376</v>
      </c>
      <c r="H111" s="53">
        <f t="shared" si="1"/>
        <v>22</v>
      </c>
      <c r="I111" s="58">
        <f t="shared" si="2"/>
        <v>-0.04861426624</v>
      </c>
      <c r="J111" s="60">
        <f t="shared" si="3"/>
        <v>-4861.426624</v>
      </c>
      <c r="K111" s="62">
        <v>7819.0</v>
      </c>
      <c r="L111" s="62">
        <v>9097.0</v>
      </c>
      <c r="M111" s="68">
        <f t="shared" si="4"/>
        <v>-0.1118809632</v>
      </c>
      <c r="N111" s="68">
        <f t="shared" si="5"/>
        <v>0.03328032712</v>
      </c>
      <c r="O111" s="68">
        <v>0.0143116765107</v>
      </c>
      <c r="P111" s="23">
        <v>46268</v>
      </c>
      <c r="R111" s="68">
        <v>0.6146</v>
      </c>
      <c r="S111" s="23">
        <v>46203</v>
      </c>
      <c r="T111" s="23">
        <v>46267</v>
      </c>
      <c r="U111" s="39">
        <v>8804</v>
      </c>
      <c r="V111" s="39">
        <v>9340.32</v>
      </c>
      <c r="W111" t="inlineStr">
        <is>
          <t>Below 75 DMA</t>
        </is>
      </c>
    </row>
    <row r="112">
      <c r="A112" s="23">
        <v>46267.0</v>
      </c>
      <c r="B112" s="25" t="str">
        <f t="shared" si="6"/>
        <v>Wednesday</v>
      </c>
      <c r="C112" s="25" t="s">
        <v>347</v>
      </c>
      <c r="D112" s="31">
        <f>IFERROR(__xludf.DUMMYFUNCTION("GOOGLEFINANCE(""NSE:""&amp;UPPER(TRIM(E112)),""marketcap"")/10000000"),12053.93616)</f>
        <v>12053.93616</v>
      </c>
      <c r="E112" s="32" t="s">
        <v>370</v>
      </c>
      <c r="F112" s="39">
        <f>IFERROR(__xludf.DUMMYFUNCTION("IF(OR(E112="""",A112=""""),"""",
 IF(
   DATE(VALUE(RIGHT(A112,4)),VALUE(MID(A112,4,2)),VALUE(LEFT(A112,2)))&gt;=TODAY(),
   IFERROR(
     GOOGLEFINANCE(""NSE:""&amp;UPPER(TRIM(E112)),""price""),
     ""Not Available""
   ),
   IFERROR(
     INDEX(
       GOOGLE"&amp;"FINANCE(
         ""NSE:""&amp;UPPER(TRIM(E112)),
         ""close"",
         DATE(VALUE(RIGHT(A112,4)),VALUE(MID(A112,4,2)),VALUE(LEFT(A112,2))),
         DATE(VALUE(RIGHT(A112,4)),VALUE(MID(A112,4,2)),VALUE(LEFT(A112,2)))+1
       ),
       2,2
     ),
   "&amp;"  ""Not Available""
   )
 ))"),129.39)</f>
        <v>129.39</v>
      </c>
      <c r="G112" s="42">
        <f>IFERROR(__xludf.DUMMYFUNCTION("IF(E112="""","""",IFERROR(GOOGLEFINANCE(""NSE:""&amp;UPPER(TRIM(E112)),""price""),""Not Available""))"),125.86)</f>
        <v>125.86</v>
      </c>
      <c r="H112" s="53">
        <f t="shared" si="1"/>
        <v>22</v>
      </c>
      <c r="I112" s="58">
        <f t="shared" si="2"/>
        <v>-0.02728186104</v>
      </c>
      <c r="J112" s="60">
        <f t="shared" si="3"/>
        <v>-2728.186104</v>
      </c>
      <c r="K112" s="62">
        <v>150.0</v>
      </c>
      <c r="L112" s="62">
        <v>134.0</v>
      </c>
      <c r="M112" s="68">
        <f t="shared" si="4"/>
        <v>0.1592858799</v>
      </c>
      <c r="N112" s="68">
        <f t="shared" si="5"/>
        <v>0.03562871938</v>
      </c>
      <c r="O112" s="68">
        <v>0.0534044362006</v>
      </c>
      <c r="P112" s="23">
        <v>46269</v>
      </c>
      <c r="Q112" s="68">
        <v>0.118529049179</v>
      </c>
      <c r="R112" s="68">
        <v>0.5703</v>
      </c>
      <c r="S112" s="23">
        <v>46203</v>
      </c>
      <c r="T112" s="23">
        <v>46267</v>
      </c>
      <c r="U112" s="39">
        <v>129.39</v>
      </c>
      <c r="V112" s="39">
        <v>125.999733333</v>
      </c>
      <c r="W112" t="inlineStr">
        <is>
          <t>Above 75 DMA</t>
        </is>
      </c>
    </row>
    <row r="113">
      <c r="A113" s="23">
        <v>46267.0</v>
      </c>
      <c r="B113" s="25" t="str">
        <f t="shared" si="6"/>
        <v>Wednesday</v>
      </c>
      <c r="C113" s="25" t="s">
        <v>347</v>
      </c>
      <c r="D113" s="31">
        <f>IFERROR(__xludf.DUMMYFUNCTION("GOOGLEFINANCE(""NSE:""&amp;UPPER(TRIM(E113)),""marketcap"")/10000000"),4105.9704801)</f>
        <v>4105.97048</v>
      </c>
      <c r="E113" s="32" t="s">
        <v>372</v>
      </c>
      <c r="F113" s="39">
        <f>IFERROR(__xludf.DUMMYFUNCTION("IF(OR(E113="""",A113=""""),"""",
 IF(
   DATE(VALUE(RIGHT(A113,4)),VALUE(MID(A113,4,2)),VALUE(LEFT(A113,2)))&gt;=TODAY(),
   IFERROR(
     GOOGLEFINANCE(""NSE:""&amp;UPPER(TRIM(E113)),""price""),
     ""Not Available""
   ),
   IFERROR(
     INDEX(
       GOOGLE"&amp;"FINANCE(
         ""NSE:""&amp;UPPER(TRIM(E113)),
         ""close"",
         DATE(VALUE(RIGHT(A113,4)),VALUE(MID(A113,4,2)),VALUE(LEFT(A113,2))),
         DATE(VALUE(RIGHT(A113,4)),VALUE(MID(A113,4,2)),VALUE(LEFT(A113,2)))+1
       ),
       2,2
     ),
   "&amp;"  ""Not Available""
   )
 ))"),156.81)</f>
        <v>156.81</v>
      </c>
      <c r="G113" s="42">
        <f>IFERROR(__xludf.DUMMYFUNCTION("IF(E113="""","""",IFERROR(GOOGLEFINANCE(""NSE:""&amp;UPPER(TRIM(E113)),""price""),""Not Available""))"),154.4)</f>
        <v>154.4</v>
      </c>
      <c r="H113" s="53">
        <f t="shared" si="1"/>
        <v>22</v>
      </c>
      <c r="I113" s="58">
        <f t="shared" si="2"/>
        <v>-0.0153689178</v>
      </c>
      <c r="J113" s="60">
        <f t="shared" si="3"/>
        <v>-1536.89178</v>
      </c>
      <c r="K113" s="62">
        <v>136.0</v>
      </c>
      <c r="L113" s="62">
        <v>148.0</v>
      </c>
      <c r="M113" s="68">
        <f t="shared" si="4"/>
        <v>-0.1327083732</v>
      </c>
      <c r="N113" s="68">
        <f t="shared" si="5"/>
        <v>-0.05618264141</v>
      </c>
      <c r="O113" s="68">
        <v>0.0566928129584</v>
      </c>
      <c r="P113" s="23">
        <v>46275</v>
      </c>
      <c r="R113" s="68">
        <v>0.3704</v>
      </c>
      <c r="S113" s="23">
        <v>46203</v>
      </c>
      <c r="T113" s="23">
        <v>46267</v>
      </c>
      <c r="U113" s="39">
        <v>156.81</v>
      </c>
      <c r="V113" s="39">
        <v>167.883466667</v>
      </c>
      <c r="W113" t="inlineStr">
        <is>
          <t>Below 75 DMA</t>
        </is>
      </c>
    </row>
    <row r="114">
      <c r="A114" s="23">
        <v>46267.0</v>
      </c>
      <c r="B114" s="25" t="str">
        <f t="shared" si="6"/>
        <v>Wednesday</v>
      </c>
      <c r="C114" s="25" t="s">
        <v>156</v>
      </c>
      <c r="D114" s="31">
        <f>IFERROR(__xludf.DUMMYFUNCTION("GOOGLEFINANCE(""NSE:""&amp;UPPER(TRIM(E114)),""marketcap"")/10000000"),385.933706)</f>
        <v>385.933706</v>
      </c>
      <c r="E114" s="32" t="s">
        <v>375</v>
      </c>
      <c r="F114" s="39">
        <f>IFERROR(__xludf.DUMMYFUNCTION("IF(OR(E114="""",A114=""""),"""",
 IF(
   DATE(VALUE(RIGHT(A114,4)),VALUE(MID(A114,4,2)),VALUE(LEFT(A114,2)))&gt;=TODAY(),
   IFERROR(
     GOOGLEFINANCE(""NSE:""&amp;UPPER(TRIM(E114)),""price""),
     ""Not Available""
   ),
   IFERROR(
     INDEX(
       GOOGLE"&amp;"FINANCE(
         ""NSE:""&amp;UPPER(TRIM(E114)),
         ""close"",
         DATE(VALUE(RIGHT(A114,4)),VALUE(MID(A114,4,2)),VALUE(LEFT(A114,2))),
         DATE(VALUE(RIGHT(A114,4)),VALUE(MID(A114,4,2)),VALUE(LEFT(A114,2)))+1
       ),
       2,2
     ),
   "&amp;"  ""Not Available""
   )
 ))"),94.88)</f>
        <v>94.88</v>
      </c>
      <c r="G114" s="42">
        <f>IFERROR(__xludf.DUMMYFUNCTION("IF(E114="""","""",IFERROR(GOOGLEFINANCE(""NSE:""&amp;UPPER(TRIM(E114)),""price""),""Not Available""))"),110.65)</f>
        <v>110.65</v>
      </c>
      <c r="H114" s="53">
        <f t="shared" si="1"/>
        <v>22</v>
      </c>
      <c r="I114" s="58">
        <f t="shared" si="2"/>
        <v>0.1662099494</v>
      </c>
      <c r="J114" s="60">
        <f t="shared" si="3"/>
        <v>16620.99494</v>
      </c>
      <c r="K114" s="62">
        <v>130.0</v>
      </c>
      <c r="L114" s="62">
        <v>51.0</v>
      </c>
      <c r="M114" s="68">
        <f t="shared" si="4"/>
        <v>0.3701517707</v>
      </c>
      <c r="N114" s="68">
        <f t="shared" si="5"/>
        <v>-0.4624789207</v>
      </c>
      <c r="O114" s="68">
        <v>0.102445193929</v>
      </c>
      <c r="P114" s="23">
        <v>46272</v>
      </c>
      <c r="R114" s="68">
        <v>0.6283</v>
      </c>
      <c r="S114" s="23">
        <v>46203</v>
      </c>
      <c r="T114" s="23">
        <v>46267</v>
      </c>
      <c r="U114" s="39">
        <v>94.88</v>
      </c>
      <c r="V114" s="39">
        <v>85.4809333333</v>
      </c>
      <c r="W114" t="inlineStr">
        <is>
          <t>Above 75 DMA</t>
        </is>
      </c>
    </row>
    <row r="115">
      <c r="A115" s="23">
        <v>46266.0</v>
      </c>
      <c r="B115" s="25" t="str">
        <f t="shared" si="6"/>
        <v>Tuesday</v>
      </c>
      <c r="C115" s="25" t="s">
        <v>347</v>
      </c>
      <c r="D115" s="31">
        <f>IFERROR(__xludf.DUMMYFUNCTION("GOOGLEFINANCE(""NSE:""&amp;UPPER(TRIM(E115)),""marketcap"")/10000000"),1553.3535065)</f>
        <v>1553.353507</v>
      </c>
      <c r="E115" s="7" t="s">
        <v>378</v>
      </c>
      <c r="F115" s="39">
        <f>IFERROR(__xludf.DUMMYFUNCTION("IF(OR(E115="""",A115=""""),"""",
 IF(
   DATE(VALUE(RIGHT(A115,4)),VALUE(MID(A115,4,2)),VALUE(LEFT(A115,2)))&gt;=TODAY(),
   IFERROR(
     GOOGLEFINANCE(""NSE:""&amp;UPPER(TRIM(E115)),""price""),
     ""Not Available""
   ),
   IFERROR(
     INDEX(
       GOOGLE"&amp;"FINANCE(
         ""NSE:""&amp;UPPER(TRIM(E115)),
         ""close"",
         DATE(VALUE(RIGHT(A115,4)),VALUE(MID(A115,4,2)),VALUE(LEFT(A115,2))),
         DATE(VALUE(RIGHT(A115,4)),VALUE(MID(A115,4,2)),VALUE(LEFT(A115,2)))+1
       ),
       2,2
     ),
   "&amp;"  ""Not Available""
   )
 ))"),1631.4)</f>
        <v>1631.4</v>
      </c>
      <c r="G115" s="42">
        <f>IFERROR(__xludf.DUMMYFUNCTION("IF(E115="""","""",IFERROR(GOOGLEFINANCE(""NSE:""&amp;UPPER(TRIM(E115)),""price""),""Not Available""))"),1710.9)</f>
        <v>1710.9</v>
      </c>
      <c r="H115" s="53">
        <f t="shared" si="1"/>
        <v>23</v>
      </c>
      <c r="I115" s="58">
        <f t="shared" si="2"/>
        <v>0.04873115116</v>
      </c>
      <c r="J115" s="60">
        <f t="shared" si="3"/>
        <v>4873.115116</v>
      </c>
      <c r="K115" s="62">
        <v>1568.0</v>
      </c>
      <c r="L115" s="62">
        <v>950.0</v>
      </c>
      <c r="M115" s="68">
        <f t="shared" si="4"/>
        <v>-0.03886232684</v>
      </c>
      <c r="N115" s="68">
        <f t="shared" si="5"/>
        <v>-0.4176780679</v>
      </c>
      <c r="O115" s="68">
        <v>0.107637611867</v>
      </c>
      <c r="P115" s="23">
        <v>46280</v>
      </c>
      <c r="T115" s="23">
        <v>46266</v>
      </c>
      <c r="U115" s="39">
        <v>1631.4</v>
      </c>
      <c r="V115" s="39">
        <v>1668.36533333</v>
      </c>
      <c r="W115" t="inlineStr">
        <is>
          <t>Below 75 DMA</t>
        </is>
      </c>
    </row>
    <row r="116">
      <c r="A116" s="23">
        <v>46266.0</v>
      </c>
      <c r="B116" s="25" t="str">
        <f t="shared" si="6"/>
        <v>Tuesday</v>
      </c>
      <c r="C116" s="25" t="s">
        <v>347</v>
      </c>
      <c r="D116" s="31">
        <f>IFERROR(__xludf.DUMMYFUNCTION("GOOGLEFINANCE(""NSE:""&amp;UPPER(TRIM(E116)),""marketcap"")/10000000"),420.44711)</f>
        <v>420.44711</v>
      </c>
      <c r="E116" s="7" t="s">
        <v>381</v>
      </c>
      <c r="F116" s="39">
        <f>IFERROR(__xludf.DUMMYFUNCTION("IF(OR(E116="""",A116=""""),"""",
 IF(
   DATE(VALUE(RIGHT(A116,4)),VALUE(MID(A116,4,2)),VALUE(LEFT(A116,2)))&gt;=TODAY(),
   IFERROR(
     GOOGLEFINANCE(""NSE:""&amp;UPPER(TRIM(E116)),""price""),
     ""Not Available""
   ),
   IFERROR(
     INDEX(
       GOOGLE"&amp;"FINANCE(
         ""NSE:""&amp;UPPER(TRIM(E116)),
         ""close"",
         DATE(VALUE(RIGHT(A116,4)),VALUE(MID(A116,4,2)),VALUE(LEFT(A116,2))),
         DATE(VALUE(RIGHT(A116,4)),VALUE(MID(A116,4,2)),VALUE(LEFT(A116,2)))+1
       ),
       2,2
     ),
   "&amp;"  ""Not Available""
   )
 ))"),267.4)</f>
        <v>267.4</v>
      </c>
      <c r="G116" s="42">
        <f>IFERROR(__xludf.DUMMYFUNCTION("IF(E116="""","""",IFERROR(GOOGLEFINANCE(""NSE:""&amp;UPPER(TRIM(E116)),""price""),""Not Available""))"),310.0)</f>
        <v>310</v>
      </c>
      <c r="H116" s="53">
        <f t="shared" si="1"/>
        <v>23</v>
      </c>
      <c r="I116" s="58">
        <f t="shared" si="2"/>
        <v>0.1593118923</v>
      </c>
      <c r="J116" s="60">
        <f t="shared" si="3"/>
        <v>15931.18923</v>
      </c>
      <c r="K116" s="62">
        <v>332.0</v>
      </c>
      <c r="L116" s="62">
        <v>103.0</v>
      </c>
      <c r="M116" s="68">
        <f t="shared" si="4"/>
        <v>0.2415856395</v>
      </c>
      <c r="N116" s="68">
        <f t="shared" si="5"/>
        <v>-0.6148092745</v>
      </c>
      <c r="O116" s="68">
        <v>0.325355272999</v>
      </c>
      <c r="P116" s="23">
        <v>46281</v>
      </c>
      <c r="R116" s="68">
        <v>0.4046</v>
      </c>
      <c r="S116" s="23">
        <v>46203</v>
      </c>
      <c r="T116" s="23">
        <v>46266</v>
      </c>
      <c r="U116" s="39">
        <v>267.4</v>
      </c>
      <c r="V116" s="39">
        <v>244.683866667</v>
      </c>
      <c r="W116" t="inlineStr">
        <is>
          <t>Above 75 DMA</t>
        </is>
      </c>
    </row>
    <row r="117">
      <c r="A117" s="23">
        <v>46266.0</v>
      </c>
      <c r="B117" s="25" t="str">
        <f t="shared" si="6"/>
        <v>Tuesday</v>
      </c>
      <c r="C117" s="25" t="s">
        <v>347</v>
      </c>
      <c r="D117" s="31">
        <f>IFERROR(__xludf.DUMMYFUNCTION("GOOGLEFINANCE(""NSE:""&amp;UPPER(TRIM(E117)),""marketcap"")/10000000"),2739.23538)</f>
        <v>2739.23538</v>
      </c>
      <c r="E117" s="7" t="s">
        <v>384</v>
      </c>
      <c r="F117" s="39">
        <f>IFERROR(__xludf.DUMMYFUNCTION("IF(OR(E117="""",A117=""""),"""",
 IF(
   DATE(VALUE(RIGHT(A117,4)),VALUE(MID(A117,4,2)),VALUE(LEFT(A117,2)))&gt;=TODAY(),
   IFERROR(
     GOOGLEFINANCE(""NSE:""&amp;UPPER(TRIM(E117)),""price""),
     ""Not Available""
   ),
   IFERROR(
     INDEX(
       GOOGLE"&amp;"FINANCE(
         ""NSE:""&amp;UPPER(TRIM(E117)),
         ""close"",
         DATE(VALUE(RIGHT(A117,4)),VALUE(MID(A117,4,2)),VALUE(LEFT(A117,2))),
         DATE(VALUE(RIGHT(A117,4)),VALUE(MID(A117,4,2)),VALUE(LEFT(A117,2)))+1
       ),
       2,2
     ),
   "&amp;"  ""Not Available""
   )
 ))"),1296.7)</f>
        <v>1296.7</v>
      </c>
      <c r="G117" s="42">
        <f>IFERROR(__xludf.DUMMYFUNCTION("IF(E117="""","""",IFERROR(GOOGLEFINANCE(""NSE:""&amp;UPPER(TRIM(E117)),""price""),""Not Available""))"),1242.5)</f>
        <v>1242.5</v>
      </c>
      <c r="H117" s="53">
        <f t="shared" si="1"/>
        <v>23</v>
      </c>
      <c r="I117" s="58">
        <f t="shared" si="2"/>
        <v>-0.04179841135</v>
      </c>
      <c r="J117" s="60">
        <f t="shared" si="3"/>
        <v>-4179.841135</v>
      </c>
      <c r="K117" s="62">
        <v>1656.0</v>
      </c>
      <c r="L117" s="62">
        <v>61971.0</v>
      </c>
      <c r="M117" s="68">
        <f t="shared" si="4"/>
        <v>0.2770879926</v>
      </c>
      <c r="N117" s="68">
        <f t="shared" si="5"/>
        <v>46.79131642</v>
      </c>
      <c r="O117" s="68">
        <v>0.0171203825094</v>
      </c>
      <c r="P117" s="23">
        <v>46280</v>
      </c>
      <c r="R117" s="68">
        <v>0.5909</v>
      </c>
      <c r="S117" s="23">
        <v>46203</v>
      </c>
      <c r="T117" s="23">
        <v>46266</v>
      </c>
      <c r="U117" s="39">
        <v>1296.7</v>
      </c>
      <c r="V117" s="39">
        <v>1319.74133333</v>
      </c>
      <c r="W117" t="inlineStr">
        <is>
          <t>Below 75 DMA</t>
        </is>
      </c>
    </row>
    <row r="118">
      <c r="A118" s="23">
        <v>46266.0</v>
      </c>
      <c r="B118" s="25" t="str">
        <f t="shared" si="6"/>
        <v>Tuesday</v>
      </c>
      <c r="C118" s="25" t="s">
        <v>347</v>
      </c>
      <c r="D118" s="31">
        <f>IFERROR(__xludf.DUMMYFUNCTION("GOOGLEFINANCE(""NSE:""&amp;UPPER(TRIM(E118)),""marketcap"")/10000000"),4105.9704801)</f>
        <v>4105.97048</v>
      </c>
      <c r="E118" s="7" t="s">
        <v>372</v>
      </c>
      <c r="F118" s="39">
        <f>IFERROR(__xludf.DUMMYFUNCTION("IF(OR(E118="""",A118=""""),"""",
 IF(
   DATE(VALUE(RIGHT(A118,4)),VALUE(MID(A118,4,2)),VALUE(LEFT(A118,2)))&gt;=TODAY(),
   IFERROR(
     GOOGLEFINANCE(""NSE:""&amp;UPPER(TRIM(E118)),""price""),
     ""Not Available""
   ),
   IFERROR(
     INDEX(
       GOOGLE"&amp;"FINANCE(
         ""NSE:""&amp;UPPER(TRIM(E118)),
         ""close"",
         DATE(VALUE(RIGHT(A118,4)),VALUE(MID(A118,4,2)),VALUE(LEFT(A118,2))),
         DATE(VALUE(RIGHT(A118,4)),VALUE(MID(A118,4,2)),VALUE(LEFT(A118,2)))+1
       ),
       2,2
     ),
   "&amp;"  ""Not Available""
   )
 ))"),156.67)</f>
        <v>156.67</v>
      </c>
      <c r="G118" s="42">
        <f>IFERROR(__xludf.DUMMYFUNCTION("IF(E118="""","""",IFERROR(GOOGLEFINANCE(""NSE:""&amp;UPPER(TRIM(E118)),""price""),""Not Available""))"),154.4)</f>
        <v>154.4</v>
      </c>
      <c r="H118" s="53">
        <f t="shared" si="1"/>
        <v>23</v>
      </c>
      <c r="I118" s="58">
        <f t="shared" si="2"/>
        <v>-0.01448905342</v>
      </c>
      <c r="J118" s="60">
        <f t="shared" si="3"/>
        <v>-1448.905342</v>
      </c>
      <c r="K118" s="62">
        <v>136.0</v>
      </c>
      <c r="L118" s="62">
        <v>148.0</v>
      </c>
      <c r="M118" s="68">
        <f t="shared" si="4"/>
        <v>-0.1319333631</v>
      </c>
      <c r="N118" s="68">
        <f t="shared" si="5"/>
        <v>-0.0553392481</v>
      </c>
      <c r="O118" s="68">
        <v>0.0576370715517</v>
      </c>
      <c r="P118" s="23">
        <v>46275</v>
      </c>
      <c r="R118" s="68">
        <v>0.3704</v>
      </c>
      <c r="S118" s="23">
        <v>46203</v>
      </c>
      <c r="T118" s="23">
        <v>46266</v>
      </c>
      <c r="U118" s="39">
        <v>156.67</v>
      </c>
      <c r="V118" s="39">
        <v>167.768</v>
      </c>
      <c r="W118" t="inlineStr">
        <is>
          <t>Below 75 DMA</t>
        </is>
      </c>
    </row>
    <row r="119">
      <c r="A119" s="23">
        <v>46266.0</v>
      </c>
      <c r="B119" s="25" t="str">
        <f t="shared" si="6"/>
        <v>Tuesday</v>
      </c>
      <c r="C119" s="25" t="s">
        <v>347</v>
      </c>
      <c r="D119" s="31">
        <f>IFERROR(__xludf.DUMMYFUNCTION("GOOGLEFINANCE(""NSE:""&amp;UPPER(TRIM(E119)),""marketcap"")/10000000"),4443.7888235)</f>
        <v>4443.788824</v>
      </c>
      <c r="E119" s="7" t="s">
        <v>92</v>
      </c>
      <c r="F119" s="39">
        <f>IFERROR(__xludf.DUMMYFUNCTION("IF(OR(E119="""",A119=""""),"""",
 IF(
   DATE(VALUE(RIGHT(A119,4)),VALUE(MID(A119,4,2)),VALUE(LEFT(A119,2)))&gt;=TODAY(),
   IFERROR(
     GOOGLEFINANCE(""NSE:""&amp;UPPER(TRIM(E119)),""price""),
     ""Not Available""
   ),
   IFERROR(
     INDEX(
       GOOGLE"&amp;"FINANCE(
         ""NSE:""&amp;UPPER(TRIM(E119)),
         ""close"",
         DATE(VALUE(RIGHT(A119,4)),VALUE(MID(A119,4,2)),VALUE(LEFT(A119,2))),
         DATE(VALUE(RIGHT(A119,4)),VALUE(MID(A119,4,2)),VALUE(LEFT(A119,2)))+1
       ),
       2,2
     ),
   "&amp;"  ""Not Available""
   )
 ))"),368.25)</f>
        <v>368.25</v>
      </c>
      <c r="G119" s="42">
        <f>IFERROR(__xludf.DUMMYFUNCTION("IF(E119="""","""",IFERROR(GOOGLEFINANCE(""NSE:""&amp;UPPER(TRIM(E119)),""price""),""Not Available""))"),474.95)</f>
        <v>474.95</v>
      </c>
      <c r="H119" s="53">
        <f t="shared" si="1"/>
        <v>23</v>
      </c>
      <c r="I119" s="58">
        <f t="shared" si="2"/>
        <v>0.2897488119</v>
      </c>
      <c r="J119" s="60">
        <f t="shared" si="3"/>
        <v>28974.88119</v>
      </c>
      <c r="K119" s="62">
        <v>330.0</v>
      </c>
      <c r="L119" s="62">
        <v>660.0</v>
      </c>
      <c r="M119" s="68">
        <f t="shared" si="4"/>
        <v>-0.1038696538</v>
      </c>
      <c r="N119" s="68">
        <f t="shared" si="5"/>
        <v>0.7922606925</v>
      </c>
      <c r="O119" s="68">
        <v>0.342701968771</v>
      </c>
      <c r="P119" s="23">
        <v>46287</v>
      </c>
      <c r="R119" s="68">
        <v>0.6807</v>
      </c>
      <c r="S119" s="23">
        <v>46203</v>
      </c>
      <c r="T119" s="23">
        <v>46266</v>
      </c>
      <c r="U119" s="39">
        <v>368.25</v>
      </c>
      <c r="V119" s="39">
        <v>380.164</v>
      </c>
      <c r="W119" t="inlineStr">
        <is>
          <t>Below 75 DMA</t>
        </is>
      </c>
    </row>
    <row r="120">
      <c r="A120" s="23">
        <v>46266.0</v>
      </c>
      <c r="B120" s="25" t="str">
        <f t="shared" si="6"/>
        <v>Tuesday</v>
      </c>
      <c r="C120" s="25" t="s">
        <v>347</v>
      </c>
      <c r="D120" s="31">
        <f>IFERROR(__xludf.DUMMYFUNCTION("GOOGLEFINANCE(""NSE:""&amp;UPPER(TRIM(E120)),""marketcap"")/10000000"),369.539676)</f>
        <v>369.539676</v>
      </c>
      <c r="E120" s="7" t="s">
        <v>346</v>
      </c>
      <c r="F120" s="39">
        <f>IFERROR(__xludf.DUMMYFUNCTION("IF(OR(E120="""",A120=""""),"""",
 IF(
   DATE(VALUE(RIGHT(A120,4)),VALUE(MID(A120,4,2)),VALUE(LEFT(A120,2)))&gt;=TODAY(),
   IFERROR(
     GOOGLEFINANCE(""NSE:""&amp;UPPER(TRIM(E120)),""price""),
     ""Not Available""
   ),
   IFERROR(
     INDEX(
       GOOGLE"&amp;"FINANCE(
         ""NSE:""&amp;UPPER(TRIM(E120)),
         ""close"",
         DATE(VALUE(RIGHT(A120,4)),VALUE(MID(A120,4,2)),VALUE(LEFT(A120,2))),
         DATE(VALUE(RIGHT(A120,4)),VALUE(MID(A120,4,2)),VALUE(LEFT(A120,2)))+1
       ),
       2,2
     ),
   "&amp;"  ""Not Available""
   )
 ))"),148.02)</f>
        <v>148.02</v>
      </c>
      <c r="G120" s="42">
        <f>IFERROR(__xludf.DUMMYFUNCTION("IF(E120="""","""",IFERROR(GOOGLEFINANCE(""NSE:""&amp;UPPER(TRIM(E120)),""price""),""Not Available""))"),148.73)</f>
        <v>148.73</v>
      </c>
      <c r="H120" s="53">
        <f t="shared" si="1"/>
        <v>23</v>
      </c>
      <c r="I120" s="58">
        <f t="shared" si="2"/>
        <v>0.004796649101</v>
      </c>
      <c r="J120" s="60">
        <f t="shared" si="3"/>
        <v>479.6649101</v>
      </c>
      <c r="K120" s="62">
        <v>192.0</v>
      </c>
      <c r="L120" s="62">
        <v>118.0</v>
      </c>
      <c r="M120" s="68">
        <f t="shared" si="4"/>
        <v>0.2971220105</v>
      </c>
      <c r="N120" s="68">
        <f t="shared" si="5"/>
        <v>-0.202810431</v>
      </c>
      <c r="O120" s="68">
        <v>0.0778273206323</v>
      </c>
      <c r="P120" s="23">
        <v>46274</v>
      </c>
      <c r="R120" s="68">
        <v>0.6393</v>
      </c>
      <c r="S120" s="23">
        <v>46203</v>
      </c>
      <c r="T120" s="23">
        <v>46266</v>
      </c>
      <c r="U120" s="39">
        <v>148.02</v>
      </c>
      <c r="V120" s="39">
        <v>168.0796</v>
      </c>
      <c r="W120" t="inlineStr">
        <is>
          <t>Below 75 DMA</t>
        </is>
      </c>
    </row>
    <row r="121">
      <c r="A121" s="23">
        <v>46266.0</v>
      </c>
      <c r="B121" s="25" t="str">
        <f t="shared" si="6"/>
        <v>Tuesday</v>
      </c>
      <c r="C121" s="25" t="s">
        <v>156</v>
      </c>
      <c r="D121" s="31">
        <f>IFERROR(__xludf.DUMMYFUNCTION("GOOGLEFINANCE(""NSE:""&amp;UPPER(TRIM(E121)),""marketcap"")/10000000"),385.933706)</f>
        <v>385.933706</v>
      </c>
      <c r="E121" s="7" t="s">
        <v>375</v>
      </c>
      <c r="F121" s="39">
        <f>IFERROR(__xludf.DUMMYFUNCTION("IF(OR(E121="""",A121=""""),"""",
 IF(
   DATE(VALUE(RIGHT(A121,4)),VALUE(MID(A121,4,2)),VALUE(LEFT(A121,2)))&gt;=TODAY(),
   IFERROR(
     GOOGLEFINANCE(""NSE:""&amp;UPPER(TRIM(E121)),""price""),
     ""Not Available""
   ),
   IFERROR(
     INDEX(
       GOOGLE"&amp;"FINANCE(
         ""NSE:""&amp;UPPER(TRIM(E121)),
         ""close"",
         DATE(VALUE(RIGHT(A121,4)),VALUE(MID(A121,4,2)),VALUE(LEFT(A121,2))),
         DATE(VALUE(RIGHT(A121,4)),VALUE(MID(A121,4,2)),VALUE(LEFT(A121,2)))+1
       ),
       2,2
     ),
   "&amp;"  ""Not Available""
   )
 ))"),97.44)</f>
        <v>97.44</v>
      </c>
      <c r="G121" s="42">
        <f>IFERROR(__xludf.DUMMYFUNCTION("IF(E121="""","""",IFERROR(GOOGLEFINANCE(""NSE:""&amp;UPPER(TRIM(E121)),""price""),""Not Available""))"),110.65)</f>
        <v>110.65</v>
      </c>
      <c r="H121" s="53">
        <f t="shared" si="1"/>
        <v>23</v>
      </c>
      <c r="I121" s="58">
        <f t="shared" si="2"/>
        <v>0.1355706076</v>
      </c>
      <c r="J121" s="60">
        <f t="shared" si="3"/>
        <v>13557.06076</v>
      </c>
      <c r="K121" s="7">
        <v>130.0</v>
      </c>
      <c r="L121" s="7">
        <v>51.0</v>
      </c>
      <c r="M121" s="68">
        <f t="shared" si="4"/>
        <v>0.3341543514</v>
      </c>
      <c r="N121" s="68">
        <f t="shared" si="5"/>
        <v>-0.4766009852</v>
      </c>
      <c r="O121" s="68">
        <v>0.0734811165846</v>
      </c>
      <c r="P121" s="23">
        <v>46272</v>
      </c>
      <c r="R121" s="68">
        <v>0.6283</v>
      </c>
      <c r="S121" s="23">
        <v>46203</v>
      </c>
      <c r="T121" s="23">
        <v>46266</v>
      </c>
      <c r="U121" s="39">
        <v>97.44</v>
      </c>
      <c r="V121" s="39">
        <v>85.5344</v>
      </c>
      <c r="W121" t="inlineStr">
        <is>
          <t>Above 75 DMA</t>
        </is>
      </c>
    </row>
    <row r="122">
      <c r="A122" s="23">
        <v>46265.0</v>
      </c>
      <c r="B122" s="25" t="str">
        <f t="shared" si="6"/>
        <v>Monday</v>
      </c>
      <c r="C122" s="25" t="s">
        <v>395</v>
      </c>
      <c r="D122" s="31">
        <f>IFERROR(__xludf.DUMMYFUNCTION("GOOGLEFINANCE(""NSE:""&amp;UPPER(TRIM(E122)),""marketcap"")/10000000"),187863.60703)</f>
        <v>187863.607</v>
      </c>
      <c r="E122" s="7" t="s">
        <v>396</v>
      </c>
      <c r="F122" s="39">
        <f>IFERROR(__xludf.DUMMYFUNCTION("IF(OR(E122="""",A122=""""),"""",
 IF(
   DATE(VALUE(RIGHT(A122,4)),VALUE(MID(A122,4,2)),VALUE(LEFT(A122,2)))&gt;=TODAY(),
   IFERROR(
     GOOGLEFINANCE(""NSE:""&amp;UPPER(TRIM(E122)),""price""),
     ""Not Available""
   ),
   IFERROR(
     INDEX(
       GOOGLE"&amp;"FINANCE(
         ""NSE:""&amp;UPPER(TRIM(E122)),
         ""close"",
         DATE(VALUE(RIGHT(A122,4)),VALUE(MID(A122,4,2)),VALUE(LEFT(A122,2))),
         DATE(VALUE(RIGHT(A122,4)),VALUE(MID(A122,4,2)),VALUE(LEFT(A122,2)))+1
       ),
       2,2
     ),
   "&amp;"  ""Not Available""
   )
 ))"),5066.0)</f>
        <v>5066</v>
      </c>
      <c r="G122" s="42">
        <f>IFERROR(__xludf.DUMMYFUNCTION("IF(E122="""","""",IFERROR(GOOGLEFINANCE(""NSE:""&amp;UPPER(TRIM(E122)),""price""),""Not Available""))"),4939.0)</f>
        <v>4939</v>
      </c>
      <c r="H122" s="53">
        <f t="shared" si="1"/>
        <v>24</v>
      </c>
      <c r="I122" s="58">
        <f t="shared" si="2"/>
        <v>-0.02506908804</v>
      </c>
      <c r="J122" s="60">
        <f t="shared" si="3"/>
        <v>-2506.908804</v>
      </c>
      <c r="K122" s="7">
        <v>4143.0</v>
      </c>
      <c r="L122" s="7">
        <v>5517.0</v>
      </c>
      <c r="M122" s="68">
        <f t="shared" si="4"/>
        <v>-0.1821950257</v>
      </c>
      <c r="N122" s="68">
        <f t="shared" si="5"/>
        <v>0.08902487169</v>
      </c>
      <c r="O122" s="68">
        <v>-0.00809317015397</v>
      </c>
      <c r="P122" s="23">
        <v>46268</v>
      </c>
      <c r="R122" s="68">
        <v>0.6831</v>
      </c>
      <c r="S122" s="23">
        <v>46203</v>
      </c>
      <c r="T122" s="23">
        <v>46265</v>
      </c>
      <c r="U122" s="39">
        <v>5066</v>
      </c>
      <c r="V122" s="39">
        <v>4739.86</v>
      </c>
      <c r="W122" t="inlineStr">
        <is>
          <t>Above 75 DMA</t>
        </is>
      </c>
    </row>
    <row r="123">
      <c r="A123" s="23">
        <v>46262.0</v>
      </c>
      <c r="B123" s="25" t="str">
        <f t="shared" si="6"/>
        <v>Friday</v>
      </c>
      <c r="C123" s="25" t="s">
        <v>335</v>
      </c>
      <c r="D123" s="31">
        <f>IFERROR(__xludf.DUMMYFUNCTION("GOOGLEFINANCE(""NSE:""&amp;UPPER(TRIM(E123)),""marketcap"")/10000000"),177640.2724274)</f>
        <v>177640.2724</v>
      </c>
      <c r="E123" s="7" t="s">
        <v>401</v>
      </c>
      <c r="F123" s="39">
        <f>IFERROR(__xludf.DUMMYFUNCTION("IF(OR(E123="""",A123=""""),"""",
 IF(
   DATE(VALUE(RIGHT(A123,4)),VALUE(MID(A123,4,2)),VALUE(LEFT(A123,2)))&gt;=TODAY(),
   IFERROR(
     GOOGLEFINANCE(""NSE:""&amp;UPPER(TRIM(E123)),""price""),
     ""Not Available""
   ),
   IFERROR(
     INDEX(
       GOOGLE"&amp;"FINANCE(
         ""NSE:""&amp;UPPER(TRIM(E123)),
         ""close"",
         DATE(VALUE(RIGHT(A123,4)),VALUE(MID(A123,4,2)),VALUE(LEFT(A123,2))),
         DATE(VALUE(RIGHT(A123,4)),VALUE(MID(A123,4,2)),VALUE(LEFT(A123,2)))+1
       ),
       2,2
     ),
   "&amp;"  ""Not Available""
   )
 ))"),20400.0)</f>
        <v>20400</v>
      </c>
      <c r="G123" s="42">
        <f>IFERROR(__xludf.DUMMYFUNCTION("IF(E123="""","""",IFERROR(GOOGLEFINANCE(""NSE:""&amp;UPPER(TRIM(E123)),""price""),""Not Available""))"),19650.0)</f>
        <v>19650</v>
      </c>
      <c r="H123" s="53">
        <f t="shared" si="1"/>
        <v>27</v>
      </c>
      <c r="I123" s="58">
        <f t="shared" si="2"/>
        <v>-0.03676470588</v>
      </c>
      <c r="J123" s="60">
        <f t="shared" si="3"/>
        <v>-3676.470588</v>
      </c>
      <c r="K123" s="7">
        <v>17179.0</v>
      </c>
      <c r="L123" s="7">
        <v>12969.0</v>
      </c>
      <c r="M123" s="68">
        <f t="shared" si="4"/>
        <v>-0.1578921569</v>
      </c>
      <c r="N123" s="68">
        <f t="shared" si="5"/>
        <v>-0.3642647059</v>
      </c>
      <c r="O123" s="68">
        <v>0.112745098039</v>
      </c>
      <c r="P123" s="23">
        <v>46280</v>
      </c>
      <c r="R123" s="68">
        <v>0.7315</v>
      </c>
      <c r="S123" s="23">
        <v>46203</v>
      </c>
      <c r="T123" s="23">
        <v>46262</v>
      </c>
      <c r="U123" s="39">
        <v>20400</v>
      </c>
      <c r="V123" s="39">
        <v>18506.16</v>
      </c>
      <c r="W123" t="inlineStr">
        <is>
          <t>Above 75 DMA</t>
        </is>
      </c>
    </row>
    <row r="124">
      <c r="A124" s="23">
        <v>46262.0</v>
      </c>
      <c r="B124" s="25" t="str">
        <f t="shared" si="6"/>
        <v>Friday</v>
      </c>
      <c r="C124" s="25" t="s">
        <v>335</v>
      </c>
      <c r="D124" s="31">
        <f>IFERROR(__xludf.DUMMYFUNCTION("GOOGLEFINANCE(""NSE:""&amp;UPPER(TRIM(E124)),""marketcap"")/10000000"),27643.8511809)</f>
        <v>27643.85118</v>
      </c>
      <c r="E124" s="7" t="s">
        <v>404</v>
      </c>
      <c r="F124" s="39">
        <f>IFERROR(__xludf.DUMMYFUNCTION("IF(OR(E124="""",A124=""""),"""",
 IF(
   DATE(VALUE(RIGHT(A124,4)),VALUE(MID(A124,4,2)),VALUE(LEFT(A124,2)))&gt;=TODAY(),
   IFERROR(
     GOOGLEFINANCE(""NSE:""&amp;UPPER(TRIM(E124)),""price""),
     ""Not Available""
   ),
   IFERROR(
     INDEX(
       GOOGLE"&amp;"FINANCE(
         ""NSE:""&amp;UPPER(TRIM(E124)),
         ""close"",
         DATE(VALUE(RIGHT(A124,4)),VALUE(MID(A124,4,2)),VALUE(LEFT(A124,2))),
         DATE(VALUE(RIGHT(A124,4)),VALUE(MID(A124,4,2)),VALUE(LEFT(A124,2)))+1
       ),
       2,2
     ),
   "&amp;"  ""Not Available""
   )
 ))"),218.68)</f>
        <v>218.68</v>
      </c>
      <c r="G124" s="42">
        <f>IFERROR(__xludf.DUMMYFUNCTION("IF(E124="""","""",IFERROR(GOOGLEFINANCE(""NSE:""&amp;UPPER(TRIM(E124)),""price""),""Not Available""))"),208.63)</f>
        <v>208.63</v>
      </c>
      <c r="H124" s="53">
        <f t="shared" si="1"/>
        <v>27</v>
      </c>
      <c r="I124" s="58">
        <f t="shared" si="2"/>
        <v>-0.04595756356</v>
      </c>
      <c r="J124" s="60">
        <f t="shared" si="3"/>
        <v>-4595.756356</v>
      </c>
      <c r="K124" s="7">
        <v>83.0</v>
      </c>
      <c r="L124" s="7">
        <v>244.0</v>
      </c>
      <c r="M124" s="68">
        <f t="shared" si="4"/>
        <v>-0.6204499726</v>
      </c>
      <c r="N124" s="68">
        <f t="shared" si="5"/>
        <v>0.1157856228</v>
      </c>
      <c r="O124" s="68">
        <v>0.0605908176331</v>
      </c>
      <c r="P124" s="23">
        <v>46273</v>
      </c>
      <c r="R124" s="68">
        <v>0.348</v>
      </c>
      <c r="S124" s="23">
        <v>46203</v>
      </c>
      <c r="T124" s="23">
        <v>46262</v>
      </c>
      <c r="U124" s="39">
        <v>218.68</v>
      </c>
      <c r="V124" s="39">
        <v>183.267866667</v>
      </c>
      <c r="W124" t="inlineStr">
        <is>
          <t>Above 75 DMA</t>
        </is>
      </c>
    </row>
    <row r="125">
      <c r="A125" s="23">
        <v>46262.0</v>
      </c>
      <c r="B125" s="25" t="str">
        <f t="shared" si="6"/>
        <v>Friday</v>
      </c>
      <c r="C125" s="25" t="s">
        <v>335</v>
      </c>
      <c r="D125" s="31">
        <f>IFERROR(__xludf.DUMMYFUNCTION("GOOGLEFINANCE(""NSE:""&amp;UPPER(TRIM(E125)),""marketcap"")/10000000"),429547.88443)</f>
        <v>429547.8844</v>
      </c>
      <c r="E125" s="7" t="s">
        <v>406</v>
      </c>
      <c r="F125" s="39">
        <f>IFERROR(__xludf.DUMMYFUNCTION("IF(OR(E125="""",A125=""""),"""",
 IF(
   DATE(VALUE(RIGHT(A125,4)),VALUE(MID(A125,4,2)),VALUE(LEFT(A125,2)))&gt;=TODAY(),
   IFERROR(
     GOOGLEFINANCE(""NSE:""&amp;UPPER(TRIM(E125)),""price""),
     ""Not Available""
   ),
   IFERROR(
     INDEX(
       GOOGLE"&amp;"FINANCE(
         ""NSE:""&amp;UPPER(TRIM(E125)),
         ""close"",
         DATE(VALUE(RIGHT(A125,4)),VALUE(MID(A125,4,2)),VALUE(LEFT(A125,2))),
         DATE(VALUE(RIGHT(A125,4)),VALUE(MID(A125,4,2)),VALUE(LEFT(A125,2)))+1
       ),
       2,2
     ),
   "&amp;"  ""Not Available""
   )
 ))"),5169.2)</f>
        <v>5169.2</v>
      </c>
      <c r="G125" s="42">
        <f>IFERROR(__xludf.DUMMYFUNCTION("IF(E125="""","""",IFERROR(GOOGLEFINANCE(""NSE:""&amp;UPPER(TRIM(E125)),""price""),""Not Available""))"),4841.0)</f>
        <v>4841</v>
      </c>
      <c r="H125" s="53">
        <f t="shared" si="1"/>
        <v>27</v>
      </c>
      <c r="I125" s="58">
        <f t="shared" si="2"/>
        <v>-0.06349144935</v>
      </c>
      <c r="J125" s="60">
        <f t="shared" si="3"/>
        <v>-6349.144935</v>
      </c>
      <c r="K125" s="7">
        <v>4511.0</v>
      </c>
      <c r="L125" s="7">
        <v>5096.0</v>
      </c>
      <c r="M125" s="68">
        <f t="shared" si="4"/>
        <v>-0.1273311151</v>
      </c>
      <c r="N125" s="68">
        <f t="shared" si="5"/>
        <v>-0.01416079858</v>
      </c>
      <c r="O125" s="68">
        <v>-0.00197322603111</v>
      </c>
      <c r="P125" s="23">
        <v>46265</v>
      </c>
      <c r="R125" s="68">
        <v>0.529</v>
      </c>
      <c r="S125" s="23">
        <v>46203</v>
      </c>
      <c r="T125" s="23">
        <v>46262</v>
      </c>
      <c r="U125" s="39">
        <v>5169.2</v>
      </c>
      <c r="V125" s="39">
        <v>4563.612</v>
      </c>
      <c r="W125" t="inlineStr">
        <is>
          <t>Above 75 DMA</t>
        </is>
      </c>
    </row>
    <row r="126">
      <c r="A126" s="23">
        <v>46261.0</v>
      </c>
      <c r="B126" s="25" t="str">
        <f t="shared" si="6"/>
        <v>Thursday</v>
      </c>
      <c r="C126" s="25" t="s">
        <v>335</v>
      </c>
      <c r="D126" s="31">
        <f>IFERROR(__xludf.DUMMYFUNCTION("GOOGLEFINANCE(""NSE:""&amp;UPPER(TRIM(E126)),""marketcap"")/10000000"),117306.4704)</f>
        <v>117306.4704</v>
      </c>
      <c r="E126" s="7" t="s">
        <v>341</v>
      </c>
      <c r="F126" s="39">
        <f>IFERROR(__xludf.DUMMYFUNCTION("IF(OR(E126="""",A126=""""),"""",
 IF(
   DATE(VALUE(RIGHT(A126,4)),VALUE(MID(A126,4,2)),VALUE(LEFT(A126,2)))&gt;=TODAY(),
   IFERROR(
     GOOGLEFINANCE(""NSE:""&amp;UPPER(TRIM(E126)),""price""),
     ""Not Available""
   ),
   IFERROR(
     INDEX(
       GOOGLE"&amp;"FINANCE(
         ""NSE:""&amp;UPPER(TRIM(E126)),
         ""close"",
         DATE(VALUE(RIGHT(A126,4)),VALUE(MID(A126,4,2)),VALUE(LEFT(A126,2))),
         DATE(VALUE(RIGHT(A126,4)),VALUE(MID(A126,4,2)),VALUE(LEFT(A126,2)))+1
       ),
       2,2
     ),
   "&amp;"  ""Not Available""
   )
 ))"),1189.2)</f>
        <v>1189.2</v>
      </c>
      <c r="G126" s="42">
        <f>IFERROR(__xludf.DUMMYFUNCTION("IF(E126="""","""",IFERROR(GOOGLEFINANCE(""NSE:""&amp;UPPER(TRIM(E126)),""price""),""Not Available""))"),1176.0)</f>
        <v>1176</v>
      </c>
      <c r="H126" s="53">
        <f t="shared" si="1"/>
        <v>28</v>
      </c>
      <c r="I126" s="58">
        <f t="shared" si="2"/>
        <v>-0.01109989909</v>
      </c>
      <c r="J126" s="60">
        <f t="shared" si="3"/>
        <v>-1109.989909</v>
      </c>
      <c r="K126" s="7">
        <v>1068.0</v>
      </c>
      <c r="L126" s="7">
        <v>856.0</v>
      </c>
      <c r="M126" s="68">
        <f t="shared" si="4"/>
        <v>-0.1019172553</v>
      </c>
      <c r="N126" s="68">
        <f t="shared" si="5"/>
        <v>-0.2801883619</v>
      </c>
      <c r="O126" s="68">
        <v>0.0081567440296</v>
      </c>
      <c r="P126" s="23">
        <v>46262</v>
      </c>
      <c r="R126" s="68">
        <v>0.7501</v>
      </c>
      <c r="S126" s="23">
        <v>46203</v>
      </c>
      <c r="T126" s="23">
        <v>46261</v>
      </c>
      <c r="U126" s="39">
        <v>1189.2</v>
      </c>
      <c r="V126" s="39">
        <v>1105.48133333</v>
      </c>
      <c r="W126" t="inlineStr">
        <is>
          <t>Above 75 DMA</t>
        </is>
      </c>
    </row>
    <row r="127">
      <c r="A127" s="23">
        <v>46261.0</v>
      </c>
      <c r="B127" s="25" t="str">
        <f t="shared" si="6"/>
        <v>Thursday</v>
      </c>
      <c r="C127" s="25" t="s">
        <v>335</v>
      </c>
      <c r="D127" s="31">
        <f>IFERROR(__xludf.DUMMYFUNCTION("GOOGLEFINANCE(""NSE:""&amp;UPPER(TRIM(E127)),""marketcap"")/10000000"),8470.967638)</f>
        <v>8470.967638</v>
      </c>
      <c r="E127" s="7" t="s">
        <v>410</v>
      </c>
      <c r="F127" s="39">
        <f>IFERROR(__xludf.DUMMYFUNCTION("IF(OR(E127="""",A127=""""),"""",
 IF(
   DATE(VALUE(RIGHT(A127,4)),VALUE(MID(A127,4,2)),VALUE(LEFT(A127,2)))&gt;=TODAY(),
   IFERROR(
     GOOGLEFINANCE(""NSE:""&amp;UPPER(TRIM(E127)),""price""),
     ""Not Available""
   ),
   IFERROR(
     INDEX(
       GOOGLE"&amp;"FINANCE(
         ""NSE:""&amp;UPPER(TRIM(E127)),
         ""close"",
         DATE(VALUE(RIGHT(A127,4)),VALUE(MID(A127,4,2)),VALUE(LEFT(A127,2))),
         DATE(VALUE(RIGHT(A127,4)),VALUE(MID(A127,4,2)),VALUE(LEFT(A127,2)))+1
       ),
       2,2
     ),
   "&amp;"  ""Not Available""
   )
 ))"),5960.5)</f>
        <v>5960.5</v>
      </c>
      <c r="G127" s="42">
        <f>IFERROR(__xludf.DUMMYFUNCTION("IF(E127="""","""",IFERROR(GOOGLEFINANCE(""NSE:""&amp;UPPER(TRIM(E127)),""price""),""Not Available""))"),6251.0)</f>
        <v>6251</v>
      </c>
      <c r="H127" s="53">
        <f t="shared" si="1"/>
        <v>28</v>
      </c>
      <c r="I127" s="58">
        <f t="shared" si="2"/>
        <v>0.04873752202</v>
      </c>
      <c r="J127" s="60">
        <f t="shared" si="3"/>
        <v>4873.752202</v>
      </c>
      <c r="K127" s="7">
        <v>5415.0</v>
      </c>
      <c r="L127" s="7">
        <v>6065.0</v>
      </c>
      <c r="M127" s="68">
        <f t="shared" si="4"/>
        <v>-0.09151916786</v>
      </c>
      <c r="N127" s="68">
        <f t="shared" si="5"/>
        <v>0.01753208623</v>
      </c>
      <c r="O127" s="68">
        <v>0.0648435533932</v>
      </c>
      <c r="P127" s="23">
        <v>46275</v>
      </c>
      <c r="R127" s="68">
        <v>0.6702</v>
      </c>
      <c r="S127" s="23">
        <v>46203</v>
      </c>
      <c r="T127" s="23">
        <v>46261</v>
      </c>
      <c r="U127" s="39">
        <v>5960.5</v>
      </c>
      <c r="V127" s="39">
        <v>5300.476</v>
      </c>
      <c r="W127" t="inlineStr">
        <is>
          <t>Above 75 DMA</t>
        </is>
      </c>
    </row>
    <row r="128">
      <c r="A128" s="23">
        <v>46261.0</v>
      </c>
      <c r="B128" s="25" t="str">
        <f t="shared" si="6"/>
        <v>Thursday</v>
      </c>
      <c r="C128" s="25" t="s">
        <v>335</v>
      </c>
      <c r="D128" s="31">
        <f>IFERROR(__xludf.DUMMYFUNCTION("GOOGLEFINANCE(""NSE:""&amp;UPPER(TRIM(E128)),""marketcap"")/10000000"),145271.7143305)</f>
        <v>145271.7143</v>
      </c>
      <c r="E128" s="7" t="s">
        <v>104</v>
      </c>
      <c r="F128" s="39">
        <f>IFERROR(__xludf.DUMMYFUNCTION("IF(OR(E128="""",A128=""""),"""",
 IF(
   DATE(VALUE(RIGHT(A128,4)),VALUE(MID(A128,4,2)),VALUE(LEFT(A128,2)))&gt;=TODAY(),
   IFERROR(
     GOOGLEFINANCE(""NSE:""&amp;UPPER(TRIM(E128)),""price""),
     ""Not Available""
   ),
   IFERROR(
     INDEX(
       GOOGLE"&amp;"FINANCE(
         ""NSE:""&amp;UPPER(TRIM(E128)),
         ""close"",
         DATE(VALUE(RIGHT(A128,4)),VALUE(MID(A128,4,2)),VALUE(LEFT(A128,2))),
         DATE(VALUE(RIGHT(A128,4)),VALUE(MID(A128,4,2)),VALUE(LEFT(A128,2)))+1
       ),
       2,2
     ),
   "&amp;"  ""Not Available""
   )
 ))"),433.95)</f>
        <v>433.95</v>
      </c>
      <c r="G128" s="42">
        <f>IFERROR(__xludf.DUMMYFUNCTION("IF(E128="""","""",IFERROR(GOOGLEFINANCE(""NSE:""&amp;UPPER(TRIM(E128)),""price""),""Not Available""))"),417.2)</f>
        <v>417.2</v>
      </c>
      <c r="H128" s="53">
        <f t="shared" si="1"/>
        <v>28</v>
      </c>
      <c r="I128" s="58">
        <f t="shared" si="2"/>
        <v>-0.03859891693</v>
      </c>
      <c r="J128" s="60">
        <f t="shared" si="3"/>
        <v>-3859.891693</v>
      </c>
      <c r="K128" s="7">
        <v>386.0</v>
      </c>
      <c r="L128" s="7">
        <v>278.0</v>
      </c>
      <c r="M128" s="68">
        <f t="shared" si="4"/>
        <v>-0.110496601</v>
      </c>
      <c r="N128" s="68">
        <f t="shared" si="5"/>
        <v>-0.3593731997</v>
      </c>
      <c r="O128" s="68">
        <v>0.020048392672</v>
      </c>
      <c r="P128" s="23">
        <v>46265</v>
      </c>
      <c r="R128" s="68">
        <v>0.5817</v>
      </c>
      <c r="S128" s="23">
        <v>46203</v>
      </c>
      <c r="T128" s="23">
        <v>46261</v>
      </c>
      <c r="U128" s="39">
        <v>433.95</v>
      </c>
      <c r="V128" s="39">
        <v>406.266666667</v>
      </c>
      <c r="W128" t="inlineStr">
        <is>
          <t>Above 75 DMA</t>
        </is>
      </c>
    </row>
    <row r="129">
      <c r="A129" s="23">
        <v>46261.0</v>
      </c>
      <c r="B129" s="25" t="str">
        <f t="shared" si="6"/>
        <v>Thursday</v>
      </c>
      <c r="C129" s="25" t="s">
        <v>335</v>
      </c>
      <c r="D129" s="31">
        <f>IFERROR(__xludf.DUMMYFUNCTION("GOOGLEFINANCE(""NSE:""&amp;UPPER(TRIM(E129)),""marketcap"")/10000000"),50646.9706847)</f>
        <v>50646.97068</v>
      </c>
      <c r="E129" s="7" t="s">
        <v>191</v>
      </c>
      <c r="F129" s="39">
        <f>IFERROR(__xludf.DUMMYFUNCTION("IF(OR(E129="""",A129=""""),"""",
 IF(
   DATE(VALUE(RIGHT(A129,4)),VALUE(MID(A129,4,2)),VALUE(LEFT(A129,2)))&gt;=TODAY(),
   IFERROR(
     GOOGLEFINANCE(""NSE:""&amp;UPPER(TRIM(E129)),""price""),
     ""Not Available""
   ),
   IFERROR(
     INDEX(
       GOOGLE"&amp;"FINANCE(
         ""NSE:""&amp;UPPER(TRIM(E129)),
         ""close"",
         DATE(VALUE(RIGHT(A129,4)),VALUE(MID(A129,4,2)),VALUE(LEFT(A129,2))),
         DATE(VALUE(RIGHT(A129,4)),VALUE(MID(A129,4,2)),VALUE(LEFT(A129,2)))+1
       ),
       2,2
     ),
   "&amp;"  ""Not Available""
   )
 ))"),1959.8)</f>
        <v>1959.8</v>
      </c>
      <c r="G129" s="42">
        <f>IFERROR(__xludf.DUMMYFUNCTION("IF(E129="""","""",IFERROR(GOOGLEFINANCE(""NSE:""&amp;UPPER(TRIM(E129)),""price""),""Not Available""))"),1995.8)</f>
        <v>1995.8</v>
      </c>
      <c r="H129" s="53">
        <f t="shared" si="1"/>
        <v>28</v>
      </c>
      <c r="I129" s="58">
        <f t="shared" si="2"/>
        <v>0.01836922135</v>
      </c>
      <c r="J129" s="60">
        <f t="shared" si="3"/>
        <v>1836.922135</v>
      </c>
      <c r="K129" s="7">
        <v>1795.0</v>
      </c>
      <c r="L129" s="7">
        <v>1707.0</v>
      </c>
      <c r="M129" s="68">
        <f t="shared" si="4"/>
        <v>-0.08409021329</v>
      </c>
      <c r="N129" s="68">
        <f t="shared" si="5"/>
        <v>-0.1289927544</v>
      </c>
      <c r="O129" s="68">
        <v>0.0399020308195</v>
      </c>
      <c r="P129" s="23">
        <v>46283</v>
      </c>
      <c r="Q129" s="68">
        <v>0.192229174523</v>
      </c>
      <c r="R129" s="68">
        <v>0.4472</v>
      </c>
      <c r="S129" s="23">
        <v>46203</v>
      </c>
      <c r="T129" s="23">
        <v>46261</v>
      </c>
      <c r="U129" s="39">
        <v>1959.8</v>
      </c>
      <c r="V129" s="39">
        <v>1713.50133333</v>
      </c>
      <c r="W129" t="inlineStr">
        <is>
          <t>Above 75 DMA</t>
        </is>
      </c>
    </row>
    <row r="130">
      <c r="A130" s="23">
        <v>46261.0</v>
      </c>
      <c r="B130" s="25" t="str">
        <f t="shared" si="6"/>
        <v>Thursday</v>
      </c>
      <c r="C130" s="25" t="s">
        <v>335</v>
      </c>
      <c r="D130" s="31">
        <f>IFERROR(__xludf.DUMMYFUNCTION("GOOGLEFINANCE(""NSE:""&amp;UPPER(TRIM(E130)),""marketcap"")/10000000"),32840.18148)</f>
        <v>32840.18148</v>
      </c>
      <c r="E130" s="7" t="s">
        <v>386</v>
      </c>
      <c r="F130" s="39">
        <f>IFERROR(__xludf.DUMMYFUNCTION("IF(OR(E130="""",A130=""""),"""",
 IF(
   DATE(VALUE(RIGHT(A130,4)),VALUE(MID(A130,4,2)),VALUE(LEFT(A130,2)))&gt;=TODAY(),
   IFERROR(
     GOOGLEFINANCE(""NSE:""&amp;UPPER(TRIM(E130)),""price""),
     ""Not Available""
   ),
   IFERROR(
     INDEX(
       GOOGLE"&amp;"FINANCE(
         ""NSE:""&amp;UPPER(TRIM(E130)),
         ""close"",
         DATE(VALUE(RIGHT(A130,4)),VALUE(MID(A130,4,2)),VALUE(LEFT(A130,2))),
         DATE(VALUE(RIGHT(A130,4)),VALUE(MID(A130,4,2)),VALUE(LEFT(A130,2)))+1
       ),
       2,2
     ),
   "&amp;"  ""Not Available""
   )
 ))"),1936.4)</f>
        <v>1936.4</v>
      </c>
      <c r="G130" s="42">
        <f>IFERROR(__xludf.DUMMYFUNCTION("IF(E130="""","""",IFERROR(GOOGLEFINANCE(""NSE:""&amp;UPPER(TRIM(E130)),""price""),""Not Available""))"),1964.0)</f>
        <v>1964</v>
      </c>
      <c r="H130" s="53">
        <f t="shared" si="1"/>
        <v>28</v>
      </c>
      <c r="I130" s="58">
        <f t="shared" si="2"/>
        <v>0.01425325346</v>
      </c>
      <c r="J130" s="60">
        <f t="shared" si="3"/>
        <v>1425.325346</v>
      </c>
      <c r="K130" s="7">
        <v>1680.0</v>
      </c>
      <c r="L130" s="7">
        <v>1389.0</v>
      </c>
      <c r="M130" s="68">
        <f t="shared" si="4"/>
        <v>-0.132410659</v>
      </c>
      <c r="N130" s="68">
        <f t="shared" si="5"/>
        <v>-0.282689527</v>
      </c>
      <c r="O130" s="68">
        <v>0.0527783515803</v>
      </c>
      <c r="P130" s="23">
        <v>46281</v>
      </c>
      <c r="R130" s="68">
        <v>0.5319</v>
      </c>
      <c r="S130" s="23">
        <v>46203</v>
      </c>
      <c r="T130" s="23">
        <v>46261</v>
      </c>
      <c r="U130" s="39">
        <v>1936.4</v>
      </c>
      <c r="V130" s="39">
        <v>1728.02666667</v>
      </c>
      <c r="W130" t="inlineStr">
        <is>
          <t>Above 75 DMA</t>
        </is>
      </c>
    </row>
    <row r="131">
      <c r="A131" s="23">
        <v>46261.0</v>
      </c>
      <c r="B131" s="25" t="str">
        <f t="shared" si="6"/>
        <v>Thursday</v>
      </c>
      <c r="C131" s="25" t="s">
        <v>343</v>
      </c>
      <c r="D131" s="31">
        <f>IFERROR(__xludf.DUMMYFUNCTION("GOOGLEFINANCE(""NSE:""&amp;UPPER(TRIM(E131)),""marketcap"")/10000000"),67.9431034)</f>
        <v>67.9431034</v>
      </c>
      <c r="E131" s="7" t="s">
        <v>418</v>
      </c>
      <c r="F131" s="39">
        <f>IFERROR(__xludf.DUMMYFUNCTION("IF(OR(E131="""",A131=""""),"""",
 IF(
   DATE(VALUE(RIGHT(A131,4)),VALUE(MID(A131,4,2)),VALUE(LEFT(A131,2)))&gt;=TODAY(),
   IFERROR(
     GOOGLEFINANCE(""NSE:""&amp;UPPER(TRIM(E131)),""price""),
     ""Not Available""
   ),
   IFERROR(
     INDEX(
       GOOGLE"&amp;"FINANCE(
         ""NSE:""&amp;UPPER(TRIM(E131)),
         ""close"",
         DATE(VALUE(RIGHT(A131,4)),VALUE(MID(A131,4,2)),VALUE(LEFT(A131,2))),
         DATE(VALUE(RIGHT(A131,4)),VALUE(MID(A131,4,2)),VALUE(LEFT(A131,2)))+1
       ),
       2,2
     ),
   "&amp;"  ""Not Available""
   )
 ))"),3.53)</f>
        <v>3.53</v>
      </c>
      <c r="G131" s="42">
        <f>IFERROR(__xludf.DUMMYFUNCTION("IF(E131="""","""",IFERROR(GOOGLEFINANCE(""NSE:""&amp;UPPER(TRIM(E131)),""price""),""Not Available""))"),4.03)</f>
        <v>4.03</v>
      </c>
      <c r="H131" s="53">
        <f t="shared" si="1"/>
        <v>28</v>
      </c>
      <c r="I131" s="58">
        <f t="shared" si="2"/>
        <v>0.1416430595</v>
      </c>
      <c r="J131" s="60">
        <f t="shared" si="3"/>
        <v>14164.30595</v>
      </c>
      <c r="K131" s="7">
        <v>3.64</v>
      </c>
      <c r="L131" s="7">
        <v>-25.0</v>
      </c>
      <c r="M131" s="68">
        <f t="shared" si="4"/>
        <v>0.03116147309</v>
      </c>
      <c r="N131" s="68">
        <f t="shared" si="5"/>
        <v>-8.082152975</v>
      </c>
      <c r="O131" s="68">
        <v>0.155807365439</v>
      </c>
      <c r="P131" s="23">
        <v>46269</v>
      </c>
      <c r="R131" s="68">
        <v>0.3443</v>
      </c>
      <c r="S131" s="23">
        <v>46203</v>
      </c>
      <c r="T131" s="23">
        <v>46261</v>
      </c>
      <c r="U131" s="39">
        <v>3.53</v>
      </c>
      <c r="V131" s="39">
        <v>4.3428</v>
      </c>
      <c r="W131" t="inlineStr">
        <is>
          <t>Below 75 DMA</t>
        </is>
      </c>
    </row>
    <row r="132">
      <c r="A132" s="23">
        <v>46261.0</v>
      </c>
      <c r="B132" s="25" t="str">
        <f t="shared" si="6"/>
        <v>Thursday</v>
      </c>
      <c r="C132" s="25" t="s">
        <v>343</v>
      </c>
      <c r="D132" s="207">
        <f>IFERROR(__xludf.DUMMYFUNCTION("GOOGLEFINANCE(""NSE:""&amp;UPPER(TRIM(E132)),""marketcap"")/10000000"),76.1540751)</f>
        <v>76.1540751</v>
      </c>
      <c r="E132" s="7" t="s">
        <v>422</v>
      </c>
      <c r="F132" s="39">
        <f>IFERROR(__xludf.DUMMYFUNCTION("IF(OR(E132="""",A132=""""),"""",
 IF(
   DATE(VALUE(RIGHT(A132,4)),VALUE(MID(A132,4,2)),VALUE(LEFT(A132,2)))&gt;=TODAY(),
   IFERROR(
     GOOGLEFINANCE(""NSE:""&amp;UPPER(TRIM(E132)),""price""),
     ""Not Available""
   ),
   IFERROR(
     INDEX(
       GOOGLE"&amp;"FINANCE(
         ""NSE:""&amp;UPPER(TRIM(E132)),
         ""close"",
         DATE(VALUE(RIGHT(A132,4)),VALUE(MID(A132,4,2)),VALUE(LEFT(A132,2))),
         DATE(VALUE(RIGHT(A132,4)),VALUE(MID(A132,4,2)),VALUE(LEFT(A132,2)))+1
       ),
       2,2
     ),
   "&amp;"  ""Not Available""
   )
 ))"),26.42)</f>
        <v>26.42</v>
      </c>
      <c r="G132" s="42">
        <f>IFERROR(__xludf.DUMMYFUNCTION("IF(E132="""","""",IFERROR(GOOGLEFINANCE(""NSE:""&amp;UPPER(TRIM(E132)),""price""),""Not Available""))"),26.6)</f>
        <v>26.6</v>
      </c>
      <c r="H132" s="53">
        <f t="shared" si="1"/>
        <v>28</v>
      </c>
      <c r="I132" s="58">
        <f t="shared" si="2"/>
        <v>0.006813020439</v>
      </c>
      <c r="J132" s="60">
        <f t="shared" si="3"/>
        <v>681.3020439</v>
      </c>
      <c r="K132" s="7">
        <v>38.64</v>
      </c>
      <c r="L132" s="7">
        <v>25.0</v>
      </c>
      <c r="M132" s="68">
        <f t="shared" si="4"/>
        <v>0.4625283876</v>
      </c>
      <c r="N132" s="68">
        <f t="shared" si="5"/>
        <v>-0.05374716124</v>
      </c>
      <c r="O132" s="68">
        <v>0.0590461771385</v>
      </c>
      <c r="P132" s="23">
        <v>46280</v>
      </c>
      <c r="R132" s="68">
        <v>0.4704</v>
      </c>
      <c r="S132" s="23">
        <v>46203</v>
      </c>
      <c r="T132" s="23">
        <v>46261</v>
      </c>
      <c r="U132" s="39">
        <v>26.42</v>
      </c>
      <c r="V132" s="39">
        <v>29.6945333333</v>
      </c>
      <c r="W132" t="inlineStr">
        <is>
          <t>Below 75 DMA</t>
        </is>
      </c>
    </row>
    <row r="133">
      <c r="A133" s="23">
        <v>46261.0</v>
      </c>
      <c r="B133" s="25" t="str">
        <f t="shared" si="6"/>
        <v>Thursday</v>
      </c>
      <c r="C133" s="25" t="s">
        <v>343</v>
      </c>
      <c r="D133" s="31">
        <f>IFERROR(__xludf.DUMMYFUNCTION("GOOGLEFINANCE(""NSE:""&amp;UPPER(TRIM(E133)),""marketcap"")/10000000"),249.1364245)</f>
        <v>249.1364245</v>
      </c>
      <c r="E133" s="7" t="s">
        <v>424</v>
      </c>
      <c r="F133" s="39">
        <f>IFERROR(__xludf.DUMMYFUNCTION("IF(OR(E133="""",A133=""""),"""",
 IF(
   DATE(VALUE(RIGHT(A133,4)),VALUE(MID(A133,4,2)),VALUE(LEFT(A133,2)))&gt;=TODAY(),
   IFERROR(
     GOOGLEFINANCE(""NSE:""&amp;UPPER(TRIM(E133)),""price""),
     ""Not Available""
   ),
   IFERROR(
     INDEX(
       GOOGLE"&amp;"FINANCE(
         ""NSE:""&amp;UPPER(TRIM(E133)),
         ""close"",
         DATE(VALUE(RIGHT(A133,4)),VALUE(MID(A133,4,2)),VALUE(LEFT(A133,2))),
         DATE(VALUE(RIGHT(A133,4)),VALUE(MID(A133,4,2)),VALUE(LEFT(A133,2)))+1
       ),
       2,2
     ),
   "&amp;"  ""Not Available""
   )
 ))"),9.37)</f>
        <v>9.37</v>
      </c>
      <c r="G133" s="42">
        <f>IFERROR(__xludf.DUMMYFUNCTION("IF(E133="""","""",IFERROR(GOOGLEFINANCE(""NSE:""&amp;UPPER(TRIM(E133)),""price""),""Not Available""))"),9.23)</f>
        <v>9.23</v>
      </c>
      <c r="H133" s="53">
        <f t="shared" si="1"/>
        <v>28</v>
      </c>
      <c r="I133" s="58">
        <f t="shared" si="2"/>
        <v>-0.01494130203</v>
      </c>
      <c r="J133" s="60">
        <f t="shared" si="3"/>
        <v>-1494.130203</v>
      </c>
      <c r="K133" s="7">
        <v>12.62</v>
      </c>
      <c r="L133" s="7">
        <v>16.38</v>
      </c>
      <c r="M133" s="68">
        <f t="shared" si="4"/>
        <v>0.3468516542</v>
      </c>
      <c r="N133" s="68">
        <f t="shared" si="5"/>
        <v>0.7481323372</v>
      </c>
      <c r="O133" s="68">
        <v>0.273212379936</v>
      </c>
      <c r="P133" s="23">
        <v>46268</v>
      </c>
      <c r="R133" s="68">
        <v>0.5739</v>
      </c>
      <c r="S133" s="23">
        <v>46203</v>
      </c>
      <c r="T133" s="23">
        <v>46261</v>
      </c>
      <c r="U133" s="39">
        <v>9.37</v>
      </c>
      <c r="V133" s="39">
        <v>10.0650666667</v>
      </c>
      <c r="W133" t="inlineStr">
        <is>
          <t>Below 75 DMA</t>
        </is>
      </c>
    </row>
    <row r="134">
      <c r="A134" s="23">
        <v>46261.0</v>
      </c>
      <c r="B134" s="25" t="str">
        <f t="shared" si="6"/>
        <v>Thursday</v>
      </c>
      <c r="C134" s="25" t="s">
        <v>343</v>
      </c>
      <c r="D134" s="31">
        <f>IFERROR(__xludf.DUMMYFUNCTION("GOOGLEFINANCE(""NSE:""&amp;UPPER(TRIM(E134)),""marketcap"")/10000000"),67.7160015)</f>
        <v>67.7160015</v>
      </c>
      <c r="E134" s="7" t="s">
        <v>426</v>
      </c>
      <c r="F134" s="39">
        <f>IFERROR(__xludf.DUMMYFUNCTION("IF(OR(E134="""",A134=""""),"""",
 IF(
   DATE(VALUE(RIGHT(A134,4)),VALUE(MID(A134,4,2)),VALUE(LEFT(A134,2)))&gt;=TODAY(),
   IFERROR(
     GOOGLEFINANCE(""NSE:""&amp;UPPER(TRIM(E134)),""price""),
     ""Not Available""
   ),
   IFERROR(
     INDEX(
       GOOGLE"&amp;"FINANCE(
         ""NSE:""&amp;UPPER(TRIM(E134)),
         ""close"",
         DATE(VALUE(RIGHT(A134,4)),VALUE(MID(A134,4,2)),VALUE(LEFT(A134,2))),
         DATE(VALUE(RIGHT(A134,4)),VALUE(MID(A134,4,2)),VALUE(LEFT(A134,2)))+1
       ),
       2,2
     ),
   "&amp;"  ""Not Available""
   )
 ))"),69.27)</f>
        <v>69.27</v>
      </c>
      <c r="G134" s="42">
        <f>IFERROR(__xludf.DUMMYFUNCTION("IF(E134="""","""",IFERROR(GOOGLEFINANCE(""NSE:""&amp;UPPER(TRIM(E134)),""price""),""Not Available""))"),68.4)</f>
        <v>68.4</v>
      </c>
      <c r="H134" s="53">
        <f t="shared" si="1"/>
        <v>28</v>
      </c>
      <c r="I134" s="58">
        <f t="shared" si="2"/>
        <v>-0.01255954959</v>
      </c>
      <c r="J134" s="60">
        <f t="shared" si="3"/>
        <v>-1255.954959</v>
      </c>
      <c r="K134" s="7">
        <v>63.42</v>
      </c>
      <c r="L134" s="7">
        <v>-1.9</v>
      </c>
      <c r="M134" s="68">
        <f t="shared" si="4"/>
        <v>-0.08445214379</v>
      </c>
      <c r="N134" s="68">
        <f t="shared" si="5"/>
        <v>-1.027428901</v>
      </c>
      <c r="O134" s="68">
        <v>0.212646167172</v>
      </c>
      <c r="P134" s="23">
        <v>46273</v>
      </c>
      <c r="R134" s="68">
        <v>0.7495</v>
      </c>
      <c r="S134" s="23">
        <v>46203</v>
      </c>
      <c r="T134" s="23">
        <v>46261</v>
      </c>
      <c r="U134" s="39">
        <v>69.27</v>
      </c>
      <c r="V134" s="39">
        <v>79.5916</v>
      </c>
      <c r="W134" t="inlineStr">
        <is>
          <t>Below 75 DMA</t>
        </is>
      </c>
    </row>
    <row r="135">
      <c r="A135" s="23">
        <v>46261.0</v>
      </c>
      <c r="B135" s="25" t="str">
        <f t="shared" si="6"/>
        <v>Thursday</v>
      </c>
      <c r="C135" s="25" t="s">
        <v>343</v>
      </c>
      <c r="D135" s="31">
        <f>IFERROR(__xludf.DUMMYFUNCTION("GOOGLEFINANCE(""NSE:""&amp;UPPER(TRIM(E135)),""marketcap"")/10000000"),1964.1613262)</f>
        <v>1964.161326</v>
      </c>
      <c r="E135" s="7" t="s">
        <v>428</v>
      </c>
      <c r="F135" s="39">
        <f>IFERROR(__xludf.DUMMYFUNCTION("IF(OR(E135="""",A135=""""),"""",
 IF(
   DATE(VALUE(RIGHT(A135,4)),VALUE(MID(A135,4,2)),VALUE(LEFT(A135,2)))&gt;=TODAY(),
   IFERROR(
     GOOGLEFINANCE(""NSE:""&amp;UPPER(TRIM(E135)),""price""),
     ""Not Available""
   ),
   IFERROR(
     INDEX(
       GOOGLE"&amp;"FINANCE(
         ""NSE:""&amp;UPPER(TRIM(E135)),
         ""close"",
         DATE(VALUE(RIGHT(A135,4)),VALUE(MID(A135,4,2)),VALUE(LEFT(A135,2))),
         DATE(VALUE(RIGHT(A135,4)),VALUE(MID(A135,4,2)),VALUE(LEFT(A135,2)))+1
       ),
       2,2
     ),
   "&amp;"  ""Not Available""
   )
 ))"),159.58)</f>
        <v>159.58</v>
      </c>
      <c r="G135" s="42">
        <f>IFERROR(__xludf.DUMMYFUNCTION("IF(E135="""","""",IFERROR(GOOGLEFINANCE(""NSE:""&amp;UPPER(TRIM(E135)),""price""),""Not Available""))"),162.89)</f>
        <v>162.89</v>
      </c>
      <c r="H135" s="53">
        <f t="shared" si="1"/>
        <v>28</v>
      </c>
      <c r="I135" s="58">
        <f t="shared" si="2"/>
        <v>0.02074194761</v>
      </c>
      <c r="J135" s="60">
        <f t="shared" si="3"/>
        <v>2074.194761</v>
      </c>
      <c r="K135" s="7">
        <v>205.0</v>
      </c>
      <c r="L135" s="7">
        <v>-300.0</v>
      </c>
      <c r="M135" s="68">
        <f t="shared" si="4"/>
        <v>0.2846221331</v>
      </c>
      <c r="N135" s="68">
        <f t="shared" si="5"/>
        <v>-2.879934829</v>
      </c>
      <c r="O135" s="68">
        <v>0.0742574257426</v>
      </c>
      <c r="P135" s="23">
        <v>46288</v>
      </c>
      <c r="R135" s="68">
        <v>0.3713</v>
      </c>
      <c r="S135" s="23">
        <v>46203</v>
      </c>
      <c r="T135" s="23">
        <v>46261</v>
      </c>
      <c r="U135" s="39">
        <v>159.58</v>
      </c>
      <c r="V135" s="39">
        <v>174.891466667</v>
      </c>
      <c r="W135" t="inlineStr">
        <is>
          <t>Below 75 DMA</t>
        </is>
      </c>
    </row>
    <row r="136">
      <c r="A136" s="23">
        <v>46260.0</v>
      </c>
      <c r="B136" s="25" t="str">
        <f t="shared" si="6"/>
        <v>Wednesday</v>
      </c>
      <c r="C136" s="25" t="s">
        <v>335</v>
      </c>
      <c r="D136" s="31">
        <f>IFERROR(__xludf.DUMMYFUNCTION("GOOGLEFINANCE(""NSE:""&amp;UPPER(TRIM(E136)),""marketcap"")/10000000"),17672.84025)</f>
        <v>17672.84025</v>
      </c>
      <c r="E136" s="7" t="s">
        <v>430</v>
      </c>
      <c r="F136" s="39">
        <f>IFERROR(__xludf.DUMMYFUNCTION("IF(OR(E136="""",A136=""""),"""",
 IF(
   DATE(VALUE(RIGHT(A136,4)),VALUE(MID(A136,4,2)),VALUE(LEFT(A136,2)))&gt;=TODAY(),
   IFERROR(
     GOOGLEFINANCE(""NSE:""&amp;UPPER(TRIM(E136)),""price""),
     ""Not Available""
   ),
   IFERROR(
     INDEX(
       GOOGLE"&amp;"FINANCE(
         ""NSE:""&amp;UPPER(TRIM(E136)),
         ""close"",
         DATE(VALUE(RIGHT(A136,4)),VALUE(MID(A136,4,2)),VALUE(LEFT(A136,2))),
         DATE(VALUE(RIGHT(A136,4)),VALUE(MID(A136,4,2)),VALUE(LEFT(A136,2)))+1
       ),
       2,2
     ),
   "&amp;"  ""Not Available""
   )
 ))"),542.95)</f>
        <v>542.95</v>
      </c>
      <c r="G136" s="42">
        <f>IFERROR(__xludf.DUMMYFUNCTION("IF(E136="""","""",IFERROR(GOOGLEFINANCE(""NSE:""&amp;UPPER(TRIM(E136)),""price""),""Not Available""))"),487.7)</f>
        <v>487.7</v>
      </c>
      <c r="H136" s="53">
        <f t="shared" si="1"/>
        <v>29</v>
      </c>
      <c r="I136" s="58">
        <f t="shared" si="2"/>
        <v>-0.1017589097</v>
      </c>
      <c r="J136" s="60">
        <f t="shared" si="3"/>
        <v>-10175.89097</v>
      </c>
      <c r="K136" s="7">
        <v>555.0</v>
      </c>
      <c r="L136" s="7">
        <v>407.0</v>
      </c>
      <c r="M136" s="68">
        <f t="shared" si="4"/>
        <v>0.02219357215</v>
      </c>
      <c r="N136" s="68">
        <f t="shared" si="5"/>
        <v>-0.2503913804</v>
      </c>
      <c r="O136" s="68">
        <v>9.20895110046e-05</v>
      </c>
      <c r="P136" s="23">
        <v>46261</v>
      </c>
      <c r="R136" s="68">
        <v>0.4182</v>
      </c>
      <c r="S136" s="23">
        <v>46203</v>
      </c>
      <c r="T136" s="23">
        <v>46260</v>
      </c>
      <c r="U136" s="39">
        <v>542.95</v>
      </c>
      <c r="V136" s="39">
        <v>485.333333333</v>
      </c>
      <c r="W136" t="inlineStr">
        <is>
          <t>Above 75 DMA</t>
        </is>
      </c>
    </row>
    <row r="137">
      <c r="A137" s="23">
        <v>46260.0</v>
      </c>
      <c r="B137" s="25" t="str">
        <f t="shared" si="6"/>
        <v>Wednesday</v>
      </c>
      <c r="C137" s="25" t="s">
        <v>335</v>
      </c>
      <c r="D137" s="31">
        <f>IFERROR(__xludf.DUMMYFUNCTION("GOOGLEFINANCE(""NSE:""&amp;UPPER(TRIM(E137)),""marketcap"")/10000000"),74819.2212)</f>
        <v>74819.2212</v>
      </c>
      <c r="E137" s="7" t="s">
        <v>432</v>
      </c>
      <c r="F137" s="39">
        <f>IFERROR(__xludf.DUMMYFUNCTION("IF(OR(E137="""",A137=""""),"""",
 IF(
   DATE(VALUE(RIGHT(A137,4)),VALUE(MID(A137,4,2)),VALUE(LEFT(A137,2)))&gt;=TODAY(),
   IFERROR(
     GOOGLEFINANCE(""NSE:""&amp;UPPER(TRIM(E137)),""price""),
     ""Not Available""
   ),
   IFERROR(
     INDEX(
       GOOGLE"&amp;"FINANCE(
         ""NSE:""&amp;UPPER(TRIM(E137)),
         ""close"",
         DATE(VALUE(RIGHT(A137,4)),VALUE(MID(A137,4,2)),VALUE(LEFT(A137,2))),
         DATE(VALUE(RIGHT(A137,4)),VALUE(MID(A137,4,2)),VALUE(LEFT(A137,2)))+1
       ),
       2,2
     ),
   "&amp;"  ""Not Available""
   )
 ))"),344.95)</f>
        <v>344.95</v>
      </c>
      <c r="G137" s="42">
        <f>IFERROR(__xludf.DUMMYFUNCTION("IF(E137="""","""",IFERROR(GOOGLEFINANCE(""NSE:""&amp;UPPER(TRIM(E137)),""price""),""Not Available""))"),361.4)</f>
        <v>361.4</v>
      </c>
      <c r="H137" s="53">
        <f t="shared" si="1"/>
        <v>29</v>
      </c>
      <c r="I137" s="58">
        <f t="shared" si="2"/>
        <v>0.04768807073</v>
      </c>
      <c r="J137" s="60">
        <f t="shared" si="3"/>
        <v>4768.807073</v>
      </c>
      <c r="K137" s="7">
        <v>260.0</v>
      </c>
      <c r="L137" s="7">
        <v>181.0</v>
      </c>
      <c r="M137" s="68">
        <f t="shared" si="4"/>
        <v>-0.246267575</v>
      </c>
      <c r="N137" s="68">
        <f t="shared" si="5"/>
        <v>-0.4752862734</v>
      </c>
      <c r="O137" s="68">
        <v>0.0885635599362</v>
      </c>
      <c r="P137" s="23">
        <v>46287</v>
      </c>
      <c r="Q137" s="68">
        <v>0.138754346011</v>
      </c>
      <c r="R137" s="68">
        <v>0.7393</v>
      </c>
      <c r="S137" s="23">
        <v>46203</v>
      </c>
      <c r="T137" s="23">
        <v>46260</v>
      </c>
      <c r="U137" s="39">
        <v>344.95</v>
      </c>
      <c r="V137" s="39">
        <v>311.46</v>
      </c>
      <c r="W137" t="inlineStr">
        <is>
          <t>Above 75 DMA</t>
        </is>
      </c>
    </row>
    <row r="138">
      <c r="A138" s="23">
        <v>46260.0</v>
      </c>
      <c r="B138" s="25" t="str">
        <f t="shared" si="6"/>
        <v>Wednesday</v>
      </c>
      <c r="C138" s="25" t="s">
        <v>335</v>
      </c>
      <c r="D138" s="31">
        <f>IFERROR(__xludf.DUMMYFUNCTION("GOOGLEFINANCE(""NSE:""&amp;UPPER(TRIM(E138)),""marketcap"")/10000000"),3857.1327905)</f>
        <v>3857.132791</v>
      </c>
      <c r="E138" s="7" t="s">
        <v>392</v>
      </c>
      <c r="F138" s="39">
        <f>IFERROR(__xludf.DUMMYFUNCTION("IF(OR(E138="""",A138=""""),"""",
 IF(
   DATE(VALUE(RIGHT(A138,4)),VALUE(MID(A138,4,2)),VALUE(LEFT(A138,2)))&gt;=TODAY(),
   IFERROR(
     GOOGLEFINANCE(""NSE:""&amp;UPPER(TRIM(E138)),""price""),
     ""Not Available""
   ),
   IFERROR(
     INDEX(
       GOOGLE"&amp;"FINANCE(
         ""NSE:""&amp;UPPER(TRIM(E138)),
         ""close"",
         DATE(VALUE(RIGHT(A138,4)),VALUE(MID(A138,4,2)),VALUE(LEFT(A138,2))),
         DATE(VALUE(RIGHT(A138,4)),VALUE(MID(A138,4,2)),VALUE(LEFT(A138,2)))+1
       ),
       2,2
     ),
   "&amp;"  ""Not Available""
   )
 ))"),806.2)</f>
        <v>806.2</v>
      </c>
      <c r="G138" s="42">
        <f>IFERROR(__xludf.DUMMYFUNCTION("IF(E138="""","""",IFERROR(GOOGLEFINANCE(""NSE:""&amp;UPPER(TRIM(E138)),""price""),""Not Available""))"),854.8)</f>
        <v>854.8</v>
      </c>
      <c r="H138" s="53">
        <f t="shared" si="1"/>
        <v>29</v>
      </c>
      <c r="I138" s="58">
        <f t="shared" si="2"/>
        <v>0.06028280824</v>
      </c>
      <c r="J138" s="60">
        <f t="shared" si="3"/>
        <v>6028.280824</v>
      </c>
      <c r="K138" s="7">
        <v>742.0</v>
      </c>
      <c r="L138" s="7">
        <v>638.0</v>
      </c>
      <c r="M138" s="68">
        <f t="shared" si="4"/>
        <v>-0.07963284545</v>
      </c>
      <c r="N138" s="68">
        <f t="shared" si="5"/>
        <v>-0.2086330935</v>
      </c>
      <c r="O138" s="68">
        <v>0.136132473332</v>
      </c>
      <c r="P138" s="23">
        <v>46266</v>
      </c>
      <c r="Q138" s="68">
        <v>0.212660843892</v>
      </c>
      <c r="R138" s="68">
        <v>0.6588</v>
      </c>
      <c r="S138" s="23">
        <v>46203</v>
      </c>
      <c r="T138" s="23">
        <v>46260</v>
      </c>
      <c r="U138" s="39">
        <v>806.2</v>
      </c>
      <c r="V138" s="39">
        <v>681.402</v>
      </c>
      <c r="W138" t="inlineStr">
        <is>
          <t>Above 75 DMA</t>
        </is>
      </c>
    </row>
    <row r="139">
      <c r="A139" s="23">
        <v>46260.0</v>
      </c>
      <c r="B139" s="25" t="str">
        <f t="shared" si="6"/>
        <v>Wednesday</v>
      </c>
      <c r="C139" s="25" t="s">
        <v>335</v>
      </c>
      <c r="D139" s="31">
        <f>IFERROR(__xludf.DUMMYFUNCTION("GOOGLEFINANCE(""NSE:""&amp;UPPER(TRIM(E139)),""marketcap"")/10000000"),50646.9706847)</f>
        <v>50646.97068</v>
      </c>
      <c r="E139" s="7" t="s">
        <v>191</v>
      </c>
      <c r="F139" s="39">
        <f>IFERROR(__xludf.DUMMYFUNCTION("IF(OR(E139="""",A139=""""),"""",
 IF(
   DATE(VALUE(RIGHT(A139,4)),VALUE(MID(A139,4,2)),VALUE(LEFT(A139,2)))&gt;=TODAY(),
   IFERROR(
     GOOGLEFINANCE(""NSE:""&amp;UPPER(TRIM(E139)),""price""),
     ""Not Available""
   ),
   IFERROR(
     INDEX(
       GOOGLE"&amp;"FINANCE(
         ""NSE:""&amp;UPPER(TRIM(E139)),
         ""close"",
         DATE(VALUE(RIGHT(A139,4)),VALUE(MID(A139,4,2)),VALUE(LEFT(A139,2))),
         DATE(VALUE(RIGHT(A139,4)),VALUE(MID(A139,4,2)),VALUE(LEFT(A139,2)))+1
       ),
       2,2
     ),
   "&amp;"  ""Not Available""
   )
 ))"),1952.4)</f>
        <v>1952.4</v>
      </c>
      <c r="G139" s="42">
        <f>IFERROR(__xludf.DUMMYFUNCTION("IF(E139="""","""",IFERROR(GOOGLEFINANCE(""NSE:""&amp;UPPER(TRIM(E139)),""price""),""Not Available""))"),1995.8)</f>
        <v>1995.8</v>
      </c>
      <c r="H139" s="53">
        <f t="shared" si="1"/>
        <v>29</v>
      </c>
      <c r="I139" s="58">
        <f t="shared" si="2"/>
        <v>0.02222905142</v>
      </c>
      <c r="J139" s="60">
        <f t="shared" si="3"/>
        <v>2222.905142</v>
      </c>
      <c r="K139" s="7">
        <v>1795.0</v>
      </c>
      <c r="L139" s="7">
        <v>1707.0</v>
      </c>
      <c r="M139" s="68">
        <f t="shared" si="4"/>
        <v>-0.08061872567</v>
      </c>
      <c r="N139" s="68">
        <f t="shared" si="5"/>
        <v>-0.1256914567</v>
      </c>
      <c r="O139" s="68">
        <v>0.0438434746978</v>
      </c>
      <c r="P139" s="23">
        <v>46283</v>
      </c>
      <c r="Q139" s="68">
        <v>0.192229174523</v>
      </c>
      <c r="R139" s="68">
        <v>0.4472</v>
      </c>
      <c r="S139" s="23">
        <v>46203</v>
      </c>
      <c r="T139" s="23">
        <v>46260</v>
      </c>
      <c r="U139" s="39">
        <v>1952.4</v>
      </c>
      <c r="V139" s="39">
        <v>1707.492</v>
      </c>
      <c r="W139" t="inlineStr">
        <is>
          <t>Above 75 DMA</t>
        </is>
      </c>
    </row>
    <row r="140">
      <c r="A140" s="23">
        <v>46244.0</v>
      </c>
      <c r="B140" s="25" t="str">
        <f t="shared" si="6"/>
        <v>Monday</v>
      </c>
      <c r="C140" s="25" t="s">
        <v>335</v>
      </c>
      <c r="D140" s="31">
        <f>IFERROR(__xludf.DUMMYFUNCTION("GOOGLEFINANCE(""NSE:""&amp;UPPER(TRIM(E140)),""marketcap"")/10000000"),14280.9206223)</f>
        <v>14280.92062</v>
      </c>
      <c r="E140" s="7" t="s">
        <v>438</v>
      </c>
      <c r="F140" s="39">
        <f>IFERROR(__xludf.DUMMYFUNCTION("IF(OR(E140="""",A140=""""),"""",
 IF(
   DATE(VALUE(RIGHT(A140,4)),VALUE(MID(A140,4,2)),VALUE(LEFT(A140,2)))&gt;=TODAY(),
   IFERROR(
     GOOGLEFINANCE(""NSE:""&amp;UPPER(TRIM(E140)),""price""),
     ""Not Available""
   ),
   IFERROR(
     INDEX(
       GOOGLE"&amp;"FINANCE(
         ""NSE:""&amp;UPPER(TRIM(E140)),
         ""close"",
         DATE(VALUE(RIGHT(A140,4)),VALUE(MID(A140,4,2)),VALUE(LEFT(A140,2))),
         DATE(VALUE(RIGHT(A140,4)),VALUE(MID(A140,4,2)),VALUE(LEFT(A140,2)))+1
       ),
       2,2
     ),
   "&amp;"  ""Not Available""
   )
 ))"),890.2)</f>
        <v>890.2</v>
      </c>
      <c r="G140" s="42">
        <f>IFERROR(__xludf.DUMMYFUNCTION("IF(E140="""","""",IFERROR(GOOGLEFINANCE(""NSE:""&amp;UPPER(TRIM(E140)),""price""),""Not Available""))"),901.85)</f>
        <v>901.85</v>
      </c>
      <c r="H140" s="53">
        <f t="shared" si="1"/>
        <v>45</v>
      </c>
      <c r="I140" s="58">
        <f t="shared" si="2"/>
        <v>0.01308694675</v>
      </c>
      <c r="J140" s="60">
        <f t="shared" si="3"/>
        <v>1308.694675</v>
      </c>
      <c r="K140" s="7">
        <v>728.0</v>
      </c>
      <c r="L140" s="7">
        <v>816.0</v>
      </c>
      <c r="M140" s="68">
        <f t="shared" si="4"/>
        <v>-0.1822062458</v>
      </c>
      <c r="N140" s="68">
        <f t="shared" si="5"/>
        <v>-0.08335205572</v>
      </c>
      <c r="O140" s="68">
        <v>0.0718939564143</v>
      </c>
      <c r="P140" s="23">
        <v>46272</v>
      </c>
      <c r="Q140" s="68">
        <v>0.0751362214722</v>
      </c>
      <c r="R140" s="68">
        <v>0</v>
      </c>
      <c r="S140" s="23">
        <v>46203</v>
      </c>
      <c r="T140" s="23">
        <v>46244</v>
      </c>
      <c r="U140" s="39">
        <v>890.2</v>
      </c>
      <c r="V140" s="39">
        <v>760.417333333</v>
      </c>
      <c r="W140" t="inlineStr">
        <is>
          <t>Above 75 DMA</t>
        </is>
      </c>
    </row>
    <row r="141">
      <c r="A141" s="23">
        <v>46240.0</v>
      </c>
      <c r="B141" s="25" t="str">
        <f t="shared" si="6"/>
        <v>Thursday</v>
      </c>
      <c r="C141" s="25" t="s">
        <v>335</v>
      </c>
      <c r="D141" s="31">
        <f>IFERROR(__xludf.DUMMYFUNCTION("GOOGLEFINANCE(""NSE:""&amp;UPPER(TRIM(E141)),""marketcap"")/10000000"),12964.7991254)</f>
        <v>12964.79913</v>
      </c>
      <c r="E141" s="7" t="s">
        <v>441</v>
      </c>
      <c r="F141" s="39">
        <f>IFERROR(__xludf.DUMMYFUNCTION("IF(OR(E141="""",A141=""""),"""",
 IF(
   DATE(VALUE(RIGHT(A141,4)),VALUE(MID(A141,4,2)),VALUE(LEFT(A141,2)))&gt;=TODAY(),
   IFERROR(
     GOOGLEFINANCE(""NSE:""&amp;UPPER(TRIM(E141)),""price""),
     ""Not Available""
   ),
   IFERROR(
     INDEX(
       GOOGLE"&amp;"FINANCE(
         ""NSE:""&amp;UPPER(TRIM(E141)),
         ""close"",
         DATE(VALUE(RIGHT(A141,4)),VALUE(MID(A141,4,2)),VALUE(LEFT(A141,2))),
         DATE(VALUE(RIGHT(A141,4)),VALUE(MID(A141,4,2)),VALUE(LEFT(A141,2)))+1
       ),
       2,2
     ),
   "&amp;"  ""Not Available""
   )
 ))"),47.43)</f>
        <v>47.43</v>
      </c>
      <c r="G141" s="42">
        <f>IFERROR(__xludf.DUMMYFUNCTION("IF(E141="""","""",IFERROR(GOOGLEFINANCE(""NSE:""&amp;UPPER(TRIM(E141)),""price""),""Not Available""))"),49.52)</f>
        <v>49.52</v>
      </c>
      <c r="H141" s="53">
        <f t="shared" si="1"/>
        <v>49</v>
      </c>
      <c r="I141" s="58">
        <f t="shared" si="2"/>
        <v>0.0440649378</v>
      </c>
      <c r="J141" s="60">
        <f t="shared" si="3"/>
        <v>4406.49378</v>
      </c>
      <c r="K141" s="7">
        <v>45.0</v>
      </c>
      <c r="L141" s="7">
        <v>50.7</v>
      </c>
      <c r="M141" s="68">
        <f t="shared" si="4"/>
        <v>-0.05123339658</v>
      </c>
      <c r="N141" s="68">
        <f t="shared" si="5"/>
        <v>0.06894370651</v>
      </c>
      <c r="O141" s="68">
        <v>0.0212945393211</v>
      </c>
      <c r="P141" s="23">
        <v>46269</v>
      </c>
      <c r="Q141" s="68">
        <v>0.0641938312705</v>
      </c>
      <c r="R141" s="68">
        <v>0</v>
      </c>
      <c r="S141" s="23">
        <v>46203</v>
      </c>
      <c r="T141" s="23">
        <v>46240</v>
      </c>
      <c r="U141" s="39">
        <v>47.43</v>
      </c>
      <c r="V141" s="39">
        <v>43.8558666667</v>
      </c>
      <c r="W141" t="inlineStr">
        <is>
          <t>Above 75 DMA</t>
        </is>
      </c>
    </row>
    <row r="142">
      <c r="A142" s="23">
        <v>46239.0</v>
      </c>
      <c r="B142" s="25" t="str">
        <f t="shared" si="6"/>
        <v>Wednesday</v>
      </c>
      <c r="C142" s="25" t="s">
        <v>335</v>
      </c>
      <c r="D142" s="31">
        <f>IFERROR(__xludf.DUMMYFUNCTION("GOOGLEFINANCE(""NSE:""&amp;UPPER(TRIM(E142)),""marketcap"")/10000000"),18009.0271683)</f>
        <v>18009.02717</v>
      </c>
      <c r="E142" s="7" t="s">
        <v>85</v>
      </c>
      <c r="F142" s="39">
        <f>IFERROR(__xludf.DUMMYFUNCTION("IF(OR(E142="""",A142=""""),"""",
 IF(
   DATE(VALUE(RIGHT(A142,4)),VALUE(MID(A142,4,2)),VALUE(LEFT(A142,2)))&gt;=TODAY(),
   IFERROR(
     GOOGLEFINANCE(""NSE:""&amp;UPPER(TRIM(E142)),""price""),
     ""Not Available""
   ),
   IFERROR(
     INDEX(
       GOOGLE"&amp;"FINANCE(
         ""NSE:""&amp;UPPER(TRIM(E142)),
         ""close"",
         DATE(VALUE(RIGHT(A142,4)),VALUE(MID(A142,4,2)),VALUE(LEFT(A142,2))),
         DATE(VALUE(RIGHT(A142,4)),VALUE(MID(A142,4,2)),VALUE(LEFT(A142,2)))+1
       ),
       2,2
     ),
   "&amp;"  ""Not Available""
   )
 ))"),265.6)</f>
        <v>265.6</v>
      </c>
      <c r="G142" s="42">
        <f>IFERROR(__xludf.DUMMYFUNCTION("IF(E142="""","""",IFERROR(GOOGLEFINANCE(""NSE:""&amp;UPPER(TRIM(E142)),""price""),""Not Available""))"),283.1)</f>
        <v>283.1</v>
      </c>
      <c r="H142" s="53">
        <f t="shared" si="1"/>
        <v>50</v>
      </c>
      <c r="I142" s="58">
        <f t="shared" si="2"/>
        <v>0.06588855422</v>
      </c>
      <c r="J142" s="60">
        <f t="shared" si="3"/>
        <v>6588.855422</v>
      </c>
      <c r="K142" s="7">
        <v>358.0</v>
      </c>
      <c r="L142" s="7">
        <v>124.0</v>
      </c>
      <c r="M142" s="68">
        <f t="shared" si="4"/>
        <v>0.3478915663</v>
      </c>
      <c r="N142" s="68">
        <f t="shared" si="5"/>
        <v>-0.5331325301</v>
      </c>
      <c r="O142" s="68">
        <v>0.204819277108</v>
      </c>
      <c r="P142" s="23">
        <v>46275</v>
      </c>
      <c r="Q142" s="68">
        <v>0.101104155882</v>
      </c>
      <c r="R142" s="68">
        <v>0.6325</v>
      </c>
      <c r="S142" s="23">
        <v>46203</v>
      </c>
      <c r="T142" s="23">
        <v>46239</v>
      </c>
      <c r="U142" s="39">
        <v>265.6</v>
      </c>
      <c r="V142" s="39">
        <v>247.991066667</v>
      </c>
      <c r="W142" t="inlineStr">
        <is>
          <t>Above 75 DMA</t>
        </is>
      </c>
    </row>
    <row r="143">
      <c r="A143" s="23">
        <v>46239.0</v>
      </c>
      <c r="B143" s="25" t="str">
        <f t="shared" si="6"/>
        <v>Wednesday</v>
      </c>
      <c r="C143" s="25" t="s">
        <v>347</v>
      </c>
      <c r="D143" s="31">
        <f>IFERROR(__xludf.DUMMYFUNCTION("GOOGLEFINANCE(""NSE:""&amp;UPPER(TRIM(E143)),""marketcap"")/10000000"),48061.7136675)</f>
        <v>48061.71367</v>
      </c>
      <c r="E143" s="7" t="s">
        <v>443</v>
      </c>
      <c r="F143" s="39">
        <f>IFERROR(__xludf.DUMMYFUNCTION("IF(OR(E143="""",A143=""""),"""",
 IF(
   DATE(VALUE(RIGHT(A143,4)),VALUE(MID(A143,4,2)),VALUE(LEFT(A143,2)))&gt;=TODAY(),
   IFERROR(
     GOOGLEFINANCE(""NSE:""&amp;UPPER(TRIM(E143)),""price""),
     ""Not Available""
   ),
   IFERROR(
     INDEX(
       GOOGLE"&amp;"FINANCE(
         ""NSE:""&amp;UPPER(TRIM(E143)),
         ""close"",
         DATE(VALUE(RIGHT(A143,4)),VALUE(MID(A143,4,2)),VALUE(LEFT(A143,2))),
         DATE(VALUE(RIGHT(A143,4)),VALUE(MID(A143,4,2)),VALUE(LEFT(A143,2)))+1
       ),
       2,2
     ),
   "&amp;"  ""Not Available""
   )
 ))"),533.8)</f>
        <v>533.8</v>
      </c>
      <c r="G143" s="42">
        <f>IFERROR(__xludf.DUMMYFUNCTION("IF(E143="""","""",IFERROR(GOOGLEFINANCE(""NSE:""&amp;UPPER(TRIM(E143)),""price""),""Not Available""))"),497.0)</f>
        <v>497</v>
      </c>
      <c r="H143" s="53">
        <f t="shared" si="1"/>
        <v>50</v>
      </c>
      <c r="I143" s="58">
        <f t="shared" si="2"/>
        <v>-0.06893967778</v>
      </c>
      <c r="J143" s="60">
        <f t="shared" si="3"/>
        <v>-6893.967778</v>
      </c>
      <c r="K143" s="7">
        <v>250.0</v>
      </c>
      <c r="L143" s="7">
        <v>931.0</v>
      </c>
      <c r="M143" s="68">
        <f t="shared" si="4"/>
        <v>-0.5316597977</v>
      </c>
      <c r="N143" s="68">
        <f t="shared" si="5"/>
        <v>0.7440989135</v>
      </c>
      <c r="O143" s="68">
        <v>0.099194454852</v>
      </c>
      <c r="P143" s="23">
        <v>46258</v>
      </c>
      <c r="Q143" s="68">
        <v>0.39378386629</v>
      </c>
      <c r="R143" s="68">
        <v>0.6614</v>
      </c>
      <c r="S143" s="23">
        <v>46203</v>
      </c>
      <c r="T143" s="23">
        <v>46239</v>
      </c>
      <c r="U143" s="39">
        <v>533.8</v>
      </c>
      <c r="V143" s="39">
        <v>522.770666667</v>
      </c>
      <c r="W143" t="inlineStr">
        <is>
          <t>Above 75 DMA</t>
        </is>
      </c>
    </row>
    <row r="144">
      <c r="A144" s="23">
        <v>46239.0</v>
      </c>
      <c r="B144" s="25" t="str">
        <f t="shared" si="6"/>
        <v>Wednesday</v>
      </c>
      <c r="C144" s="25" t="s">
        <v>347</v>
      </c>
      <c r="D144" s="31">
        <f>IFERROR(__xludf.DUMMYFUNCTION("GOOGLEFINANCE(""NSE:""&amp;UPPER(TRIM(E144)),""marketcap"")/10000000"),686.4203125)</f>
        <v>686.4203125</v>
      </c>
      <c r="E144" s="7" t="s">
        <v>444</v>
      </c>
      <c r="F144" s="39">
        <f>IFERROR(__xludf.DUMMYFUNCTION("IF(OR(E144="""",A144=""""),"""",
 IF(
   DATE(VALUE(RIGHT(A144,4)),VALUE(MID(A144,4,2)),VALUE(LEFT(A144,2)))&gt;=TODAY(),
   IFERROR(
     GOOGLEFINANCE(""NSE:""&amp;UPPER(TRIM(E144)),""price""),
     ""Not Available""
   ),
   IFERROR(
     INDEX(
       GOOGLE"&amp;"FINANCE(
         ""NSE:""&amp;UPPER(TRIM(E144)),
         ""close"",
         DATE(VALUE(RIGHT(A144,4)),VALUE(MID(A144,4,2)),VALUE(LEFT(A144,2))),
         DATE(VALUE(RIGHT(A144,4)),VALUE(MID(A144,4,2)),VALUE(LEFT(A144,2)))+1
       ),
       2,2
     ),
   "&amp;"  ""Not Available""
   )
 ))"),1221.6)</f>
        <v>1221.6</v>
      </c>
      <c r="G144" s="42">
        <f>IFERROR(__xludf.DUMMYFUNCTION("IF(E144="""","""",IFERROR(GOOGLEFINANCE(""NSE:""&amp;UPPER(TRIM(E144)),""price""),""Not Available""))"),1175.0)</f>
        <v>1175</v>
      </c>
      <c r="H144" s="53">
        <f t="shared" si="1"/>
        <v>50</v>
      </c>
      <c r="I144" s="58">
        <f t="shared" si="2"/>
        <v>-0.03814669286</v>
      </c>
      <c r="J144" s="60">
        <f t="shared" si="3"/>
        <v>-3814.669286</v>
      </c>
      <c r="K144" s="7">
        <v>1345.0</v>
      </c>
      <c r="L144" s="7">
        <v>807.0</v>
      </c>
      <c r="M144" s="68">
        <f t="shared" si="4"/>
        <v>0.1010150622</v>
      </c>
      <c r="N144" s="68">
        <f t="shared" si="5"/>
        <v>-0.3393909627</v>
      </c>
      <c r="O144" s="68">
        <v>0.0184184675835</v>
      </c>
      <c r="P144" s="23">
        <v>46272</v>
      </c>
      <c r="Q144" s="68">
        <v>0.101975817913</v>
      </c>
      <c r="R144" s="68">
        <v>0.7488</v>
      </c>
      <c r="S144" s="23">
        <v>46203</v>
      </c>
      <c r="T144" s="23">
        <v>46239</v>
      </c>
      <c r="U144" s="39">
        <v>1221.6</v>
      </c>
      <c r="V144" s="39">
        <v>1117.884</v>
      </c>
      <c r="W144" t="inlineStr">
        <is>
          <t>Above 75 DMA</t>
        </is>
      </c>
    </row>
    <row r="145">
      <c r="A145" s="23">
        <v>46239.0</v>
      </c>
      <c r="B145" s="25" t="str">
        <f t="shared" si="6"/>
        <v>Wednesday</v>
      </c>
      <c r="C145" s="25" t="s">
        <v>347</v>
      </c>
      <c r="D145" s="31">
        <f>IFERROR(__xludf.DUMMYFUNCTION("GOOGLEFINANCE(""NSE:""&amp;UPPER(TRIM(E145)),""marketcap"")/10000000"),4000.1605169)</f>
        <v>4000.160517</v>
      </c>
      <c r="E145" s="7" t="s">
        <v>445</v>
      </c>
      <c r="F145" s="39">
        <f>IFERROR(__xludf.DUMMYFUNCTION("IF(OR(E145="""",A145=""""),"""",
 IF(
   DATE(VALUE(RIGHT(A145,4)),VALUE(MID(A145,4,2)),VALUE(LEFT(A145,2)))&gt;=TODAY(),
   IFERROR(
     GOOGLEFINANCE(""NSE:""&amp;UPPER(TRIM(E145)),""price""),
     ""Not Available""
   ),
   IFERROR(
     INDEX(
       GOOGLE"&amp;"FINANCE(
         ""NSE:""&amp;UPPER(TRIM(E145)),
         ""close"",
         DATE(VALUE(RIGHT(A145,4)),VALUE(MID(A145,4,2)),VALUE(LEFT(A145,2))),
         DATE(VALUE(RIGHT(A145,4)),VALUE(MID(A145,4,2)),VALUE(LEFT(A145,2)))+1
       ),
       2,2
     ),
   "&amp;"  ""Not Available""
   )
 ))"),233.24)</f>
        <v>233.24</v>
      </c>
      <c r="G145" s="42">
        <f>IFERROR(__xludf.DUMMYFUNCTION("IF(E145="""","""",IFERROR(GOOGLEFINANCE(""NSE:""&amp;UPPER(TRIM(E145)),""price""),""Not Available""))"),198.46)</f>
        <v>198.46</v>
      </c>
      <c r="H145" s="53">
        <f t="shared" si="1"/>
        <v>50</v>
      </c>
      <c r="I145" s="58">
        <f t="shared" si="2"/>
        <v>-0.1491167896</v>
      </c>
      <c r="J145" s="60">
        <f t="shared" si="3"/>
        <v>-14911.67896</v>
      </c>
      <c r="K145" s="7">
        <v>273.0</v>
      </c>
      <c r="L145" s="7">
        <v>179.0</v>
      </c>
      <c r="M145" s="68">
        <f t="shared" si="4"/>
        <v>0.1704681873</v>
      </c>
      <c r="N145" s="68">
        <f t="shared" si="5"/>
        <v>-0.2325501629</v>
      </c>
      <c r="O145" s="68">
        <v>0.0124764191391</v>
      </c>
      <c r="P145" s="23">
        <v>46244</v>
      </c>
      <c r="Q145" s="68">
        <v>0.0795466933355</v>
      </c>
      <c r="R145" s="68">
        <v>0.6673</v>
      </c>
      <c r="S145" s="23">
        <v>46203</v>
      </c>
      <c r="T145" s="23">
        <v>46239</v>
      </c>
      <c r="U145" s="39">
        <v>233.24</v>
      </c>
      <c r="V145" s="39">
        <v>231.789866667</v>
      </c>
      <c r="W145" t="inlineStr">
        <is>
          <t>Above 75 DMA</t>
        </is>
      </c>
    </row>
    <row r="146">
      <c r="A146" s="23">
        <v>46239.0</v>
      </c>
      <c r="B146" s="25" t="str">
        <f t="shared" si="6"/>
        <v>Wednesday</v>
      </c>
      <c r="C146" s="25" t="s">
        <v>347</v>
      </c>
      <c r="D146" s="31">
        <f>IFERROR(__xludf.DUMMYFUNCTION("GOOGLEFINANCE(""NSE:""&amp;UPPER(TRIM(E146)),""marketcap"")/10000000"),1426.9992837)</f>
        <v>1426.999284</v>
      </c>
      <c r="E146" s="7" t="s">
        <v>446</v>
      </c>
      <c r="F146" s="39">
        <f>IFERROR(__xludf.DUMMYFUNCTION("IF(OR(E146="""",A146=""""),"""",
 IF(
   DATE(VALUE(RIGHT(A146,4)),VALUE(MID(A146,4,2)),VALUE(LEFT(A146,2)))&gt;=TODAY(),
   IFERROR(
     GOOGLEFINANCE(""NSE:""&amp;UPPER(TRIM(E146)),""price""),
     ""Not Available""
   ),
   IFERROR(
     INDEX(
       GOOGLE"&amp;"FINANCE(
         ""NSE:""&amp;UPPER(TRIM(E146)),
         ""close"",
         DATE(VALUE(RIGHT(A146,4)),VALUE(MID(A146,4,2)),VALUE(LEFT(A146,2))),
         DATE(VALUE(RIGHT(A146,4)),VALUE(MID(A146,4,2)),VALUE(LEFT(A146,2)))+1
       ),
       2,2
     ),
   "&amp;"  ""Not Available""
   )
 ))"),132.14)</f>
        <v>132.14</v>
      </c>
      <c r="G146" s="42">
        <f>IFERROR(__xludf.DUMMYFUNCTION("IF(E146="""","""",IFERROR(GOOGLEFINANCE(""NSE:""&amp;UPPER(TRIM(E146)),""price""),""Not Available""))"),126.1)</f>
        <v>126.1</v>
      </c>
      <c r="H146" s="53">
        <f t="shared" si="1"/>
        <v>50</v>
      </c>
      <c r="I146" s="58">
        <f t="shared" si="2"/>
        <v>-0.04570909641</v>
      </c>
      <c r="J146" s="60">
        <f t="shared" si="3"/>
        <v>-4570.909641</v>
      </c>
      <c r="K146" s="7">
        <v>158.0</v>
      </c>
      <c r="L146" s="7">
        <v>52.0</v>
      </c>
      <c r="M146" s="68">
        <f t="shared" si="4"/>
        <v>0.1957015287</v>
      </c>
      <c r="N146" s="68">
        <f t="shared" si="5"/>
        <v>-0.6064779779</v>
      </c>
      <c r="O146" s="68">
        <v>0.207809898592</v>
      </c>
      <c r="P146" s="23">
        <v>46273</v>
      </c>
      <c r="Q146" s="68">
        <v>0.146626979164</v>
      </c>
      <c r="R146" s="68">
        <v>0.523</v>
      </c>
      <c r="S146" s="23">
        <v>46203</v>
      </c>
      <c r="T146" s="23">
        <v>46239</v>
      </c>
      <c r="U146" s="39">
        <v>132.14</v>
      </c>
      <c r="V146" s="39">
        <v>111.896133333</v>
      </c>
      <c r="W146" t="inlineStr">
        <is>
          <t>Above 75 DMA</t>
        </is>
      </c>
    </row>
    <row r="147">
      <c r="A147" s="23">
        <v>46239.0</v>
      </c>
      <c r="B147" s="25" t="str">
        <f t="shared" si="6"/>
        <v>Wednesday</v>
      </c>
      <c r="C147" s="25" t="s">
        <v>347</v>
      </c>
      <c r="D147" s="31">
        <f>IFERROR(__xludf.DUMMYFUNCTION("GOOGLEFINANCE(""NSE:""&amp;UPPER(TRIM(E147)),""marketcap"")/10000000"),2643.31926)</f>
        <v>2643.31926</v>
      </c>
      <c r="E147" s="7" t="s">
        <v>354</v>
      </c>
      <c r="F147" s="39">
        <f>IFERROR(__xludf.DUMMYFUNCTION("IF(OR(E147="""",A147=""""),"""",
 IF(
   DATE(VALUE(RIGHT(A147,4)),VALUE(MID(A147,4,2)),VALUE(LEFT(A147,2)))&gt;=TODAY(),
   IFERROR(
     GOOGLEFINANCE(""NSE:""&amp;UPPER(TRIM(E147)),""price""),
     ""Not Available""
   ),
   IFERROR(
     INDEX(
       GOOGLE"&amp;"FINANCE(
         ""NSE:""&amp;UPPER(TRIM(E147)),
         ""close"",
         DATE(VALUE(RIGHT(A147,4)),VALUE(MID(A147,4,2)),VALUE(LEFT(A147,2))),
         DATE(VALUE(RIGHT(A147,4)),VALUE(MID(A147,4,2)),VALUE(LEFT(A147,2)))+1
       ),
       2,2
     ),
   "&amp;"  ""Not Available""
   )
 ))"),1972.2)</f>
        <v>1972.2</v>
      </c>
      <c r="G147" s="42">
        <f>IFERROR(__xludf.DUMMYFUNCTION("IF(E147="""","""",IFERROR(GOOGLEFINANCE(""NSE:""&amp;UPPER(TRIM(E147)),""price""),""Not Available""))"),1740.0)</f>
        <v>1740</v>
      </c>
      <c r="H147" s="53">
        <f t="shared" si="1"/>
        <v>50</v>
      </c>
      <c r="I147" s="58">
        <f t="shared" si="2"/>
        <v>-0.1177365379</v>
      </c>
      <c r="J147" s="60">
        <f t="shared" si="3"/>
        <v>-11773.65379</v>
      </c>
      <c r="K147" s="7">
        <v>1874.0</v>
      </c>
      <c r="L147" s="7">
        <v>789.0</v>
      </c>
      <c r="M147" s="68">
        <f t="shared" si="4"/>
        <v>-0.04979211033</v>
      </c>
      <c r="N147" s="68">
        <f t="shared" si="5"/>
        <v>-0.5999391542</v>
      </c>
      <c r="O147" s="68">
        <v>0.0333130514147</v>
      </c>
      <c r="P147" s="23">
        <v>46248</v>
      </c>
      <c r="Q147" s="68">
        <v>0.0941347106269</v>
      </c>
      <c r="R147" s="68">
        <v>0.4295</v>
      </c>
      <c r="S147" s="23">
        <v>46203</v>
      </c>
      <c r="T147" s="23">
        <v>46239</v>
      </c>
      <c r="U147" s="39">
        <v>1972.2</v>
      </c>
      <c r="V147" s="39">
        <v>1901.63866667</v>
      </c>
      <c r="W147" t="inlineStr">
        <is>
          <t>Above 75 DMA</t>
        </is>
      </c>
    </row>
    <row r="148">
      <c r="A148" s="23">
        <v>46239.0</v>
      </c>
      <c r="B148" s="25" t="str">
        <f t="shared" si="6"/>
        <v>Wednesday</v>
      </c>
      <c r="C148" s="25" t="s">
        <v>347</v>
      </c>
      <c r="D148" s="31">
        <f>IFERROR(__xludf.DUMMYFUNCTION("GOOGLEFINANCE(""NSE:""&amp;UPPER(TRIM(E148)),""marketcap"")/10000000"),324.4185313)</f>
        <v>324.4185313</v>
      </c>
      <c r="E148" s="7" t="s">
        <v>447</v>
      </c>
      <c r="F148" s="39">
        <f>IFERROR(__xludf.DUMMYFUNCTION("IF(OR(E148="""",A148=""""),"""",
 IF(
   DATE(VALUE(RIGHT(A148,4)),VALUE(MID(A148,4,2)),VALUE(LEFT(A148,2)))&gt;=TODAY(),
   IFERROR(
     GOOGLEFINANCE(""NSE:""&amp;UPPER(TRIM(E148)),""price""),
     ""Not Available""
   ),
   IFERROR(
     INDEX(
       GOOGLE"&amp;"FINANCE(
         ""NSE:""&amp;UPPER(TRIM(E148)),
         ""close"",
         DATE(VALUE(RIGHT(A148,4)),VALUE(MID(A148,4,2)),VALUE(LEFT(A148,2))),
         DATE(VALUE(RIGHT(A148,4)),VALUE(MID(A148,4,2)),VALUE(LEFT(A148,2)))+1
       ),
       2,2
     ),
   "&amp;"  ""Not Available""
   )
 ))"),150.79)</f>
        <v>150.79</v>
      </c>
      <c r="G148" s="42">
        <f>IFERROR(__xludf.DUMMYFUNCTION("IF(E148="""","""",IFERROR(GOOGLEFINANCE(""NSE:""&amp;UPPER(TRIM(E148)),""price""),""Not Available""))"),134.52)</f>
        <v>134.52</v>
      </c>
      <c r="H148" s="53">
        <f t="shared" si="1"/>
        <v>50</v>
      </c>
      <c r="I148" s="58">
        <f t="shared" si="2"/>
        <v>-0.1078984018</v>
      </c>
      <c r="J148" s="60">
        <f t="shared" si="3"/>
        <v>-10789.84018</v>
      </c>
      <c r="K148" s="7">
        <v>205.0</v>
      </c>
      <c r="L148" s="7">
        <v>111.0</v>
      </c>
      <c r="M148" s="68">
        <f t="shared" si="4"/>
        <v>0.3595065986</v>
      </c>
      <c r="N148" s="68">
        <f t="shared" si="5"/>
        <v>-0.2638769149</v>
      </c>
      <c r="O148" s="68">
        <v>0.235493069832</v>
      </c>
      <c r="P148" s="23">
        <v>46241</v>
      </c>
      <c r="Q148" s="68">
        <v>0.0414880425155</v>
      </c>
      <c r="R148" s="68">
        <v>0.3387</v>
      </c>
      <c r="S148" s="23">
        <v>46203</v>
      </c>
      <c r="T148" s="23">
        <v>46239</v>
      </c>
      <c r="U148" s="39">
        <v>150.79</v>
      </c>
      <c r="V148" s="39">
        <v>146.842</v>
      </c>
      <c r="W148" t="inlineStr">
        <is>
          <t>Above 75 DMA</t>
        </is>
      </c>
    </row>
    <row r="149">
      <c r="A149" s="23">
        <v>46239.0</v>
      </c>
      <c r="B149" s="25" t="str">
        <f t="shared" si="6"/>
        <v>Wednesday</v>
      </c>
      <c r="C149" s="25" t="s">
        <v>347</v>
      </c>
      <c r="D149" s="31">
        <f>IFERROR(__xludf.DUMMYFUNCTION("GOOGLEFINANCE(""NSE:""&amp;UPPER(TRIM(E149)),""marketcap"")/10000000"),2875.0843589)</f>
        <v>2875.084359</v>
      </c>
      <c r="E149" s="7" t="s">
        <v>110</v>
      </c>
      <c r="F149" s="39">
        <f>IFERROR(__xludf.DUMMYFUNCTION("IF(OR(E149="""",A149=""""),"""",
 IF(
   DATE(VALUE(RIGHT(A149,4)),VALUE(MID(A149,4,2)),VALUE(LEFT(A149,2)))&gt;=TODAY(),
   IFERROR(
     GOOGLEFINANCE(""NSE:""&amp;UPPER(TRIM(E149)),""price""),
     ""Not Available""
   ),
   IFERROR(
     INDEX(
       GOOGLE"&amp;"FINANCE(
         ""NSE:""&amp;UPPER(TRIM(E149)),
         ""close"",
         DATE(VALUE(RIGHT(A149,4)),VALUE(MID(A149,4,2)),VALUE(LEFT(A149,2))),
         DATE(VALUE(RIGHT(A149,4)),VALUE(MID(A149,4,2)),VALUE(LEFT(A149,2)))+1
       ),
       2,2
     ),
   "&amp;"  ""Not Available""
   )
 ))"),274.65)</f>
        <v>274.65</v>
      </c>
      <c r="G149" s="42">
        <f>IFERROR(__xludf.DUMMYFUNCTION("IF(E149="""","""",IFERROR(GOOGLEFINANCE(""NSE:""&amp;UPPER(TRIM(E149)),""price""),""Not Available""))"),259.55)</f>
        <v>259.55</v>
      </c>
      <c r="H149" s="53">
        <f t="shared" si="1"/>
        <v>50</v>
      </c>
      <c r="I149" s="58">
        <f t="shared" si="2"/>
        <v>-0.05497906426</v>
      </c>
      <c r="J149" s="60">
        <f t="shared" si="3"/>
        <v>-5497.906426</v>
      </c>
      <c r="K149" s="7">
        <v>356.0</v>
      </c>
      <c r="L149" s="7">
        <v>173.0</v>
      </c>
      <c r="M149" s="68">
        <f t="shared" si="4"/>
        <v>0.2961951575</v>
      </c>
      <c r="N149" s="68">
        <f t="shared" si="5"/>
        <v>-0.3701074094</v>
      </c>
      <c r="O149" s="68">
        <v>0.103222282906</v>
      </c>
      <c r="P149" s="23">
        <v>46261</v>
      </c>
      <c r="Q149" s="68">
        <v>0.0611627006893</v>
      </c>
      <c r="R149" s="68">
        <v>0.6095</v>
      </c>
      <c r="S149" s="23">
        <v>46203</v>
      </c>
      <c r="T149" s="23">
        <v>46239</v>
      </c>
      <c r="U149" s="39">
        <v>274.65</v>
      </c>
      <c r="V149" s="39">
        <v>268.264666667</v>
      </c>
      <c r="W149" t="inlineStr">
        <is>
          <t>Above 75 DMA</t>
        </is>
      </c>
    </row>
    <row r="150">
      <c r="A150" s="23">
        <v>46239.0</v>
      </c>
      <c r="B150" s="25" t="str">
        <f t="shared" si="6"/>
        <v>Wednesday</v>
      </c>
      <c r="C150" s="25" t="s">
        <v>347</v>
      </c>
      <c r="D150" s="31">
        <f>IFERROR(__xludf.DUMMYFUNCTION("GOOGLEFINANCE(""NSE:""&amp;UPPER(TRIM(E150)),""marketcap"")/10000000"),7240.0798338)</f>
        <v>7240.079834</v>
      </c>
      <c r="E150" s="7" t="s">
        <v>448</v>
      </c>
      <c r="F150" s="39">
        <f>IFERROR(__xludf.DUMMYFUNCTION("IF(OR(E150="""",A150=""""),"""",
 IF(
   DATE(VALUE(RIGHT(A150,4)),VALUE(MID(A150,4,2)),VALUE(LEFT(A150,2)))&gt;=TODAY(),
   IFERROR(
     GOOGLEFINANCE(""NSE:""&amp;UPPER(TRIM(E150)),""price""),
     ""Not Available""
   ),
   IFERROR(
     INDEX(
       GOOGLE"&amp;"FINANCE(
         ""NSE:""&amp;UPPER(TRIM(E150)),
         ""close"",
         DATE(VALUE(RIGHT(A150,4)),VALUE(MID(A150,4,2)),VALUE(LEFT(A150,2))),
         DATE(VALUE(RIGHT(A150,4)),VALUE(MID(A150,4,2)),VALUE(LEFT(A150,2)))+1
       ),
       2,2
     ),
   "&amp;"  ""Not Available""
   )
 ))"),472.9)</f>
        <v>472.9</v>
      </c>
      <c r="G150" s="42">
        <f>IFERROR(__xludf.DUMMYFUNCTION("IF(E150="""","""",IFERROR(GOOGLEFINANCE(""NSE:""&amp;UPPER(TRIM(E150)),""price""),""Not Available""))"),373.9)</f>
        <v>373.9</v>
      </c>
      <c r="H150" s="53">
        <f t="shared" si="1"/>
        <v>50</v>
      </c>
      <c r="I150" s="58">
        <f t="shared" si="2"/>
        <v>-0.2093465849</v>
      </c>
      <c r="J150" s="60">
        <f t="shared" si="3"/>
        <v>-20934.65849</v>
      </c>
      <c r="K150" s="7">
        <v>509.0</v>
      </c>
      <c r="L150" s="7">
        <v>358.0</v>
      </c>
      <c r="M150" s="68">
        <f t="shared" si="4"/>
        <v>0.07633749207</v>
      </c>
      <c r="N150" s="68">
        <f t="shared" si="5"/>
        <v>-0.2429689152</v>
      </c>
      <c r="O150" s="68">
        <v>0.0150137449778</v>
      </c>
      <c r="P150" s="23">
        <v>46240</v>
      </c>
      <c r="Q150" s="68">
        <v>0.049602384252</v>
      </c>
      <c r="R150" s="68">
        <v>0.6255</v>
      </c>
      <c r="S150" s="23">
        <v>46203</v>
      </c>
      <c r="T150" s="23">
        <v>46239</v>
      </c>
      <c r="U150" s="39">
        <v>472.9</v>
      </c>
      <c r="V150" s="39">
        <v>469.910666667</v>
      </c>
      <c r="W150" t="inlineStr">
        <is>
          <t>Above 75 DMA</t>
        </is>
      </c>
    </row>
    <row r="151">
      <c r="A151" s="23">
        <v>46239.0</v>
      </c>
      <c r="B151" s="25" t="str">
        <f t="shared" si="6"/>
        <v>Wednesday</v>
      </c>
      <c r="C151" s="25" t="s">
        <v>347</v>
      </c>
      <c r="D151" s="31">
        <f>IFERROR(__xludf.DUMMYFUNCTION("GOOGLEFINANCE(""NSE:""&amp;UPPER(TRIM(E151)),""marketcap"")/10000000"),14858.1724773)</f>
        <v>14858.17248</v>
      </c>
      <c r="E151" s="7" t="s">
        <v>87</v>
      </c>
      <c r="F151" s="39">
        <f>IFERROR(__xludf.DUMMYFUNCTION("IF(OR(E151="""",A151=""""),"""",
 IF(
   DATE(VALUE(RIGHT(A151,4)),VALUE(MID(A151,4,2)),VALUE(LEFT(A151,2)))&gt;=TODAY(),
   IFERROR(
     GOOGLEFINANCE(""NSE:""&amp;UPPER(TRIM(E151)),""price""),
     ""Not Available""
   ),
   IFERROR(
     INDEX(
       GOOGLE"&amp;"FINANCE(
         ""NSE:""&amp;UPPER(TRIM(E151)),
         ""close"",
         DATE(VALUE(RIGHT(A151,4)),VALUE(MID(A151,4,2)),VALUE(LEFT(A151,2))),
         DATE(VALUE(RIGHT(A151,4)),VALUE(MID(A151,4,2)),VALUE(LEFT(A151,2)))+1
       ),
       2,2
     ),
   "&amp;"  ""Not Available""
   )
 ))"),545.1)</f>
        <v>545.1</v>
      </c>
      <c r="G151" s="42">
        <f>IFERROR(__xludf.DUMMYFUNCTION("IF(E151="""","""",IFERROR(GOOGLEFINANCE(""NSE:""&amp;UPPER(TRIM(E151)),""price""),""Not Available""))"),567.55)</f>
        <v>567.55</v>
      </c>
      <c r="H151" s="53">
        <f t="shared" si="1"/>
        <v>50</v>
      </c>
      <c r="I151" s="58">
        <f t="shared" si="2"/>
        <v>0.04118510365</v>
      </c>
      <c r="J151" s="60">
        <f t="shared" si="3"/>
        <v>4118.510365</v>
      </c>
      <c r="K151" s="7">
        <v>487.0</v>
      </c>
      <c r="L151" s="7">
        <v>364.0</v>
      </c>
      <c r="M151" s="68">
        <f t="shared" si="4"/>
        <v>-0.1065859475</v>
      </c>
      <c r="N151" s="68">
        <f t="shared" si="5"/>
        <v>-0.3322326179</v>
      </c>
      <c r="O151" s="68">
        <v>0.113832324344</v>
      </c>
      <c r="P151" s="23">
        <v>46274</v>
      </c>
      <c r="Q151" s="68">
        <v>0.147437034249</v>
      </c>
      <c r="R151" s="68">
        <v>0.3953</v>
      </c>
      <c r="S151" s="23">
        <v>46203</v>
      </c>
      <c r="T151" s="23">
        <v>46239</v>
      </c>
      <c r="U151" s="39">
        <v>545.1</v>
      </c>
      <c r="V151" s="39">
        <v>489.998</v>
      </c>
      <c r="W151" t="inlineStr">
        <is>
          <t>Above 75 DMA</t>
        </is>
      </c>
    </row>
    <row r="152">
      <c r="A152" s="23">
        <v>46239.0</v>
      </c>
      <c r="B152" s="25" t="str">
        <f t="shared" si="6"/>
        <v>Wednesday</v>
      </c>
      <c r="C152" s="25" t="s">
        <v>347</v>
      </c>
      <c r="D152" s="31">
        <f>IFERROR(__xludf.DUMMYFUNCTION("GOOGLEFINANCE(""NSE:""&amp;UPPER(TRIM(E152)),""marketcap"")/10000000"),278.4516706)</f>
        <v>278.4516706</v>
      </c>
      <c r="E152" s="7" t="s">
        <v>453</v>
      </c>
      <c r="F152" s="39">
        <f>IFERROR(__xludf.DUMMYFUNCTION("IF(OR(E152="""",A152=""""),"""",
 IF(
   DATE(VALUE(RIGHT(A152,4)),VALUE(MID(A152,4,2)),VALUE(LEFT(A152,2)))&gt;=TODAY(),
   IFERROR(
     GOOGLEFINANCE(""NSE:""&amp;UPPER(TRIM(E152)),""price""),
     ""Not Available""
   ),
   IFERROR(
     INDEX(
       GOOGLE"&amp;"FINANCE(
         ""NSE:""&amp;UPPER(TRIM(E152)),
         ""close"",
         DATE(VALUE(RIGHT(A152,4)),VALUE(MID(A152,4,2)),VALUE(LEFT(A152,2))),
         DATE(VALUE(RIGHT(A152,4)),VALUE(MID(A152,4,2)),VALUE(LEFT(A152,2)))+1
       ),
       2,2
     ),
   "&amp;"  ""Not Available""
   )
 ))"),428.95)</f>
        <v>428.95</v>
      </c>
      <c r="G152" s="42">
        <f>IFERROR(__xludf.DUMMYFUNCTION("IF(E152="""","""",IFERROR(GOOGLEFINANCE(""NSE:""&amp;UPPER(TRIM(E152)),""price""),""Not Available""))"),222.55)</f>
        <v>222.55</v>
      </c>
      <c r="H152" s="53">
        <f t="shared" si="1"/>
        <v>50</v>
      </c>
      <c r="I152" s="58">
        <f t="shared" si="2"/>
        <v>-0.4811749621</v>
      </c>
      <c r="J152" s="60">
        <f t="shared" si="3"/>
        <v>-48117.49621</v>
      </c>
      <c r="K152" s="7">
        <v>304.0</v>
      </c>
      <c r="L152" s="7">
        <v>479.0</v>
      </c>
      <c r="M152" s="68">
        <f t="shared" si="4"/>
        <v>-0.2912926915</v>
      </c>
      <c r="N152" s="68">
        <f t="shared" si="5"/>
        <v>0.1166802658</v>
      </c>
      <c r="O152" s="68">
        <v>0.0440610793799</v>
      </c>
      <c r="P152" s="23">
        <v>46241</v>
      </c>
      <c r="Q152" s="68">
        <v>0.244889241472</v>
      </c>
      <c r="R152" s="68">
        <v>0.4753</v>
      </c>
      <c r="S152" s="23">
        <v>46203</v>
      </c>
      <c r="T152" s="23">
        <v>46239</v>
      </c>
      <c r="U152" s="39">
        <v>428.95</v>
      </c>
      <c r="V152" s="39">
        <v>383.703333333</v>
      </c>
      <c r="W152" t="inlineStr">
        <is>
          <t>Above 75 DMA</t>
        </is>
      </c>
    </row>
    <row r="153">
      <c r="A153" s="23">
        <v>46239.0</v>
      </c>
      <c r="B153" s="25" t="str">
        <f t="shared" si="6"/>
        <v>Wednesday</v>
      </c>
      <c r="C153" s="25" t="s">
        <v>347</v>
      </c>
      <c r="D153" s="31">
        <f>IFERROR(__xludf.DUMMYFUNCTION("GOOGLEFINANCE(""NSE:""&amp;UPPER(TRIM(E153)),""marketcap"")/10000000"),1758.618128)</f>
        <v>1758.618128</v>
      </c>
      <c r="E153" s="7" t="s">
        <v>455</v>
      </c>
      <c r="F153" s="39">
        <f>IFERROR(__xludf.DUMMYFUNCTION("IF(OR(E153="""",A153=""""),"""",
 IF(
   DATE(VALUE(RIGHT(A153,4)),VALUE(MID(A153,4,2)),VALUE(LEFT(A153,2)))&gt;=TODAY(),
   IFERROR(
     GOOGLEFINANCE(""NSE:""&amp;UPPER(TRIM(E153)),""price""),
     ""Not Available""
   ),
   IFERROR(
     INDEX(
       GOOGLE"&amp;"FINANCE(
         ""NSE:""&amp;UPPER(TRIM(E153)),
         ""close"",
         DATE(VALUE(RIGHT(A153,4)),VALUE(MID(A153,4,2)),VALUE(LEFT(A153,2))),
         DATE(VALUE(RIGHT(A153,4)),VALUE(MID(A153,4,2)),VALUE(LEFT(A153,2)))+1
       ),
       2,2
     ),
   "&amp;"  ""Not Available""
   )
 ))"),347.95)</f>
        <v>347.95</v>
      </c>
      <c r="G153" s="42">
        <f>IFERROR(__xludf.DUMMYFUNCTION("IF(E153="""","""",IFERROR(GOOGLEFINANCE(""NSE:""&amp;UPPER(TRIM(E153)),""price""),""Not Available""))"),273.5)</f>
        <v>273.5</v>
      </c>
      <c r="H153" s="53">
        <f t="shared" si="1"/>
        <v>50</v>
      </c>
      <c r="I153" s="58">
        <f t="shared" si="2"/>
        <v>-0.2139675241</v>
      </c>
      <c r="J153" s="60">
        <f t="shared" si="3"/>
        <v>-21396.75241</v>
      </c>
      <c r="K153" s="7">
        <v>387.0</v>
      </c>
      <c r="L153" s="7">
        <v>160.0</v>
      </c>
      <c r="M153" s="68">
        <f t="shared" si="4"/>
        <v>0.1122287685</v>
      </c>
      <c r="N153" s="68">
        <f t="shared" si="5"/>
        <v>-0.5401638166</v>
      </c>
      <c r="O153" s="68">
        <v>0.00876562724529</v>
      </c>
      <c r="P153" s="23">
        <v>46240</v>
      </c>
      <c r="Q153" s="68">
        <v>0.131485045608</v>
      </c>
      <c r="R153" s="68">
        <v>0.7266</v>
      </c>
      <c r="S153" s="23">
        <v>46203</v>
      </c>
      <c r="T153" s="23">
        <v>46239</v>
      </c>
      <c r="U153" s="39">
        <v>347.95</v>
      </c>
      <c r="V153" s="39">
        <v>356.77</v>
      </c>
      <c r="W153" t="inlineStr">
        <is>
          <t>Below 75 DMA</t>
        </is>
      </c>
    </row>
    <row r="154">
      <c r="A154" s="23">
        <v>46239.0</v>
      </c>
      <c r="B154" s="25" t="str">
        <f t="shared" si="6"/>
        <v>Wednesday</v>
      </c>
      <c r="C154" s="25" t="s">
        <v>347</v>
      </c>
      <c r="D154" s="31">
        <f>IFERROR(__xludf.DUMMYFUNCTION("GOOGLEFINANCE(""NSE:""&amp;UPPER(TRIM(E154)),""marketcap"")/10000000"),17105.2219)</f>
        <v>17105.2219</v>
      </c>
      <c r="E154" s="7" t="s">
        <v>456</v>
      </c>
      <c r="F154" s="39">
        <f>IFERROR(__xludf.DUMMYFUNCTION("IF(OR(E154="""",A154=""""),"""",
 IF(
   DATE(VALUE(RIGHT(A154,4)),VALUE(MID(A154,4,2)),VALUE(LEFT(A154,2)))&gt;=TODAY(),
   IFERROR(
     GOOGLEFINANCE(""NSE:""&amp;UPPER(TRIM(E154)),""price""),
     ""Not Available""
   ),
   IFERROR(
     INDEX(
       GOOGLE"&amp;"FINANCE(
         ""NSE:""&amp;UPPER(TRIM(E154)),
         ""close"",
         DATE(VALUE(RIGHT(A154,4)),VALUE(MID(A154,4,2)),VALUE(LEFT(A154,2))),
         DATE(VALUE(RIGHT(A154,4)),VALUE(MID(A154,4,2)),VALUE(LEFT(A154,2)))+1
       ),
       2,2
     ),
   "&amp;"  ""Not Available""
   )
 ))"),1594.4)</f>
        <v>1594.4</v>
      </c>
      <c r="G154" s="42">
        <f>IFERROR(__xludf.DUMMYFUNCTION("IF(E154="""","""",IFERROR(GOOGLEFINANCE(""NSE:""&amp;UPPER(TRIM(E154)),""price""),""Not Available""))"),1354.7)</f>
        <v>1354.7</v>
      </c>
      <c r="H154" s="53">
        <f t="shared" si="1"/>
        <v>50</v>
      </c>
      <c r="I154" s="58">
        <f t="shared" si="2"/>
        <v>-0.1503386854</v>
      </c>
      <c r="J154" s="60">
        <f t="shared" si="3"/>
        <v>-15033.86854</v>
      </c>
      <c r="K154" s="7">
        <v>1663.0</v>
      </c>
      <c r="L154" s="7">
        <v>740.0</v>
      </c>
      <c r="M154" s="68">
        <f t="shared" si="4"/>
        <v>0.04302558956</v>
      </c>
      <c r="N154" s="68">
        <f t="shared" si="5"/>
        <v>-0.5358755645</v>
      </c>
      <c r="O154" s="68">
        <v>0.00476668339187</v>
      </c>
      <c r="P154" s="23">
        <v>46240</v>
      </c>
      <c r="Q154" s="68">
        <v>0.119023709561</v>
      </c>
      <c r="R154" s="68">
        <v>0.4563</v>
      </c>
      <c r="S154" s="23">
        <v>46203</v>
      </c>
      <c r="T154" s="23">
        <v>46239</v>
      </c>
      <c r="U154" s="39">
        <v>1594.4</v>
      </c>
      <c r="V154" s="39">
        <v>1461.58933333</v>
      </c>
      <c r="W154" t="inlineStr">
        <is>
          <t>Above 75 DMA</t>
        </is>
      </c>
    </row>
    <row r="155">
      <c r="A155" s="23">
        <v>46239.0</v>
      </c>
      <c r="B155" s="25" t="str">
        <f t="shared" si="6"/>
        <v>Wednesday</v>
      </c>
      <c r="C155" s="25" t="s">
        <v>347</v>
      </c>
      <c r="D155" s="31">
        <f>IFERROR(__xludf.DUMMYFUNCTION("GOOGLEFINANCE(""NSE:""&amp;UPPER(TRIM(E155)),""marketcap"")/10000000"),15731.823315)</f>
        <v>15731.82332</v>
      </c>
      <c r="E155" s="7" t="s">
        <v>457</v>
      </c>
      <c r="F155" s="39">
        <f>IFERROR(__xludf.DUMMYFUNCTION("IF(OR(E155="""",A155=""""),"""",
 IF(
   DATE(VALUE(RIGHT(A155,4)),VALUE(MID(A155,4,2)),VALUE(LEFT(A155,2)))&gt;=TODAY(),
   IFERROR(
     GOOGLEFINANCE(""NSE:""&amp;UPPER(TRIM(E155)),""price""),
     ""Not Available""
   ),
   IFERROR(
     INDEX(
       GOOGLE"&amp;"FINANCE(
         ""NSE:""&amp;UPPER(TRIM(E155)),
         ""close"",
         DATE(VALUE(RIGHT(A155,4)),VALUE(MID(A155,4,2)),VALUE(LEFT(A155,2))),
         DATE(VALUE(RIGHT(A155,4)),VALUE(MID(A155,4,2)),VALUE(LEFT(A155,2)))+1
       ),
       2,2
     ),
   "&amp;"  ""Not Available""
   )
 ))"),520.25)</f>
        <v>520.25</v>
      </c>
      <c r="G155" s="42">
        <f>IFERROR(__xludf.DUMMYFUNCTION("IF(E155="""","""",IFERROR(GOOGLEFINANCE(""NSE:""&amp;UPPER(TRIM(E155)),""price""),""Not Available""))"),516.75)</f>
        <v>516.75</v>
      </c>
      <c r="H155" s="53">
        <f t="shared" si="1"/>
        <v>50</v>
      </c>
      <c r="I155" s="58">
        <f t="shared" si="2"/>
        <v>-0.006727534839</v>
      </c>
      <c r="J155" s="60">
        <f t="shared" si="3"/>
        <v>-672.7534839</v>
      </c>
      <c r="K155" s="7">
        <v>469.0</v>
      </c>
      <c r="L155" s="7">
        <v>454.0</v>
      </c>
      <c r="M155" s="68">
        <f t="shared" si="4"/>
        <v>-0.09851033157</v>
      </c>
      <c r="N155" s="68">
        <f t="shared" si="5"/>
        <v>-0.1273426237</v>
      </c>
      <c r="O155" s="68">
        <v>0.0429601153292</v>
      </c>
      <c r="P155" s="23">
        <v>46286</v>
      </c>
      <c r="Q155" s="68">
        <v>0.18937198933</v>
      </c>
      <c r="R155" s="68">
        <v>0.4028</v>
      </c>
      <c r="S155" s="23">
        <v>46203</v>
      </c>
      <c r="T155" s="23">
        <v>46239</v>
      </c>
      <c r="U155" s="39">
        <v>520.25</v>
      </c>
      <c r="V155" s="39">
        <v>485.484</v>
      </c>
      <c r="W155" t="inlineStr">
        <is>
          <t>Above 75 DMA</t>
        </is>
      </c>
    </row>
    <row r="156">
      <c r="A156" s="23">
        <v>46239.0</v>
      </c>
      <c r="B156" s="25" t="str">
        <f t="shared" si="6"/>
        <v>Wednesday</v>
      </c>
      <c r="C156" s="25" t="s">
        <v>347</v>
      </c>
      <c r="D156" s="31">
        <f>IFERROR(__xludf.DUMMYFUNCTION("GOOGLEFINANCE(""NSE:""&amp;UPPER(TRIM(E156)),""marketcap"")/10000000"),10205.0975616)</f>
        <v>10205.09756</v>
      </c>
      <c r="E156" s="7" t="s">
        <v>458</v>
      </c>
      <c r="F156" s="39">
        <f>IFERROR(__xludf.DUMMYFUNCTION("IF(OR(E156="""",A156=""""),"""",
 IF(
   DATE(VALUE(RIGHT(A156,4)),VALUE(MID(A156,4,2)),VALUE(LEFT(A156,2)))&gt;=TODAY(),
   IFERROR(
     GOOGLEFINANCE(""NSE:""&amp;UPPER(TRIM(E156)),""price""),
     ""Not Available""
   ),
   IFERROR(
     INDEX(
       GOOGLE"&amp;"FINANCE(
         ""NSE:""&amp;UPPER(TRIM(E156)),
         ""close"",
         DATE(VALUE(RIGHT(A156,4)),VALUE(MID(A156,4,2)),VALUE(LEFT(A156,2))),
         DATE(VALUE(RIGHT(A156,4)),VALUE(MID(A156,4,2)),VALUE(LEFT(A156,2)))+1
       ),
       2,2
     ),
   "&amp;"  ""Not Available""
   )
 ))"),1399.4)</f>
        <v>1399.4</v>
      </c>
      <c r="G156" s="42">
        <f>IFERROR(__xludf.DUMMYFUNCTION("IF(E156="""","""",IFERROR(GOOGLEFINANCE(""NSE:""&amp;UPPER(TRIM(E156)),""price""),""Not Available""))"),1243.3)</f>
        <v>1243.3</v>
      </c>
      <c r="H156" s="53">
        <f t="shared" si="1"/>
        <v>50</v>
      </c>
      <c r="I156" s="58">
        <f t="shared" si="2"/>
        <v>-0.1115478062</v>
      </c>
      <c r="J156" s="60">
        <f t="shared" si="3"/>
        <v>-11154.78062</v>
      </c>
      <c r="K156" s="7">
        <v>1072.0</v>
      </c>
      <c r="L156" s="7">
        <v>799.0</v>
      </c>
      <c r="M156" s="68">
        <f t="shared" si="4"/>
        <v>-0.2339574103</v>
      </c>
      <c r="N156" s="68">
        <f t="shared" si="5"/>
        <v>-0.4290410176</v>
      </c>
      <c r="O156" s="68">
        <v>0.0154351865085</v>
      </c>
      <c r="P156" s="23">
        <v>46240</v>
      </c>
      <c r="Q156" s="68">
        <v>0.21118891205</v>
      </c>
      <c r="R156" s="68">
        <v>0.5002</v>
      </c>
      <c r="S156" s="23">
        <v>46203</v>
      </c>
      <c r="T156" s="23">
        <v>46239</v>
      </c>
      <c r="U156" s="39">
        <v>1399.4</v>
      </c>
      <c r="V156" s="39">
        <v>1325.90866667</v>
      </c>
      <c r="W156" t="inlineStr">
        <is>
          <t>Above 75 DMA</t>
        </is>
      </c>
    </row>
    <row r="157">
      <c r="A157" s="23">
        <v>46239.0</v>
      </c>
      <c r="B157" s="25" t="str">
        <f t="shared" si="6"/>
        <v>Wednesday</v>
      </c>
      <c r="C157" s="25" t="s">
        <v>347</v>
      </c>
      <c r="D157" s="31">
        <f>IFERROR(__xludf.DUMMYFUNCTION("GOOGLEFINANCE(""NSE:""&amp;UPPER(TRIM(E157)),""marketcap"")/10000000"),420.44711)</f>
        <v>420.44711</v>
      </c>
      <c r="E157" s="7" t="s">
        <v>381</v>
      </c>
      <c r="F157" s="39">
        <f>IFERROR(__xludf.DUMMYFUNCTION("IF(OR(E157="""",A157=""""),"""",
 IF(
   DATE(VALUE(RIGHT(A157,4)),VALUE(MID(A157,4,2)),VALUE(LEFT(A157,2)))&gt;=TODAY(),
   IFERROR(
     GOOGLEFINANCE(""NSE:""&amp;UPPER(TRIM(E157)),""price""),
     ""Not Available""
   ),
   IFERROR(
     INDEX(
       GOOGLE"&amp;"FINANCE(
         ""NSE:""&amp;UPPER(TRIM(E157)),
         ""close"",
         DATE(VALUE(RIGHT(A157,4)),VALUE(MID(A157,4,2)),VALUE(LEFT(A157,2))),
         DATE(VALUE(RIGHT(A157,4)),VALUE(MID(A157,4,2)),VALUE(LEFT(A157,2)))+1
       ),
       2,2
     ),
   "&amp;"  ""Not Available""
   )
 ))"),243.11)</f>
        <v>243.11</v>
      </c>
      <c r="G157" s="42">
        <f>IFERROR(__xludf.DUMMYFUNCTION("IF(E157="""","""",IFERROR(GOOGLEFINANCE(""NSE:""&amp;UPPER(TRIM(E157)),""price""),""Not Available""))"),310.0)</f>
        <v>310</v>
      </c>
      <c r="H157" s="53">
        <f t="shared" si="1"/>
        <v>50</v>
      </c>
      <c r="I157" s="58">
        <f t="shared" si="2"/>
        <v>0.2751429394</v>
      </c>
      <c r="J157" s="60">
        <f t="shared" si="3"/>
        <v>27514.29394</v>
      </c>
      <c r="K157" s="62">
        <v>332.0</v>
      </c>
      <c r="L157" s="62">
        <v>103.0</v>
      </c>
      <c r="M157" s="68">
        <f t="shared" si="4"/>
        <v>0.3656369545</v>
      </c>
      <c r="N157" s="68">
        <f t="shared" si="5"/>
        <v>-0.576323475</v>
      </c>
      <c r="O157" s="68">
        <v>0.457776315248</v>
      </c>
      <c r="P157" s="23">
        <v>46281</v>
      </c>
      <c r="R157" s="68">
        <v>0.4046</v>
      </c>
      <c r="S157" s="23">
        <v>46203</v>
      </c>
      <c r="T157" s="23">
        <v>46239</v>
      </c>
      <c r="U157" s="39">
        <v>243.11</v>
      </c>
      <c r="V157" s="39">
        <v>252.4728</v>
      </c>
      <c r="W157" t="inlineStr">
        <is>
          <t>Below 75 DMA</t>
        </is>
      </c>
    </row>
    <row r="158">
      <c r="A158" s="23">
        <v>46239.0</v>
      </c>
      <c r="B158" s="25" t="str">
        <f t="shared" si="6"/>
        <v>Wednesday</v>
      </c>
      <c r="C158" s="25" t="s">
        <v>347</v>
      </c>
      <c r="D158" s="31">
        <f>IFERROR(__xludf.DUMMYFUNCTION("GOOGLEFINANCE(""NSE:""&amp;UPPER(TRIM(E158)),""marketcap"")/10000000"),951.266546)</f>
        <v>951.266546</v>
      </c>
      <c r="E158" s="7" t="s">
        <v>459</v>
      </c>
      <c r="F158" s="39">
        <f>IFERROR(__xludf.DUMMYFUNCTION("IF(OR(E158="""",A158=""""),"""",
 IF(
   DATE(VALUE(RIGHT(A158,4)),VALUE(MID(A158,4,2)),VALUE(LEFT(A158,2)))&gt;=TODAY(),
   IFERROR(
     GOOGLEFINANCE(""NSE:""&amp;UPPER(TRIM(E158)),""price""),
     ""Not Available""
   ),
   IFERROR(
     INDEX(
       GOOGLE"&amp;"FINANCE(
         ""NSE:""&amp;UPPER(TRIM(E158)),
         ""close"",
         DATE(VALUE(RIGHT(A158,4)),VALUE(MID(A158,4,2)),VALUE(LEFT(A158,2))),
         DATE(VALUE(RIGHT(A158,4)),VALUE(MID(A158,4,2)),VALUE(LEFT(A158,2)))+1
       ),
       2,2
     ),
   "&amp;"  ""Not Available""
   )
 ))"),510.55)</f>
        <v>510.55</v>
      </c>
      <c r="G158" s="42">
        <f>IFERROR(__xludf.DUMMYFUNCTION("IF(E158="""","""",IFERROR(GOOGLEFINANCE(""NSE:""&amp;UPPER(TRIM(E158)),""price""),""Not Available""))"),416.1)</f>
        <v>416.1</v>
      </c>
      <c r="H158" s="53">
        <f t="shared" si="1"/>
        <v>50</v>
      </c>
      <c r="I158" s="58">
        <f t="shared" si="2"/>
        <v>-0.1849965723</v>
      </c>
      <c r="J158" s="60">
        <f t="shared" si="3"/>
        <v>-18499.65723</v>
      </c>
      <c r="K158" s="7">
        <v>515.0</v>
      </c>
      <c r="L158" s="7">
        <v>456.0</v>
      </c>
      <c r="M158" s="68">
        <f t="shared" si="4"/>
        <v>0.008716090491</v>
      </c>
      <c r="N158" s="68">
        <f t="shared" si="5"/>
        <v>-0.1068455587</v>
      </c>
      <c r="O158" s="68">
        <v>0.0504358045245</v>
      </c>
      <c r="P158" s="23">
        <v>46240</v>
      </c>
      <c r="Q158" s="68">
        <v>0.39028542936</v>
      </c>
      <c r="R158" s="68">
        <v>0.7259</v>
      </c>
      <c r="S158" s="23">
        <v>46203</v>
      </c>
      <c r="T158" s="23">
        <v>46239</v>
      </c>
      <c r="U158" s="39">
        <v>510.55</v>
      </c>
      <c r="V158" s="39">
        <v>503.436</v>
      </c>
      <c r="W158" t="inlineStr">
        <is>
          <t>Above 75 DMA</t>
        </is>
      </c>
    </row>
    <row r="159">
      <c r="A159" s="23">
        <v>46239.0</v>
      </c>
      <c r="B159" s="25" t="str">
        <f t="shared" si="6"/>
        <v>Wednesday</v>
      </c>
      <c r="C159" s="25" t="s">
        <v>347</v>
      </c>
      <c r="D159" s="31">
        <f>IFERROR(__xludf.DUMMYFUNCTION("GOOGLEFINANCE(""NSE:""&amp;UPPER(TRIM(E159)),""marketcap"")/10000000"),9225.0332413)</f>
        <v>9225.033241</v>
      </c>
      <c r="E159" s="7" t="s">
        <v>466</v>
      </c>
      <c r="F159" s="39">
        <f>IFERROR(__xludf.DUMMYFUNCTION("IF(OR(E159="""",A159=""""),"""",
 IF(
   DATE(VALUE(RIGHT(A159,4)),VALUE(MID(A159,4,2)),VALUE(LEFT(A159,2)))&gt;=TODAY(),
   IFERROR(
     GOOGLEFINANCE(""NSE:""&amp;UPPER(TRIM(E159)),""price""),
     ""Not Available""
   ),
   IFERROR(
     INDEX(
       GOOGLE"&amp;"FINANCE(
         ""NSE:""&amp;UPPER(TRIM(E159)),
         ""close"",
         DATE(VALUE(RIGHT(A159,4)),VALUE(MID(A159,4,2)),VALUE(LEFT(A159,2))),
         DATE(VALUE(RIGHT(A159,4)),VALUE(MID(A159,4,2)),VALUE(LEFT(A159,2)))+1
       ),
       2,2
     ),
   "&amp;"  ""Not Available""
   )
 ))"),310.6)</f>
        <v>310.6</v>
      </c>
      <c r="G159" s="42">
        <f>IFERROR(__xludf.DUMMYFUNCTION("IF(E159="""","""",IFERROR(GOOGLEFINANCE(""NSE:""&amp;UPPER(TRIM(E159)),""price""),""Not Available""))"),294.3)</f>
        <v>294.3</v>
      </c>
      <c r="H159" s="53">
        <f t="shared" si="1"/>
        <v>50</v>
      </c>
      <c r="I159" s="58">
        <f t="shared" si="2"/>
        <v>-0.05247907276</v>
      </c>
      <c r="J159" s="60">
        <f t="shared" si="3"/>
        <v>-5247.907276</v>
      </c>
      <c r="K159" s="7">
        <v>369.0</v>
      </c>
      <c r="L159" s="7">
        <v>209.0</v>
      </c>
      <c r="M159" s="68">
        <f t="shared" si="4"/>
        <v>0.1880231809</v>
      </c>
      <c r="N159" s="68">
        <f t="shared" si="5"/>
        <v>-0.3271088216</v>
      </c>
      <c r="O159" s="68">
        <v>0.0154539600773</v>
      </c>
      <c r="P159" s="23">
        <v>46240</v>
      </c>
      <c r="Q159" s="68">
        <v>0.0449962712362</v>
      </c>
      <c r="R159" s="68">
        <v>0.5396</v>
      </c>
      <c r="S159" s="23">
        <v>46203</v>
      </c>
      <c r="T159" s="23">
        <v>46239</v>
      </c>
      <c r="U159" s="39">
        <v>310.6</v>
      </c>
      <c r="V159" s="39">
        <v>321.729333333</v>
      </c>
      <c r="W159" t="inlineStr">
        <is>
          <t>Below 75 DMA</t>
        </is>
      </c>
    </row>
    <row r="160">
      <c r="A160" s="23">
        <v>46239.0</v>
      </c>
      <c r="B160" s="25" t="str">
        <f t="shared" si="6"/>
        <v>Wednesday</v>
      </c>
      <c r="C160" s="25" t="s">
        <v>347</v>
      </c>
      <c r="D160" s="31">
        <f>IFERROR(__xludf.DUMMYFUNCTION("GOOGLEFINANCE(""NSE:""&amp;UPPER(TRIM(E160)),""marketcap"")/10000000"),7627.5479856)</f>
        <v>7627.547986</v>
      </c>
      <c r="E160" s="7" t="s">
        <v>469</v>
      </c>
      <c r="F160" s="39">
        <f>IFERROR(__xludf.DUMMYFUNCTION("IF(OR(E160="""",A160=""""),"""",
 IF(
   DATE(VALUE(RIGHT(A160,4)),VALUE(MID(A160,4,2)),VALUE(LEFT(A160,2)))&gt;=TODAY(),
   IFERROR(
     GOOGLEFINANCE(""NSE:""&amp;UPPER(TRIM(E160)),""price""),
     ""Not Available""
   ),
   IFERROR(
     INDEX(
       GOOGLE"&amp;"FINANCE(
         ""NSE:""&amp;UPPER(TRIM(E160)),
         ""close"",
         DATE(VALUE(RIGHT(A160,4)),VALUE(MID(A160,4,2)),VALUE(LEFT(A160,2))),
         DATE(VALUE(RIGHT(A160,4)),VALUE(MID(A160,4,2)),VALUE(LEFT(A160,2)))+1
       ),
       2,2
     ),
   "&amp;"  ""Not Available""
   )
 ))"),416.15)</f>
        <v>416.15</v>
      </c>
      <c r="G160" s="42">
        <f>IFERROR(__xludf.DUMMYFUNCTION("IF(E160="""","""",IFERROR(GOOGLEFINANCE(""NSE:""&amp;UPPER(TRIM(E160)),""price""),""Not Available""))"),407.15)</f>
        <v>407.15</v>
      </c>
      <c r="H160" s="53">
        <f t="shared" si="1"/>
        <v>50</v>
      </c>
      <c r="I160" s="58">
        <f t="shared" si="2"/>
        <v>-0.02162681725</v>
      </c>
      <c r="J160" s="60">
        <f t="shared" si="3"/>
        <v>-2162.681725</v>
      </c>
      <c r="K160" s="7">
        <v>357.0</v>
      </c>
      <c r="L160" s="7">
        <v>269.0</v>
      </c>
      <c r="M160" s="68">
        <f t="shared" si="4"/>
        <v>-0.1421362489</v>
      </c>
      <c r="N160" s="68">
        <f t="shared" si="5"/>
        <v>-0.3535984621</v>
      </c>
      <c r="O160" s="68">
        <v>0.159197404782</v>
      </c>
      <c r="P160" s="23">
        <v>46273</v>
      </c>
      <c r="Q160" s="68">
        <v>0.112990626435</v>
      </c>
      <c r="R160" s="68">
        <v>0.74</v>
      </c>
      <c r="S160" s="23">
        <v>46203</v>
      </c>
      <c r="T160" s="23">
        <v>46239</v>
      </c>
      <c r="U160" s="39">
        <v>416.15</v>
      </c>
      <c r="V160" s="39">
        <v>411.728</v>
      </c>
      <c r="W160" t="inlineStr">
        <is>
          <t>Above 75 DMA</t>
        </is>
      </c>
    </row>
    <row r="161">
      <c r="A161" s="23">
        <v>46239.0</v>
      </c>
      <c r="B161" s="25" t="str">
        <f t="shared" si="6"/>
        <v>Wednesday</v>
      </c>
      <c r="C161" s="25" t="s">
        <v>347</v>
      </c>
      <c r="D161" s="31">
        <f>IFERROR(__xludf.DUMMYFUNCTION("GOOGLEFINANCE(""NSE:""&amp;UPPER(TRIM(E161)),""marketcap"")/10000000"),34360.7279462)</f>
        <v>34360.72795</v>
      </c>
      <c r="E161" s="7" t="s">
        <v>472</v>
      </c>
      <c r="F161" s="39">
        <f>IFERROR(__xludf.DUMMYFUNCTION("IF(OR(E161="""",A161=""""),"""",
 IF(
   DATE(VALUE(RIGHT(A161,4)),VALUE(MID(A161,4,2)),VALUE(LEFT(A161,2)))&gt;=TODAY(),
   IFERROR(
     GOOGLEFINANCE(""NSE:""&amp;UPPER(TRIM(E161)),""price""),
     ""Not Available""
   ),
   IFERROR(
     INDEX(
       GOOGLE"&amp;"FINANCE(
         ""NSE:""&amp;UPPER(TRIM(E161)),
         ""close"",
         DATE(VALUE(RIGHT(A161,4)),VALUE(MID(A161,4,2)),VALUE(LEFT(A161,2))),
         DATE(VALUE(RIGHT(A161,4)),VALUE(MID(A161,4,2)),VALUE(LEFT(A161,2)))+1
       ),
       2,2
     ),
   "&amp;"  ""Not Available""
   )
 ))"),202.84)</f>
        <v>202.84</v>
      </c>
      <c r="G161" s="42">
        <f>IFERROR(__xludf.DUMMYFUNCTION("IF(E161="""","""",IFERROR(GOOGLEFINANCE(""NSE:""&amp;UPPER(TRIM(E161)),""price""),""Not Available""))"),171.85)</f>
        <v>171.85</v>
      </c>
      <c r="H161" s="53">
        <f t="shared" si="1"/>
        <v>50</v>
      </c>
      <c r="I161" s="58">
        <f t="shared" si="2"/>
        <v>-0.1527805167</v>
      </c>
      <c r="J161" s="60">
        <f t="shared" si="3"/>
        <v>-15278.05167</v>
      </c>
      <c r="K161" s="7">
        <v>188.0</v>
      </c>
      <c r="L161" s="7">
        <v>127.0</v>
      </c>
      <c r="M161" s="68">
        <f t="shared" si="4"/>
        <v>-0.07316111221</v>
      </c>
      <c r="N161" s="68">
        <f t="shared" si="5"/>
        <v>-0.3738907513</v>
      </c>
      <c r="O161" s="68">
        <v>0.00690199171761</v>
      </c>
      <c r="P161" s="23">
        <v>46240</v>
      </c>
      <c r="Q161" s="68">
        <v>0.0841218635313</v>
      </c>
      <c r="R161" s="68">
        <v>0.75</v>
      </c>
      <c r="S161" s="23">
        <v>46203</v>
      </c>
      <c r="T161" s="23">
        <v>46239</v>
      </c>
      <c r="U161" s="39">
        <v>202.84</v>
      </c>
      <c r="V161" s="39">
        <v>207.751733333</v>
      </c>
      <c r="W161" t="inlineStr">
        <is>
          <t>Below 75 DMA</t>
        </is>
      </c>
    </row>
    <row r="162">
      <c r="A162" s="23">
        <v>46239.0</v>
      </c>
      <c r="B162" s="25" t="str">
        <f t="shared" si="6"/>
        <v>Wednesday</v>
      </c>
      <c r="C162" s="25" t="s">
        <v>347</v>
      </c>
      <c r="D162" s="31">
        <f>IFERROR(__xludf.DUMMYFUNCTION("GOOGLEFINANCE(""NSE:""&amp;UPPER(TRIM(E162)),""marketcap"")/10000000"),12401.1191446)</f>
        <v>12401.11914</v>
      </c>
      <c r="E162" s="7" t="s">
        <v>474</v>
      </c>
      <c r="F162" s="39">
        <f>IFERROR(__xludf.DUMMYFUNCTION("IF(OR(E162="""",A162=""""),"""",
 IF(
   DATE(VALUE(RIGHT(A162,4)),VALUE(MID(A162,4,2)),VALUE(LEFT(A162,2)))&gt;=TODAY(),
   IFERROR(
     GOOGLEFINANCE(""NSE:""&amp;UPPER(TRIM(E162)),""price""),
     ""Not Available""
   ),
   IFERROR(
     INDEX(
       GOOGLE"&amp;"FINANCE(
         ""NSE:""&amp;UPPER(TRIM(E162)),
         ""close"",
         DATE(VALUE(RIGHT(A162,4)),VALUE(MID(A162,4,2)),VALUE(LEFT(A162,2))),
         DATE(VALUE(RIGHT(A162,4)),VALUE(MID(A162,4,2)),VALUE(LEFT(A162,2)))+1
       ),
       2,2
     ),
   "&amp;"  ""Not Available""
   )
 ))"),1634.5)</f>
        <v>1634.5</v>
      </c>
      <c r="G162" s="42">
        <f>IFERROR(__xludf.DUMMYFUNCTION("IF(E162="""","""",IFERROR(GOOGLEFINANCE(""NSE:""&amp;UPPER(TRIM(E162)),""price""),""Not Available""))"),1612.7)</f>
        <v>1612.7</v>
      </c>
      <c r="H162" s="53">
        <f t="shared" si="1"/>
        <v>50</v>
      </c>
      <c r="I162" s="58">
        <f t="shared" si="2"/>
        <v>-0.01333741205</v>
      </c>
      <c r="J162" s="60">
        <f t="shared" si="3"/>
        <v>-1333.741205</v>
      </c>
      <c r="K162" s="7">
        <v>1311.0</v>
      </c>
      <c r="L162" s="7">
        <v>0.0</v>
      </c>
      <c r="M162" s="68">
        <f t="shared" si="4"/>
        <v>-0.1979198532</v>
      </c>
      <c r="N162" s="68">
        <f t="shared" si="5"/>
        <v>-1</v>
      </c>
      <c r="O162" s="68">
        <v>0.197919853166</v>
      </c>
      <c r="P162" s="23">
        <v>46272</v>
      </c>
      <c r="Q162" s="68">
        <v>0.450931365574</v>
      </c>
      <c r="R162" s="68">
        <v>0.8727</v>
      </c>
      <c r="S162" s="23">
        <v>46203</v>
      </c>
      <c r="T162" s="23">
        <v>46239</v>
      </c>
      <c r="U162" s="39">
        <v>1634.5</v>
      </c>
      <c r="V162" s="39">
        <v>1738.392</v>
      </c>
      <c r="W162" t="inlineStr">
        <is>
          <t>Below 75 DMA</t>
        </is>
      </c>
    </row>
    <row r="163">
      <c r="A163" s="23">
        <v>46239.0</v>
      </c>
      <c r="B163" s="25" t="str">
        <f t="shared" si="6"/>
        <v>Wednesday</v>
      </c>
      <c r="C163" s="25" t="s">
        <v>347</v>
      </c>
      <c r="D163" s="31">
        <f>IFERROR(__xludf.DUMMYFUNCTION("GOOGLEFINANCE(""NSE:""&amp;UPPER(TRIM(E163)),""marketcap"")/10000000"),7236.864374)</f>
        <v>7236.864374</v>
      </c>
      <c r="E163" s="7" t="s">
        <v>477</v>
      </c>
      <c r="F163" s="39">
        <f>IFERROR(__xludf.DUMMYFUNCTION("IF(OR(E163="""",A163=""""),"""",
 IF(
   DATE(VALUE(RIGHT(A163,4)),VALUE(MID(A163,4,2)),VALUE(LEFT(A163,2)))&gt;=TODAY(),
   IFERROR(
     GOOGLEFINANCE(""NSE:""&amp;UPPER(TRIM(E163)),""price""),
     ""Not Available""
   ),
   IFERROR(
     INDEX(
       GOOGLE"&amp;"FINANCE(
         ""NSE:""&amp;UPPER(TRIM(E163)),
         ""close"",
         DATE(VALUE(RIGHT(A163,4)),VALUE(MID(A163,4,2)),VALUE(LEFT(A163,2))),
         DATE(VALUE(RIGHT(A163,4)),VALUE(MID(A163,4,2)),VALUE(LEFT(A163,2)))+1
       ),
       2,2
     ),
   "&amp;"  ""Not Available""
   )
 ))"),547.35)</f>
        <v>547.35</v>
      </c>
      <c r="G163" s="42">
        <f>IFERROR(__xludf.DUMMYFUNCTION("IF(E163="""","""",IFERROR(GOOGLEFINANCE(""NSE:""&amp;UPPER(TRIM(E163)),""price""),""Not Available""))"),571.85)</f>
        <v>571.85</v>
      </c>
      <c r="H163" s="53">
        <f t="shared" si="1"/>
        <v>50</v>
      </c>
      <c r="I163" s="58">
        <f t="shared" si="2"/>
        <v>0.04476112177</v>
      </c>
      <c r="J163" s="60">
        <f t="shared" si="3"/>
        <v>4476.112177</v>
      </c>
      <c r="K163" s="7">
        <v>481.0</v>
      </c>
      <c r="L163" s="7">
        <v>0.0</v>
      </c>
      <c r="M163" s="68">
        <f t="shared" si="4"/>
        <v>-0.1212204257</v>
      </c>
      <c r="N163" s="68">
        <f t="shared" si="5"/>
        <v>-1</v>
      </c>
      <c r="O163" s="68">
        <v>0.0678724764776</v>
      </c>
      <c r="P163" s="23">
        <v>46286</v>
      </c>
      <c r="Q163" s="68">
        <v>0.157874532781</v>
      </c>
      <c r="R163" s="68">
        <v>0.7718</v>
      </c>
      <c r="S163" s="23">
        <v>46203</v>
      </c>
      <c r="T163" s="23">
        <v>46239</v>
      </c>
      <c r="U163" s="39">
        <v>547.35</v>
      </c>
      <c r="V163" s="39">
        <v>536.805333333</v>
      </c>
      <c r="W163" t="inlineStr">
        <is>
          <t>Above 75 DMA</t>
        </is>
      </c>
    </row>
    <row r="164">
      <c r="A164" s="23">
        <v>46239.0</v>
      </c>
      <c r="B164" s="25" t="str">
        <f t="shared" si="6"/>
        <v>Wednesday</v>
      </c>
      <c r="C164" s="25" t="s">
        <v>347</v>
      </c>
      <c r="D164" s="31">
        <f>IFERROR(__xludf.DUMMYFUNCTION("GOOGLEFINANCE(""NSE:""&amp;UPPER(TRIM(E164)),""marketcap"")/10000000"),12053.93616)</f>
        <v>12053.93616</v>
      </c>
      <c r="E164" s="7" t="s">
        <v>370</v>
      </c>
      <c r="F164" s="39">
        <f>IFERROR(__xludf.DUMMYFUNCTION("IF(OR(E164="""",A164=""""),"""",
 IF(
   DATE(VALUE(RIGHT(A164,4)),VALUE(MID(A164,4,2)),VALUE(LEFT(A164,2)))&gt;=TODAY(),
   IFERROR(
     GOOGLEFINANCE(""NSE:""&amp;UPPER(TRIM(E164)),""price""),
     ""Not Available""
   ),
   IFERROR(
     INDEX(
       GOOGLE"&amp;"FINANCE(
         ""NSE:""&amp;UPPER(TRIM(E164)),
         ""close"",
         DATE(VALUE(RIGHT(A164,4)),VALUE(MID(A164,4,2)),VALUE(LEFT(A164,2))),
         DATE(VALUE(RIGHT(A164,4)),VALUE(MID(A164,4,2)),VALUE(LEFT(A164,2)))+1
       ),
       2,2
     ),
   "&amp;"  ""Not Available""
   )
 ))"),126.12)</f>
        <v>126.12</v>
      </c>
      <c r="G164" s="42">
        <f>IFERROR(__xludf.DUMMYFUNCTION("IF(E164="""","""",IFERROR(GOOGLEFINANCE(""NSE:""&amp;UPPER(TRIM(E164)),""price""),""Not Available""))"),125.86)</f>
        <v>125.86</v>
      </c>
      <c r="H164" s="53">
        <f t="shared" si="1"/>
        <v>50</v>
      </c>
      <c r="I164" s="58">
        <f t="shared" si="2"/>
        <v>-0.002061528703</v>
      </c>
      <c r="J164" s="60">
        <f t="shared" si="3"/>
        <v>-206.1528703</v>
      </c>
      <c r="K164" s="7">
        <v>150.0</v>
      </c>
      <c r="L164" s="7">
        <v>134.0</v>
      </c>
      <c r="M164" s="68">
        <f t="shared" si="4"/>
        <v>0.1893434824</v>
      </c>
      <c r="N164" s="68">
        <f t="shared" si="5"/>
        <v>0.06248017761</v>
      </c>
      <c r="O164" s="68">
        <v>0.0807167776721</v>
      </c>
      <c r="P164" s="23">
        <v>46269</v>
      </c>
      <c r="Q164" s="68">
        <v>0.118529049179</v>
      </c>
      <c r="R164" s="68">
        <v>0.5703</v>
      </c>
      <c r="S164" s="23">
        <v>46203</v>
      </c>
      <c r="T164" s="23">
        <v>46239</v>
      </c>
      <c r="U164" s="39">
        <v>126.12</v>
      </c>
      <c r="V164" s="39">
        <v>128.585733333</v>
      </c>
      <c r="W164" t="inlineStr">
        <is>
          <t>Below 75 DMA</t>
        </is>
      </c>
    </row>
    <row r="165">
      <c r="A165" s="23">
        <v>46238.0</v>
      </c>
      <c r="B165" s="25" t="str">
        <f t="shared" si="6"/>
        <v>Tuesday</v>
      </c>
      <c r="C165" s="25" t="s">
        <v>156</v>
      </c>
      <c r="D165" s="31">
        <f>IFERROR(__xludf.DUMMYFUNCTION("GOOGLEFINANCE(""NSE:""&amp;UPPER(TRIM(E165)),""marketcap"")/10000000"),753.7196615)</f>
        <v>753.7196615</v>
      </c>
      <c r="E165" s="7" t="s">
        <v>479</v>
      </c>
      <c r="F165" s="39">
        <f>IFERROR(__xludf.DUMMYFUNCTION("IF(OR(E165="""",A165=""""),"""",
 IF(
   DATE(VALUE(RIGHT(A165,4)),VALUE(MID(A165,4,2)),VALUE(LEFT(A165,2)))&gt;=TODAY(),
   IFERROR(
     GOOGLEFINANCE(""NSE:""&amp;UPPER(TRIM(E165)),""price""),
     ""Not Available""
   ),
   IFERROR(
     INDEX(
       GOOGLE"&amp;"FINANCE(
         ""NSE:""&amp;UPPER(TRIM(E165)),
         ""close"",
         DATE(VALUE(RIGHT(A165,4)),VALUE(MID(A165,4,2)),VALUE(LEFT(A165,2))),
         DATE(VALUE(RIGHT(A165,4)),VALUE(MID(A165,4,2)),VALUE(LEFT(A165,2)))+1
       ),
       2,2
     ),
   "&amp;"  ""Not Available""
   )
 ))"),196.72)</f>
        <v>196.72</v>
      </c>
      <c r="G165" s="42">
        <f>IFERROR(__xludf.DUMMYFUNCTION("IF(E165="""","""",IFERROR(GOOGLEFINANCE(""NSE:""&amp;UPPER(TRIM(E165)),""price""),""Not Available""))"),213.6)</f>
        <v>213.6</v>
      </c>
      <c r="H165" s="53">
        <f t="shared" si="1"/>
        <v>51</v>
      </c>
      <c r="I165" s="58">
        <f t="shared" si="2"/>
        <v>0.08580723871</v>
      </c>
      <c r="J165" s="60">
        <f t="shared" si="3"/>
        <v>8580.723871</v>
      </c>
      <c r="K165" s="62">
        <v>301.0</v>
      </c>
      <c r="L165" s="62">
        <v>93.0</v>
      </c>
      <c r="M165" s="68">
        <f t="shared" si="4"/>
        <v>0.530093534</v>
      </c>
      <c r="N165" s="68">
        <f t="shared" si="5"/>
        <v>-0.5272468483</v>
      </c>
      <c r="O165" s="68">
        <v>0.187118747458</v>
      </c>
      <c r="P165" s="23">
        <v>46260</v>
      </c>
      <c r="R165" s="68">
        <v>0.4504</v>
      </c>
      <c r="S165" s="23">
        <v>46203</v>
      </c>
      <c r="T165" s="23">
        <v>46238</v>
      </c>
      <c r="U165" s="39">
        <v>196.72</v>
      </c>
      <c r="V165" s="39">
        <v>189.692</v>
      </c>
      <c r="W165" t="inlineStr">
        <is>
          <t>Above 75 DMA</t>
        </is>
      </c>
    </row>
    <row r="166">
      <c r="A166" s="23">
        <v>46238.0</v>
      </c>
      <c r="B166" s="25" t="str">
        <f t="shared" si="6"/>
        <v>Tuesday</v>
      </c>
      <c r="C166" s="25" t="s">
        <v>156</v>
      </c>
      <c r="D166" s="31">
        <f>IFERROR(__xludf.DUMMYFUNCTION("GOOGLEFINANCE(""NSE:""&amp;UPPER(TRIM(E166)),""marketcap"")/10000000"),212.8143987)</f>
        <v>212.8143987</v>
      </c>
      <c r="E166" s="7" t="s">
        <v>480</v>
      </c>
      <c r="F166" s="39">
        <f>IFERROR(__xludf.DUMMYFUNCTION("IF(OR(E166="""",A166=""""),"""",
 IF(
   DATE(VALUE(RIGHT(A166,4)),VALUE(MID(A166,4,2)),VALUE(LEFT(A166,2)))&gt;=TODAY(),
   IFERROR(
     GOOGLEFINANCE(""NSE:""&amp;UPPER(TRIM(E166)),""price""),
     ""Not Available""
   ),
   IFERROR(
     INDEX(
       GOOGLE"&amp;"FINANCE(
         ""NSE:""&amp;UPPER(TRIM(E166)),
         ""close"",
         DATE(VALUE(RIGHT(A166,4)),VALUE(MID(A166,4,2)),VALUE(LEFT(A166,2))),
         DATE(VALUE(RIGHT(A166,4)),VALUE(MID(A166,4,2)),VALUE(LEFT(A166,2)))+1
       ),
       2,2
     ),
   "&amp;"  ""Not Available""
   )
 ))"),80.86)</f>
        <v>80.86</v>
      </c>
      <c r="G166" s="42">
        <f>IFERROR(__xludf.DUMMYFUNCTION("IF(E166="""","""",IFERROR(GOOGLEFINANCE(""NSE:""&amp;UPPER(TRIM(E166)),""price""),""Not Available""))"),106.53)</f>
        <v>106.53</v>
      </c>
      <c r="H166" s="53">
        <f t="shared" si="1"/>
        <v>51</v>
      </c>
      <c r="I166" s="58">
        <f t="shared" si="2"/>
        <v>0.3174622805</v>
      </c>
      <c r="J166" s="60">
        <f t="shared" si="3"/>
        <v>31746.22805</v>
      </c>
      <c r="K166" s="62">
        <v>131.0</v>
      </c>
      <c r="L166" s="62">
        <v>528.0</v>
      </c>
      <c r="M166" s="68">
        <f t="shared" si="4"/>
        <v>0.620084096</v>
      </c>
      <c r="N166" s="68">
        <f t="shared" si="5"/>
        <v>5.529804601</v>
      </c>
      <c r="O166" s="68">
        <v>0.543161019045</v>
      </c>
      <c r="P166" s="23">
        <v>46259</v>
      </c>
      <c r="R166" s="68">
        <v>0.6989</v>
      </c>
      <c r="S166" s="23">
        <v>46203</v>
      </c>
      <c r="T166" s="23">
        <v>46238</v>
      </c>
      <c r="U166" s="39">
        <v>80.86</v>
      </c>
      <c r="V166" s="39">
        <v>81.2161333333</v>
      </c>
      <c r="W166" t="inlineStr">
        <is>
          <t>Below 75 DMA</t>
        </is>
      </c>
    </row>
    <row r="167">
      <c r="A167" s="23">
        <v>46238.0</v>
      </c>
      <c r="B167" s="25" t="str">
        <f t="shared" si="6"/>
        <v>Tuesday</v>
      </c>
      <c r="C167" s="25" t="s">
        <v>156</v>
      </c>
      <c r="D167" s="31">
        <f>IFERROR(__xludf.DUMMYFUNCTION("GOOGLEFINANCE(""NSE:""&amp;UPPER(TRIM(E167)),""marketcap"")/10000000"),332.7999576)</f>
        <v>332.7999576</v>
      </c>
      <c r="E167" s="7" t="s">
        <v>481</v>
      </c>
      <c r="F167" s="39">
        <f>IFERROR(__xludf.DUMMYFUNCTION("IF(OR(E167="""",A167=""""),"""",
 IF(
   DATE(VALUE(RIGHT(A167,4)),VALUE(MID(A167,4,2)),VALUE(LEFT(A167,2)))&gt;=TODAY(),
   IFERROR(
     GOOGLEFINANCE(""NSE:""&amp;UPPER(TRIM(E167)),""price""),
     ""Not Available""
   ),
   IFERROR(
     INDEX(
       GOOGLE"&amp;"FINANCE(
         ""NSE:""&amp;UPPER(TRIM(E167)),
         ""close"",
         DATE(VALUE(RIGHT(A167,4)),VALUE(MID(A167,4,2)),VALUE(LEFT(A167,2))),
         DATE(VALUE(RIGHT(A167,4)),VALUE(MID(A167,4,2)),VALUE(LEFT(A167,2)))+1
       ),
       2,2
     ),
   "&amp;"  ""Not Available""
   )
 ))"),149.69)</f>
        <v>149.69</v>
      </c>
      <c r="G167" s="42">
        <f>IFERROR(__xludf.DUMMYFUNCTION("IF(E167="""","""",IFERROR(GOOGLEFINANCE(""NSE:""&amp;UPPER(TRIM(E167)),""price""),""Not Available""))"),178.18)</f>
        <v>178.18</v>
      </c>
      <c r="H167" s="53">
        <f t="shared" si="1"/>
        <v>51</v>
      </c>
      <c r="I167" s="58">
        <f t="shared" si="2"/>
        <v>0.1903266751</v>
      </c>
      <c r="J167" s="60">
        <f t="shared" si="3"/>
        <v>19032.66751</v>
      </c>
      <c r="K167" s="62">
        <v>234.0</v>
      </c>
      <c r="L167" s="62">
        <v>64.0</v>
      </c>
      <c r="M167" s="68">
        <f t="shared" si="4"/>
        <v>0.5632306767</v>
      </c>
      <c r="N167" s="68">
        <f t="shared" si="5"/>
        <v>-0.5724497294</v>
      </c>
      <c r="O167" s="68">
        <v>0.326608323869</v>
      </c>
      <c r="P167" s="23">
        <v>46261</v>
      </c>
      <c r="R167" s="68">
        <v>0.5011</v>
      </c>
      <c r="S167" s="23">
        <v>46203</v>
      </c>
      <c r="T167" s="23">
        <v>46238</v>
      </c>
      <c r="U167" s="39">
        <v>149.69</v>
      </c>
      <c r="V167" s="39">
        <v>148.508133333</v>
      </c>
      <c r="W167" t="inlineStr">
        <is>
          <t>Above 75 DMA</t>
        </is>
      </c>
    </row>
    <row r="168">
      <c r="A168" s="23">
        <v>46238.0</v>
      </c>
      <c r="B168" s="25" t="str">
        <f t="shared" si="6"/>
        <v>Tuesday</v>
      </c>
      <c r="C168" s="25" t="s">
        <v>156</v>
      </c>
      <c r="D168" s="31">
        <f>IFERROR(__xludf.DUMMYFUNCTION("GOOGLEFINANCE(""NSE:""&amp;UPPER(TRIM(E168)),""marketcap"")/10000000"),2879.254945)</f>
        <v>2879.254945</v>
      </c>
      <c r="E168" s="7" t="s">
        <v>482</v>
      </c>
      <c r="F168" s="39">
        <f>IFERROR(__xludf.DUMMYFUNCTION("IF(OR(E168="""",A168=""""),"""",
 IF(
   DATE(VALUE(RIGHT(A168,4)),VALUE(MID(A168,4,2)),VALUE(LEFT(A168,2)))&gt;=TODAY(),
   IFERROR(
     GOOGLEFINANCE(""NSE:""&amp;UPPER(TRIM(E168)),""price""),
     ""Not Available""
   ),
   IFERROR(
     INDEX(
       GOOGLE"&amp;"FINANCE(
         ""NSE:""&amp;UPPER(TRIM(E168)),
         ""close"",
         DATE(VALUE(RIGHT(A168,4)),VALUE(MID(A168,4,2)),VALUE(LEFT(A168,2))),
         DATE(VALUE(RIGHT(A168,4)),VALUE(MID(A168,4,2)),VALUE(LEFT(A168,2)))+1
       ),
       2,2
     ),
   "&amp;"  ""Not Available""
   )
 ))"),162.23)</f>
        <v>162.23</v>
      </c>
      <c r="G168" s="42">
        <f>IFERROR(__xludf.DUMMYFUNCTION("IF(E168="""","""",IFERROR(GOOGLEFINANCE(""NSE:""&amp;UPPER(TRIM(E168)),""price""),""Not Available""))"),185.5)</f>
        <v>185.5</v>
      </c>
      <c r="H168" s="53">
        <f t="shared" si="1"/>
        <v>51</v>
      </c>
      <c r="I168" s="58">
        <f t="shared" si="2"/>
        <v>0.1434383283</v>
      </c>
      <c r="J168" s="60">
        <f t="shared" si="3"/>
        <v>14343.83283</v>
      </c>
      <c r="K168" s="62">
        <v>245.0</v>
      </c>
      <c r="L168" s="62">
        <v>80.0</v>
      </c>
      <c r="M168" s="68">
        <f t="shared" si="4"/>
        <v>0.5102015657</v>
      </c>
      <c r="N168" s="68">
        <f t="shared" si="5"/>
        <v>-0.5068729581</v>
      </c>
      <c r="O168" s="68">
        <v>0.278431856007</v>
      </c>
      <c r="P168" s="23">
        <v>46268</v>
      </c>
      <c r="R168" s="68">
        <v>0.5657</v>
      </c>
      <c r="S168" s="23">
        <v>46203</v>
      </c>
      <c r="T168" s="23">
        <v>46238</v>
      </c>
      <c r="U168" s="39">
        <v>158.93</v>
      </c>
      <c r="V168" s="39">
        <v>155.8844</v>
      </c>
      <c r="W168" t="inlineStr">
        <is>
          <t>Above 75 DMA</t>
        </is>
      </c>
    </row>
    <row r="169">
      <c r="A169" s="23">
        <v>46238.0</v>
      </c>
      <c r="B169" s="25" t="str">
        <f t="shared" si="6"/>
        <v>Tuesday</v>
      </c>
      <c r="C169" s="25" t="s">
        <v>156</v>
      </c>
      <c r="D169" s="31">
        <f>IFERROR(__xludf.DUMMYFUNCTION("GOOGLEFINANCE(""NSE:""&amp;UPPER(TRIM(E169)),""marketcap"")/10000000"),2285.9308552)</f>
        <v>2285.930855</v>
      </c>
      <c r="E169" s="7" t="s">
        <v>483</v>
      </c>
      <c r="F169" s="39">
        <f>IFERROR(__xludf.DUMMYFUNCTION("IF(OR(E169="""",A169=""""),"""",
 IF(
   DATE(VALUE(RIGHT(A169,4)),VALUE(MID(A169,4,2)),VALUE(LEFT(A169,2)))&gt;=TODAY(),
   IFERROR(
     GOOGLEFINANCE(""NSE:""&amp;UPPER(TRIM(E169)),""price""),
     ""Not Available""
   ),
   IFERROR(
     INDEX(
       GOOGLE"&amp;"FINANCE(
         ""NSE:""&amp;UPPER(TRIM(E169)),
         ""close"",
         DATE(VALUE(RIGHT(A169,4)),VALUE(MID(A169,4,2)),VALUE(LEFT(A169,2))),
         DATE(VALUE(RIGHT(A169,4)),VALUE(MID(A169,4,2)),VALUE(LEFT(A169,2)))+1
       ),
       2,2
     ),
   "&amp;"  ""Not Available""
   )
 ))"),592.3)</f>
        <v>592.3</v>
      </c>
      <c r="G169" s="42">
        <f>IFERROR(__xludf.DUMMYFUNCTION("IF(E169="""","""",IFERROR(GOOGLEFINANCE(""NSE:""&amp;UPPER(TRIM(E169)),""price""),""Not Available""))"),491.4)</f>
        <v>491.4</v>
      </c>
      <c r="H169" s="53">
        <f t="shared" si="1"/>
        <v>51</v>
      </c>
      <c r="I169" s="58">
        <f t="shared" si="2"/>
        <v>-0.1703528617</v>
      </c>
      <c r="J169" s="60">
        <f t="shared" si="3"/>
        <v>-17035.28617</v>
      </c>
      <c r="K169" s="42"/>
      <c r="L169" s="42"/>
      <c r="M169" s="68">
        <f t="shared" si="4"/>
        <v>-1</v>
      </c>
      <c r="N169" s="68">
        <f t="shared" si="5"/>
        <v>-1</v>
      </c>
      <c r="O169" s="68">
        <v>0.127722437954</v>
      </c>
      <c r="P169" s="23">
        <v>46259</v>
      </c>
      <c r="Q169" s="68">
        <v>0.184273045363</v>
      </c>
      <c r="R169" s="68">
        <v>0.7173</v>
      </c>
      <c r="S169" s="23">
        <v>46203</v>
      </c>
      <c r="T169" s="23">
        <v>46238</v>
      </c>
      <c r="U169" s="39">
        <v>592.3</v>
      </c>
      <c r="V169" s="39">
        <v>447.708</v>
      </c>
      <c r="W169" t="inlineStr">
        <is>
          <t>Above 75 DMA</t>
        </is>
      </c>
    </row>
    <row r="170">
      <c r="A170" s="23">
        <v>46238.0</v>
      </c>
      <c r="B170" s="25" t="str">
        <f t="shared" si="6"/>
        <v>Tuesday</v>
      </c>
      <c r="C170" s="25" t="s">
        <v>156</v>
      </c>
      <c r="D170" s="31">
        <f>IFERROR(__xludf.DUMMYFUNCTION("GOOGLEFINANCE(""NSE:""&amp;UPPER(TRIM(E170)),""marketcap"")/10000000"),5658.0488199)</f>
        <v>5658.04882</v>
      </c>
      <c r="E170" s="7" t="s">
        <v>303</v>
      </c>
      <c r="F170" s="39">
        <f>IFERROR(__xludf.DUMMYFUNCTION("IF(OR(E170="""",A170=""""),"""",
 IF(
   DATE(VALUE(RIGHT(A170,4)),VALUE(MID(A170,4,2)),VALUE(LEFT(A170,2)))&gt;=TODAY(),
   IFERROR(
     GOOGLEFINANCE(""NSE:""&amp;UPPER(TRIM(E170)),""price""),
     ""Not Available""
   ),
   IFERROR(
     INDEX(
       GOOGLE"&amp;"FINANCE(
         ""NSE:""&amp;UPPER(TRIM(E170)),
         ""close"",
         DATE(VALUE(RIGHT(A170,4)),VALUE(MID(A170,4,2)),VALUE(LEFT(A170,2))),
         DATE(VALUE(RIGHT(A170,4)),VALUE(MID(A170,4,2)),VALUE(LEFT(A170,2)))+1
       ),
       2,2
     ),
   "&amp;"  ""Not Available""
   )
 ))"),21.84)</f>
        <v>21.84</v>
      </c>
      <c r="G170" s="42">
        <f>IFERROR(__xludf.DUMMYFUNCTION("IF(E170="""","""",IFERROR(GOOGLEFINANCE(""NSE:""&amp;UPPER(TRIM(E170)),""price""),""Not Available""))"),21.6)</f>
        <v>21.6</v>
      </c>
      <c r="H170" s="53">
        <f t="shared" si="1"/>
        <v>51</v>
      </c>
      <c r="I170" s="58">
        <f t="shared" si="2"/>
        <v>-0.01098901099</v>
      </c>
      <c r="J170" s="60">
        <f t="shared" si="3"/>
        <v>-1098.901099</v>
      </c>
      <c r="K170" s="42"/>
      <c r="L170" s="42"/>
      <c r="M170" s="68">
        <f t="shared" si="4"/>
        <v>-1</v>
      </c>
      <c r="N170" s="68">
        <f t="shared" si="5"/>
        <v>-1</v>
      </c>
      <c r="O170" s="68">
        <v>0.19184981685</v>
      </c>
      <c r="P170" s="23">
        <v>46261</v>
      </c>
      <c r="Q170" s="68">
        <v>0.241618115862</v>
      </c>
      <c r="R170" s="68">
        <v>0.1617</v>
      </c>
      <c r="S170" s="23">
        <v>46203</v>
      </c>
      <c r="T170" s="23">
        <v>46238</v>
      </c>
      <c r="U170" s="39">
        <v>21.84</v>
      </c>
      <c r="V170" s="39">
        <v>22.9385333333</v>
      </c>
      <c r="W170" t="inlineStr">
        <is>
          <t>Below 75 DMA</t>
        </is>
      </c>
    </row>
    <row r="171">
      <c r="A171" s="23">
        <v>46238.0</v>
      </c>
      <c r="B171" s="25" t="str">
        <f t="shared" si="6"/>
        <v>Tuesday</v>
      </c>
      <c r="C171" s="25" t="s">
        <v>156</v>
      </c>
      <c r="D171" s="31">
        <f>IFERROR(__xludf.DUMMYFUNCTION("GOOGLEFINANCE(""NSE:""&amp;UPPER(TRIM(E171)),""marketcap"")/10000000"),2015.1656826)</f>
        <v>2015.165683</v>
      </c>
      <c r="E171" s="7" t="s">
        <v>484</v>
      </c>
      <c r="F171" s="39">
        <f>IFERROR(__xludf.DUMMYFUNCTION("IF(OR(E171="""",A171=""""),"""",
 IF(
   DATE(VALUE(RIGHT(A171,4)),VALUE(MID(A171,4,2)),VALUE(LEFT(A171,2)))&gt;=TODAY(),
   IFERROR(
     GOOGLEFINANCE(""NSE:""&amp;UPPER(TRIM(E171)),""price""),
     ""Not Available""
   ),
   IFERROR(
     INDEX(
       GOOGLE"&amp;"FINANCE(
         ""NSE:""&amp;UPPER(TRIM(E171)),
         ""close"",
         DATE(VALUE(RIGHT(A171,4)),VALUE(MID(A171,4,2)),VALUE(LEFT(A171,2))),
         DATE(VALUE(RIGHT(A171,4)),VALUE(MID(A171,4,2)),VALUE(LEFT(A171,2)))+1
       ),
       2,2
     ),
   "&amp;"  ""Not Available""
   )
 ))"),153.32)</f>
        <v>153.32</v>
      </c>
      <c r="G171" s="42">
        <f>IFERROR(__xludf.DUMMYFUNCTION("IF(E171="""","""",IFERROR(GOOGLEFINANCE(""NSE:""&amp;UPPER(TRIM(E171)),""price""),""Not Available""))"),156.31)</f>
        <v>156.31</v>
      </c>
      <c r="H171" s="53">
        <f t="shared" si="1"/>
        <v>51</v>
      </c>
      <c r="I171" s="58">
        <f t="shared" si="2"/>
        <v>0.0195016958</v>
      </c>
      <c r="J171" s="60">
        <f t="shared" si="3"/>
        <v>1950.16958</v>
      </c>
      <c r="K171" s="42"/>
      <c r="L171" s="42"/>
      <c r="M171" s="68">
        <f t="shared" si="4"/>
        <v>-1</v>
      </c>
      <c r="N171" s="68">
        <f t="shared" si="5"/>
        <v>-1</v>
      </c>
      <c r="O171" s="68">
        <v>0.176624054266</v>
      </c>
      <c r="P171" s="23">
        <v>46258</v>
      </c>
      <c r="R171" s="68">
        <v>0.4439</v>
      </c>
      <c r="S171" s="23">
        <v>46203</v>
      </c>
      <c r="T171" s="23">
        <v>46238</v>
      </c>
      <c r="U171" s="39">
        <v>153.32</v>
      </c>
      <c r="V171" s="39">
        <v>167.5812</v>
      </c>
      <c r="W171" t="inlineStr">
        <is>
          <t>Below 75 DMA</t>
        </is>
      </c>
    </row>
    <row r="172">
      <c r="A172" s="23">
        <v>46238.0</v>
      </c>
      <c r="B172" s="25" t="str">
        <f t="shared" si="6"/>
        <v>Tuesday</v>
      </c>
      <c r="C172" s="25" t="s">
        <v>156</v>
      </c>
      <c r="D172" s="31">
        <f>IFERROR(__xludf.DUMMYFUNCTION("GOOGLEFINANCE(""NSE:""&amp;UPPER(TRIM(E172)),""marketcap"")/10000000"),14631.5)</f>
        <v>14631.5</v>
      </c>
      <c r="E172" s="7" t="s">
        <v>102</v>
      </c>
      <c r="F172" s="39">
        <f>IFERROR(__xludf.DUMMYFUNCTION("IF(OR(E172="""",A172=""""),"""",
 IF(
   DATE(VALUE(RIGHT(A172,4)),VALUE(MID(A172,4,2)),VALUE(LEFT(A172,2)))&gt;=TODAY(),
   IFERROR(
     GOOGLEFINANCE(""NSE:""&amp;UPPER(TRIM(E172)),""price""),
     ""Not Available""
   ),
   IFERROR(
     INDEX(
       GOOGLE"&amp;"FINANCE(
         ""NSE:""&amp;UPPER(TRIM(E172)),
         ""close"",
         DATE(VALUE(RIGHT(A172,4)),VALUE(MID(A172,4,2)),VALUE(LEFT(A172,2))),
         DATE(VALUE(RIGHT(A172,4)),VALUE(MID(A172,4,2)),VALUE(LEFT(A172,2)))+1
       ),
       2,2
     ),
   "&amp;"  ""Not Available""
   )
 ))"),417.4)</f>
        <v>417.4</v>
      </c>
      <c r="G172" s="42">
        <f>IFERROR(__xludf.DUMMYFUNCTION("IF(E172="""","""",IFERROR(GOOGLEFINANCE(""NSE:""&amp;UPPER(TRIM(E172)),""price""),""Not Available""))"),424.2)</f>
        <v>424.2</v>
      </c>
      <c r="H172" s="53">
        <f t="shared" si="1"/>
        <v>51</v>
      </c>
      <c r="I172" s="58">
        <f t="shared" si="2"/>
        <v>0.01629132726</v>
      </c>
      <c r="J172" s="60">
        <f t="shared" si="3"/>
        <v>1629.132726</v>
      </c>
      <c r="K172" s="42"/>
      <c r="L172" s="42"/>
      <c r="M172" s="68">
        <f t="shared" si="4"/>
        <v>-1</v>
      </c>
      <c r="N172" s="68">
        <f t="shared" si="5"/>
        <v>-1</v>
      </c>
      <c r="O172" s="68">
        <v>0.175610924772</v>
      </c>
      <c r="P172" s="23">
        <v>46258</v>
      </c>
      <c r="Q172" s="68">
        <v>0.177359386547</v>
      </c>
      <c r="R172" s="68">
        <v>0.5101</v>
      </c>
      <c r="S172" s="23">
        <v>46203</v>
      </c>
      <c r="T172" s="23">
        <v>46238</v>
      </c>
      <c r="U172" s="39">
        <v>417.4</v>
      </c>
      <c r="V172" s="39">
        <v>395.763333333</v>
      </c>
      <c r="W172" t="inlineStr">
        <is>
          <t>Above 75 DMA</t>
        </is>
      </c>
    </row>
    <row r="173">
      <c r="A173" s="23">
        <v>46238.0</v>
      </c>
      <c r="B173" s="25" t="str">
        <f t="shared" si="6"/>
        <v>Tuesday</v>
      </c>
      <c r="C173" s="25" t="s">
        <v>156</v>
      </c>
      <c r="D173" s="31">
        <f>IFERROR(__xludf.DUMMYFUNCTION("GOOGLEFINANCE(""NSE:""&amp;UPPER(TRIM(E173)),""marketcap"")/10000000"),16.68)</f>
        <v>16.68</v>
      </c>
      <c r="E173" s="7" t="s">
        <v>485</v>
      </c>
      <c r="F173" s="39">
        <f>IFERROR(__xludf.DUMMYFUNCTION("IF(OR(E173="""",A173=""""),"""",
 IF(
   DATE(VALUE(RIGHT(A173,4)),VALUE(MID(A173,4,2)),VALUE(LEFT(A173,2)))&gt;=TODAY(),
   IFERROR(
     GOOGLEFINANCE(""NSE:""&amp;UPPER(TRIM(E173)),""price""),
     ""Not Available""
   ),
   IFERROR(
     INDEX(
       GOOGLE"&amp;"FINANCE(
         ""NSE:""&amp;UPPER(TRIM(E173)),
         ""close"",
         DATE(VALUE(RIGHT(A173,4)),VALUE(MID(A173,4,2)),VALUE(LEFT(A173,2))),
         DATE(VALUE(RIGHT(A173,4)),VALUE(MID(A173,4,2)),VALUE(LEFT(A173,2)))+1
       ),
       2,2
     ),
   "&amp;"  ""Not Available""
   )
 ))"),216.0)</f>
        <v>216</v>
      </c>
      <c r="G173" s="42">
        <f>IFERROR(__xludf.DUMMYFUNCTION("IF(E173="""","""",IFERROR(GOOGLEFINANCE(""NSE:""&amp;UPPER(TRIM(E173)),""price""),""Not Available""))"),278.0)</f>
        <v>278</v>
      </c>
      <c r="H173" s="53">
        <f t="shared" si="1"/>
        <v>51</v>
      </c>
      <c r="I173" s="58">
        <f t="shared" si="2"/>
        <v>0.287037037</v>
      </c>
      <c r="J173" s="60">
        <f t="shared" si="3"/>
        <v>28703.7037</v>
      </c>
      <c r="K173" s="62">
        <v>292.0</v>
      </c>
      <c r="L173" s="62">
        <v>128.0</v>
      </c>
      <c r="M173" s="68">
        <f t="shared" si="4"/>
        <v>0.3518518519</v>
      </c>
      <c r="N173" s="68">
        <f t="shared" si="5"/>
        <v>-0.4074074074</v>
      </c>
      <c r="O173" s="68">
        <v>0.808333333333</v>
      </c>
      <c r="P173" s="23">
        <v>46266</v>
      </c>
      <c r="R173" s="68">
        <v>0.7444</v>
      </c>
      <c r="S173" s="23">
        <v>46203</v>
      </c>
      <c r="T173" s="23">
        <v>46238</v>
      </c>
      <c r="U173" s="39">
        <v>216</v>
      </c>
      <c r="V173" s="39">
        <v>213.329333333</v>
      </c>
      <c r="W173" t="inlineStr">
        <is>
          <t>Above 75 DMA</t>
        </is>
      </c>
    </row>
    <row r="174">
      <c r="A174" s="23">
        <v>46238.0</v>
      </c>
      <c r="B174" s="25" t="str">
        <f t="shared" si="6"/>
        <v>Tuesday</v>
      </c>
      <c r="C174" s="25" t="s">
        <v>156</v>
      </c>
      <c r="D174" s="31">
        <f>IFERROR(__xludf.DUMMYFUNCTION("GOOGLEFINANCE(""NSE:""&amp;UPPER(TRIM(E174)),""marketcap"")/10000000"),12545.9246884)</f>
        <v>12545.92469</v>
      </c>
      <c r="E174" s="7" t="s">
        <v>486</v>
      </c>
      <c r="F174" s="39">
        <f>IFERROR(__xludf.DUMMYFUNCTION("IF(OR(E174="""",A174=""""),"""",
 IF(
   DATE(VALUE(RIGHT(A174,4)),VALUE(MID(A174,4,2)),VALUE(LEFT(A174,2)))&gt;=TODAY(),
   IFERROR(
     GOOGLEFINANCE(""NSE:""&amp;UPPER(TRIM(E174)),""price""),
     ""Not Available""
   ),
   IFERROR(
     INDEX(
       GOOGLE"&amp;"FINANCE(
         ""NSE:""&amp;UPPER(TRIM(E174)),
         ""close"",
         DATE(VALUE(RIGHT(A174,4)),VALUE(MID(A174,4,2)),VALUE(LEFT(A174,2))),
         DATE(VALUE(RIGHT(A174,4)),VALUE(MID(A174,4,2)),VALUE(LEFT(A174,2)))+1
       ),
       2,2
     ),
   "&amp;"  ""Not Available""
   )
 ))"),44.01)</f>
        <v>44.01</v>
      </c>
      <c r="G174" s="42">
        <f>IFERROR(__xludf.DUMMYFUNCTION("IF(E174="""","""",IFERROR(GOOGLEFINANCE(""NSE:""&amp;UPPER(TRIM(E174)),""price""),""Not Available""))"),42.81)</f>
        <v>42.81</v>
      </c>
      <c r="H174" s="53">
        <f t="shared" si="1"/>
        <v>51</v>
      </c>
      <c r="I174" s="58">
        <f t="shared" si="2"/>
        <v>-0.02726653033</v>
      </c>
      <c r="J174" s="60">
        <f t="shared" si="3"/>
        <v>-2726.653033</v>
      </c>
      <c r="K174" s="42"/>
      <c r="L174" s="42"/>
      <c r="M174" s="68">
        <f t="shared" si="4"/>
        <v>-1</v>
      </c>
      <c r="N174" s="68">
        <f t="shared" si="5"/>
        <v>-1</v>
      </c>
      <c r="O174" s="68">
        <v>0.122472165417</v>
      </c>
      <c r="P174" s="23">
        <v>46262</v>
      </c>
      <c r="Q174" s="68">
        <v>0.0305581665752</v>
      </c>
      <c r="R174" s="68">
        <v>0.6079</v>
      </c>
      <c r="S174" s="23">
        <v>46203</v>
      </c>
      <c r="T174" s="23">
        <v>46238</v>
      </c>
      <c r="U174" s="39">
        <v>44.01</v>
      </c>
      <c r="V174" s="39">
        <v>44.314</v>
      </c>
      <c r="W174" t="inlineStr">
        <is>
          <t>Below 75 DMA</t>
        </is>
      </c>
    </row>
    <row r="175">
      <c r="A175" s="23">
        <v>46238.0</v>
      </c>
      <c r="B175" s="25" t="str">
        <f t="shared" si="6"/>
        <v>Tuesday</v>
      </c>
      <c r="C175" s="25" t="s">
        <v>156</v>
      </c>
      <c r="D175" s="31">
        <f>IFERROR(__xludf.DUMMYFUNCTION("GOOGLEFINANCE(""NSE:""&amp;UPPER(TRIM(E175)),""marketcap"")/10000000"),2157.1285416)</f>
        <v>2157.128542</v>
      </c>
      <c r="E175" s="7" t="s">
        <v>487</v>
      </c>
      <c r="F175" s="39">
        <f>IFERROR(__xludf.DUMMYFUNCTION("IF(OR(E175="""",A175=""""),"""",
 IF(
   DATE(VALUE(RIGHT(A175,4)),VALUE(MID(A175,4,2)),VALUE(LEFT(A175,2)))&gt;=TODAY(),
   IFERROR(
     GOOGLEFINANCE(""NSE:""&amp;UPPER(TRIM(E175)),""price""),
     ""Not Available""
   ),
   IFERROR(
     INDEX(
       GOOGLE"&amp;"FINANCE(
         ""NSE:""&amp;UPPER(TRIM(E175)),
         ""close"",
         DATE(VALUE(RIGHT(A175,4)),VALUE(MID(A175,4,2)),VALUE(LEFT(A175,2))),
         DATE(VALUE(RIGHT(A175,4)),VALUE(MID(A175,4,2)),VALUE(LEFT(A175,2)))+1
       ),
       2,2
     ),
   "&amp;"  ""Not Available""
   )
 ))"),87.6)</f>
        <v>87.6</v>
      </c>
      <c r="G175" s="42">
        <f>IFERROR(__xludf.DUMMYFUNCTION("IF(E175="""","""",IFERROR(GOOGLEFINANCE(""NSE:""&amp;UPPER(TRIM(E175)),""price""),""Not Available""))"),117.94)</f>
        <v>117.94</v>
      </c>
      <c r="H175" s="53">
        <f t="shared" si="1"/>
        <v>51</v>
      </c>
      <c r="I175" s="58">
        <f t="shared" si="2"/>
        <v>0.346347032</v>
      </c>
      <c r="J175" s="60">
        <f t="shared" si="3"/>
        <v>34634.7032</v>
      </c>
      <c r="K175" s="62">
        <v>147.0</v>
      </c>
      <c r="L175" s="62">
        <v>75.0</v>
      </c>
      <c r="M175" s="68">
        <f t="shared" si="4"/>
        <v>0.6780821918</v>
      </c>
      <c r="N175" s="68">
        <f t="shared" si="5"/>
        <v>-0.1438356164</v>
      </c>
      <c r="O175" s="68">
        <v>0.585502283105</v>
      </c>
      <c r="P175" s="23">
        <v>46269</v>
      </c>
      <c r="R175" s="68">
        <v>0.7414</v>
      </c>
      <c r="S175" s="23">
        <v>46203</v>
      </c>
      <c r="T175" s="23">
        <v>46238</v>
      </c>
      <c r="U175" s="39">
        <v>87.6</v>
      </c>
      <c r="V175" s="39">
        <v>82.3061333333</v>
      </c>
      <c r="W175" t="inlineStr">
        <is>
          <t>Above 75 DMA</t>
        </is>
      </c>
    </row>
    <row r="176">
      <c r="A176" s="23">
        <v>46238.0</v>
      </c>
      <c r="B176" s="25" t="str">
        <f t="shared" si="6"/>
        <v>Tuesday</v>
      </c>
      <c r="C176" s="25" t="s">
        <v>156</v>
      </c>
      <c r="D176" s="31">
        <f>IFERROR(__xludf.DUMMYFUNCTION("GOOGLEFINANCE(""NSE:""&amp;UPPER(TRIM(E176)),""marketcap"")/10000000"),8953.05726)</f>
        <v>8953.05726</v>
      </c>
      <c r="E176" s="7" t="s">
        <v>488</v>
      </c>
      <c r="F176" s="39">
        <f>IFERROR(__xludf.DUMMYFUNCTION("IF(OR(E176="""",A176=""""),"""",
 IF(
   DATE(VALUE(RIGHT(A176,4)),VALUE(MID(A176,4,2)),VALUE(LEFT(A176,2)))&gt;=TODAY(),
   IFERROR(
     GOOGLEFINANCE(""NSE:""&amp;UPPER(TRIM(E176)),""price""),
     ""Not Available""
   ),
   IFERROR(
     INDEX(
       GOOGLE"&amp;"FINANCE(
         ""NSE:""&amp;UPPER(TRIM(E176)),
         ""close"",
         DATE(VALUE(RIGHT(A176,4)),VALUE(MID(A176,4,2)),VALUE(LEFT(A176,2))),
         DATE(VALUE(RIGHT(A176,4)),VALUE(MID(A176,4,2)),VALUE(LEFT(A176,2)))+1
       ),
       2,2
     ),
   "&amp;"  ""Not Available""
   )
 ))"),381.2)</f>
        <v>381.2</v>
      </c>
      <c r="G176" s="42">
        <f>IFERROR(__xludf.DUMMYFUNCTION("IF(E176="""","""",IFERROR(GOOGLEFINANCE(""NSE:""&amp;UPPER(TRIM(E176)),""price""),""Not Available""))"),490.35)</f>
        <v>490.35</v>
      </c>
      <c r="H176" s="53">
        <f t="shared" si="1"/>
        <v>51</v>
      </c>
      <c r="I176" s="58">
        <f t="shared" si="2"/>
        <v>0.2863326338</v>
      </c>
      <c r="J176" s="60">
        <f t="shared" si="3"/>
        <v>28633.26338</v>
      </c>
      <c r="K176" s="62">
        <v>378.0</v>
      </c>
      <c r="L176" s="62">
        <v>645.0</v>
      </c>
      <c r="M176" s="68">
        <f t="shared" si="4"/>
        <v>-0.008394543547</v>
      </c>
      <c r="N176" s="68">
        <f t="shared" si="5"/>
        <v>0.6920251836</v>
      </c>
      <c r="O176" s="68">
        <v>0.376967471144</v>
      </c>
      <c r="P176" s="23">
        <v>46265</v>
      </c>
      <c r="R176" s="68">
        <v>0.5662</v>
      </c>
      <c r="S176" s="23">
        <v>46203</v>
      </c>
      <c r="T176" s="23">
        <v>46238</v>
      </c>
      <c r="U176" s="39">
        <v>381.2</v>
      </c>
      <c r="V176" s="39">
        <v>398.380666667</v>
      </c>
      <c r="W176" t="inlineStr">
        <is>
          <t>Below 75 DMA</t>
        </is>
      </c>
    </row>
    <row r="177">
      <c r="A177" s="23">
        <v>46238.0</v>
      </c>
      <c r="B177" s="25" t="str">
        <f t="shared" si="6"/>
        <v>Tuesday</v>
      </c>
      <c r="C177" s="25" t="s">
        <v>156</v>
      </c>
      <c r="D177" s="31">
        <f>IFERROR(__xludf.DUMMYFUNCTION("GOOGLEFINANCE(""NSE:""&amp;UPPER(TRIM(E177)),""marketcap"")/10000000"),1594.714155)</f>
        <v>1594.714155</v>
      </c>
      <c r="E177" s="7" t="s">
        <v>489</v>
      </c>
      <c r="F177" s="39">
        <f>IFERROR(__xludf.DUMMYFUNCTION("IF(OR(E177="""",A177=""""),"""",
 IF(
   DATE(VALUE(RIGHT(A177,4)),VALUE(MID(A177,4,2)),VALUE(LEFT(A177,2)))&gt;=TODAY(),
   IFERROR(
     GOOGLEFINANCE(""NSE:""&amp;UPPER(TRIM(E177)),""price""),
     ""Not Available""
   ),
   IFERROR(
     INDEX(
       GOOGLE"&amp;"FINANCE(
         ""NSE:""&amp;UPPER(TRIM(E177)),
         ""close"",
         DATE(VALUE(RIGHT(A177,4)),VALUE(MID(A177,4,2)),VALUE(LEFT(A177,2))),
         DATE(VALUE(RIGHT(A177,4)),VALUE(MID(A177,4,2)),VALUE(LEFT(A177,2)))+1
       ),
       2,2
     ),
   "&amp;"  ""Not Available""
   )
 ))"),127.94)</f>
        <v>127.94</v>
      </c>
      <c r="G177" s="42">
        <f>IFERROR(__xludf.DUMMYFUNCTION("IF(E177="""","""",IFERROR(GOOGLEFINANCE(""NSE:""&amp;UPPER(TRIM(E177)),""price""),""Not Available""))"),305.0)</f>
        <v>305</v>
      </c>
      <c r="H177" s="53">
        <f t="shared" si="1"/>
        <v>51</v>
      </c>
      <c r="I177" s="58">
        <f t="shared" si="2"/>
        <v>1.383929967</v>
      </c>
      <c r="J177" s="60">
        <f t="shared" si="3"/>
        <v>138392.9967</v>
      </c>
      <c r="K177" s="62">
        <v>211.0</v>
      </c>
      <c r="L177" s="62">
        <v>0.0</v>
      </c>
      <c r="M177" s="68">
        <f t="shared" si="4"/>
        <v>0.6492105675</v>
      </c>
      <c r="N177" s="68">
        <f t="shared" si="5"/>
        <v>-1</v>
      </c>
      <c r="O177" s="68">
        <v>1.80209473191</v>
      </c>
      <c r="P177" s="23">
        <v>46287</v>
      </c>
    </row>
    <row r="178">
      <c r="A178" s="23">
        <v>46238.0</v>
      </c>
      <c r="B178" s="25" t="str">
        <f t="shared" si="6"/>
        <v>Tuesday</v>
      </c>
      <c r="C178" s="25" t="s">
        <v>347</v>
      </c>
      <c r="D178" s="31">
        <f>IFERROR(__xludf.DUMMYFUNCTION("GOOGLEFINANCE(""NSE:""&amp;UPPER(TRIM(E178)),""marketcap"")/10000000"),230.4517457)</f>
        <v>230.4517457</v>
      </c>
      <c r="E178" s="7" t="s">
        <v>490</v>
      </c>
      <c r="F178" s="39">
        <f>IFERROR(__xludf.DUMMYFUNCTION("IF(OR(E178="""",A178=""""),"""",
 IF(
   DATE(VALUE(RIGHT(A178,4)),VALUE(MID(A178,4,2)),VALUE(LEFT(A178,2)))&gt;=TODAY(),
   IFERROR(
     GOOGLEFINANCE(""NSE:""&amp;UPPER(TRIM(E178)),""price""),
     ""Not Available""
   ),
   IFERROR(
     INDEX(
       GOOGLE"&amp;"FINANCE(
         ""NSE:""&amp;UPPER(TRIM(E178)),
         ""close"",
         DATE(VALUE(RIGHT(A178,4)),VALUE(MID(A178,4,2)),VALUE(LEFT(A178,2))),
         DATE(VALUE(RIGHT(A178,4)),VALUE(MID(A178,4,2)),VALUE(LEFT(A178,2)))+1
       ),
       2,2
     ),
   "&amp;"  ""Not Available""
   )
 ))"),331.05)</f>
        <v>331.05</v>
      </c>
      <c r="G178" s="42">
        <f>IFERROR(__xludf.DUMMYFUNCTION("IF(E178="""","""",IFERROR(GOOGLEFINANCE(""NSE:""&amp;UPPER(TRIM(E178)),""price""),""Not Available""))"),217.78)</f>
        <v>217.78</v>
      </c>
      <c r="H178" s="53">
        <f t="shared" si="1"/>
        <v>51</v>
      </c>
      <c r="I178" s="58">
        <f t="shared" si="2"/>
        <v>-0.3421537532</v>
      </c>
      <c r="J178" s="60">
        <f t="shared" si="3"/>
        <v>-34215.37532</v>
      </c>
      <c r="K178" s="42"/>
      <c r="L178" s="42"/>
      <c r="M178" s="68">
        <f t="shared" si="4"/>
        <v>-1</v>
      </c>
      <c r="N178" s="68">
        <f t="shared" si="5"/>
        <v>-1</v>
      </c>
      <c r="O178" s="68">
        <v>0.0965111010421</v>
      </c>
      <c r="P178" s="23">
        <v>46241</v>
      </c>
      <c r="Q178" s="68">
        <v>0.220027366588</v>
      </c>
      <c r="R178" s="68">
        <v>0.5197</v>
      </c>
      <c r="S178" s="23">
        <v>46203</v>
      </c>
      <c r="T178" s="23">
        <v>46238</v>
      </c>
      <c r="U178" s="39">
        <v>331.05</v>
      </c>
      <c r="V178" s="39">
        <v>358.606</v>
      </c>
      <c r="W178" t="inlineStr">
        <is>
          <t>Below 75 DMA</t>
        </is>
      </c>
    </row>
    <row r="179">
      <c r="A179" s="23">
        <v>46238.0</v>
      </c>
      <c r="B179" s="25" t="str">
        <f t="shared" si="6"/>
        <v>Tuesday</v>
      </c>
      <c r="C179" s="25" t="s">
        <v>347</v>
      </c>
      <c r="D179" s="31">
        <f>IFERROR(__xludf.DUMMYFUNCTION("GOOGLEFINANCE(""NSE:""&amp;UPPER(TRIM(E179)),""marketcap"")/10000000"),1849.7589208)</f>
        <v>1849.758921</v>
      </c>
      <c r="E179" s="7" t="s">
        <v>491</v>
      </c>
      <c r="F179" s="39">
        <f>IFERROR(__xludf.DUMMYFUNCTION("IF(OR(E179="""",A179=""""),"""",
 IF(
   DATE(VALUE(RIGHT(A179,4)),VALUE(MID(A179,4,2)),VALUE(LEFT(A179,2)))&gt;=TODAY(),
   IFERROR(
     GOOGLEFINANCE(""NSE:""&amp;UPPER(TRIM(E179)),""price""),
     ""Not Available""
   ),
   IFERROR(
     INDEX(
       GOOGLE"&amp;"FINANCE(
         ""NSE:""&amp;UPPER(TRIM(E179)),
         ""close"",
         DATE(VALUE(RIGHT(A179,4)),VALUE(MID(A179,4,2)),VALUE(LEFT(A179,2))),
         DATE(VALUE(RIGHT(A179,4)),VALUE(MID(A179,4,2)),VALUE(LEFT(A179,2)))+1
       ),
       2,2
     ),
   "&amp;"  ""Not Available""
   )
 ))"),1345.4)</f>
        <v>1345.4</v>
      </c>
      <c r="G179" s="42">
        <f>IFERROR(__xludf.DUMMYFUNCTION("IF(E179="""","""",IFERROR(GOOGLEFINANCE(""NSE:""&amp;UPPER(TRIM(E179)),""price""),""Not Available""))"),1114.9)</f>
        <v>1114.9</v>
      </c>
      <c r="H179" s="53">
        <f t="shared" si="1"/>
        <v>51</v>
      </c>
      <c r="I179" s="58">
        <f t="shared" si="2"/>
        <v>-0.1713245132</v>
      </c>
      <c r="J179" s="60">
        <f t="shared" si="3"/>
        <v>-17132.45132</v>
      </c>
      <c r="K179" s="42"/>
      <c r="L179" s="42"/>
      <c r="M179" s="68">
        <f t="shared" si="4"/>
        <v>-1</v>
      </c>
      <c r="N179" s="68">
        <f t="shared" si="5"/>
        <v>-1</v>
      </c>
      <c r="O179" s="68">
        <v>0.065110747733</v>
      </c>
      <c r="P179" s="23">
        <v>46244</v>
      </c>
      <c r="Q179" s="68">
        <v>0.15999967235</v>
      </c>
      <c r="R179" s="68">
        <v>0.7499</v>
      </c>
      <c r="S179" s="23">
        <v>46203</v>
      </c>
      <c r="T179" s="23">
        <v>46238</v>
      </c>
      <c r="U179" s="39">
        <v>1345.4</v>
      </c>
      <c r="V179" s="39">
        <v>1385.23066667</v>
      </c>
      <c r="W179" t="inlineStr">
        <is>
          <t>Below 75 DMA</t>
        </is>
      </c>
    </row>
    <row r="180">
      <c r="A180" s="23">
        <v>46238.0</v>
      </c>
      <c r="B180" s="25" t="str">
        <f t="shared" si="6"/>
        <v>Tuesday</v>
      </c>
      <c r="C180" s="25" t="s">
        <v>347</v>
      </c>
      <c r="D180" s="31">
        <f>IFERROR(__xludf.DUMMYFUNCTION("GOOGLEFINANCE(""NSE:""&amp;UPPER(TRIM(E180)),""marketcap"")/10000000"),5538.5937285)</f>
        <v>5538.593729</v>
      </c>
      <c r="E180" s="7" t="s">
        <v>492</v>
      </c>
      <c r="F180" s="39">
        <f>IFERROR(__xludf.DUMMYFUNCTION("IF(OR(E180="""",A180=""""),"""",
 IF(
   DATE(VALUE(RIGHT(A180,4)),VALUE(MID(A180,4,2)),VALUE(LEFT(A180,2)))&gt;=TODAY(),
   IFERROR(
     GOOGLEFINANCE(""NSE:""&amp;UPPER(TRIM(E180)),""price""),
     ""Not Available""
   ),
   IFERROR(
     INDEX(
       GOOGLE"&amp;"FINANCE(
         ""NSE:""&amp;UPPER(TRIM(E180)),
         ""close"",
         DATE(VALUE(RIGHT(A180,4)),VALUE(MID(A180,4,2)),VALUE(LEFT(A180,2))),
         DATE(VALUE(RIGHT(A180,4)),VALUE(MID(A180,4,2)),VALUE(LEFT(A180,2)))+1
       ),
       2,2
     ),
   "&amp;"  ""Not Available""
   )
 ))"),142.27)</f>
        <v>142.27</v>
      </c>
      <c r="G180" s="42">
        <f>IFERROR(__xludf.DUMMYFUNCTION("IF(E180="""","""",IFERROR(GOOGLEFINANCE(""NSE:""&amp;UPPER(TRIM(E180)),""price""),""Not Available""))"),138.44)</f>
        <v>138.44</v>
      </c>
      <c r="H180" s="53">
        <f t="shared" si="1"/>
        <v>51</v>
      </c>
      <c r="I180" s="58">
        <f t="shared" si="2"/>
        <v>-0.02692064385</v>
      </c>
      <c r="J180" s="60">
        <f t="shared" si="3"/>
        <v>-2692.064385</v>
      </c>
      <c r="K180" s="42"/>
      <c r="L180" s="42"/>
      <c r="M180" s="68">
        <f t="shared" si="4"/>
        <v>-1</v>
      </c>
      <c r="N180" s="68">
        <f t="shared" si="5"/>
        <v>-1</v>
      </c>
      <c r="O180" s="68">
        <v>0.0466015322977</v>
      </c>
      <c r="P180" s="23">
        <v>46241</v>
      </c>
      <c r="Q180" s="68">
        <v>0.251892022538</v>
      </c>
      <c r="R180" s="68">
        <v>0.4984</v>
      </c>
      <c r="S180" s="23">
        <v>46203</v>
      </c>
      <c r="T180" s="23">
        <v>46238</v>
      </c>
      <c r="U180" s="39">
        <v>142.27</v>
      </c>
      <c r="V180" s="39">
        <v>127.323466667</v>
      </c>
      <c r="W180" t="inlineStr">
        <is>
          <t>Above 75 DMA</t>
        </is>
      </c>
    </row>
    <row r="181">
      <c r="A181" s="23">
        <v>46238.0</v>
      </c>
      <c r="B181" s="25" t="str">
        <f t="shared" si="6"/>
        <v>Tuesday</v>
      </c>
      <c r="C181" s="25" t="s">
        <v>347</v>
      </c>
      <c r="D181" s="31">
        <f>IFERROR(__xludf.DUMMYFUNCTION("GOOGLEFINANCE(""NSE:""&amp;UPPER(TRIM(E181)),""marketcap"")/10000000"),3225.3483)</f>
        <v>3225.3483</v>
      </c>
      <c r="E181" s="7" t="s">
        <v>493</v>
      </c>
      <c r="F181" s="39">
        <f>IFERROR(__xludf.DUMMYFUNCTION("IF(OR(E181="""",A181=""""),"""",
 IF(
   DATE(VALUE(RIGHT(A181,4)),VALUE(MID(A181,4,2)),VALUE(LEFT(A181,2)))&gt;=TODAY(),
   IFERROR(
     GOOGLEFINANCE(""NSE:""&amp;UPPER(TRIM(E181)),""price""),
     ""Not Available""
   ),
   IFERROR(
     INDEX(
       GOOGLE"&amp;"FINANCE(
         ""NSE:""&amp;UPPER(TRIM(E181)),
         ""close"",
         DATE(VALUE(RIGHT(A181,4)),VALUE(MID(A181,4,2)),VALUE(LEFT(A181,2))),
         DATE(VALUE(RIGHT(A181,4)),VALUE(MID(A181,4,2)),VALUE(LEFT(A181,2)))+1
       ),
       2,2
     ),
   "&amp;"  ""Not Available""
   )
 ))"),233.16)</f>
        <v>233.16</v>
      </c>
      <c r="G181" s="42">
        <f>IFERROR(__xludf.DUMMYFUNCTION("IF(E181="""","""",IFERROR(GOOGLEFINANCE(""NSE:""&amp;UPPER(TRIM(E181)),""price""),""Not Available""))"),258.0)</f>
        <v>258</v>
      </c>
      <c r="H181" s="53">
        <f t="shared" si="1"/>
        <v>51</v>
      </c>
      <c r="I181" s="58">
        <f t="shared" si="2"/>
        <v>0.1065362841</v>
      </c>
      <c r="J181" s="60">
        <f t="shared" si="3"/>
        <v>10653.62841</v>
      </c>
      <c r="K181" s="62">
        <v>319.0</v>
      </c>
      <c r="L181" s="62">
        <v>216.0</v>
      </c>
      <c r="M181" s="68">
        <f t="shared" si="4"/>
        <v>0.368159204</v>
      </c>
      <c r="N181" s="68">
        <f t="shared" si="5"/>
        <v>-0.07359752959</v>
      </c>
      <c r="O181" s="68">
        <v>0.227483273289</v>
      </c>
      <c r="P181" s="23">
        <v>46288</v>
      </c>
      <c r="R181" s="68">
        <v>0.4049</v>
      </c>
      <c r="S181" s="23">
        <v>46203</v>
      </c>
      <c r="T181" s="23">
        <v>46238</v>
      </c>
      <c r="U181" s="39">
        <v>233.16</v>
      </c>
      <c r="V181" s="39">
        <v>225.2356</v>
      </c>
      <c r="W181" t="inlineStr">
        <is>
          <t>Above 75 DMA</t>
        </is>
      </c>
    </row>
    <row r="182">
      <c r="A182" s="23">
        <v>46238.0</v>
      </c>
      <c r="B182" s="25" t="str">
        <f t="shared" si="6"/>
        <v>Tuesday</v>
      </c>
      <c r="C182" s="25" t="s">
        <v>347</v>
      </c>
      <c r="D182" s="31">
        <f>IFERROR(__xludf.DUMMYFUNCTION("GOOGLEFINANCE(""NSE:""&amp;UPPER(TRIM(E182)),""marketcap"")/10000000"),52731.233226)</f>
        <v>52731.23323</v>
      </c>
      <c r="E182" s="7" t="s">
        <v>494</v>
      </c>
      <c r="F182" s="39">
        <f>IFERROR(__xludf.DUMMYFUNCTION("IF(OR(E182="""",A182=""""),"""",
 IF(
   DATE(VALUE(RIGHT(A182,4)),VALUE(MID(A182,4,2)),VALUE(LEFT(A182,2)))&gt;=TODAY(),
   IFERROR(
     GOOGLEFINANCE(""NSE:""&amp;UPPER(TRIM(E182)),""price""),
     ""Not Available""
   ),
   IFERROR(
     INDEX(
       GOOGLE"&amp;"FINANCE(
         ""NSE:""&amp;UPPER(TRIM(E182)),
         ""close"",
         DATE(VALUE(RIGHT(A182,4)),VALUE(MID(A182,4,2)),VALUE(LEFT(A182,2))),
         DATE(VALUE(RIGHT(A182,4)),VALUE(MID(A182,4,2)),VALUE(LEFT(A182,2)))+1
       ),
       2,2
     ),
   "&amp;"  ""Not Available""
   )
 ))"),7156.5)</f>
        <v>7156.5</v>
      </c>
      <c r="G182" s="42">
        <f>IFERROR(__xludf.DUMMYFUNCTION("IF(E182="""","""",IFERROR(GOOGLEFINANCE(""NSE:""&amp;UPPER(TRIM(E182)),""price""),""Not Available""))"),6183.0)</f>
        <v>6183</v>
      </c>
      <c r="H182" s="53">
        <f t="shared" si="1"/>
        <v>51</v>
      </c>
      <c r="I182" s="58">
        <f t="shared" si="2"/>
        <v>-0.1360301824</v>
      </c>
      <c r="J182" s="60">
        <f t="shared" si="3"/>
        <v>-13603.01824</v>
      </c>
      <c r="K182" s="42"/>
      <c r="L182" s="42"/>
      <c r="M182" s="68">
        <f t="shared" si="4"/>
        <v>-1</v>
      </c>
      <c r="N182" s="68">
        <f t="shared" si="5"/>
        <v>-1</v>
      </c>
      <c r="O182" s="68">
        <v>0.00964158457346</v>
      </c>
      <c r="P182" s="23">
        <v>46239</v>
      </c>
      <c r="R182" s="68">
        <v>0.75</v>
      </c>
      <c r="S182" s="23">
        <v>46203</v>
      </c>
      <c r="T182" s="23">
        <v>46238</v>
      </c>
      <c r="U182" s="39">
        <v>7156.5</v>
      </c>
      <c r="V182" s="39">
        <v>7140.38</v>
      </c>
      <c r="W182" t="inlineStr">
        <is>
          <t>Above 75 DMA</t>
        </is>
      </c>
    </row>
    <row r="183">
      <c r="A183" s="23">
        <v>46238.0</v>
      </c>
      <c r="B183" s="25" t="str">
        <f t="shared" si="6"/>
        <v>Tuesday</v>
      </c>
      <c r="C183" s="25" t="s">
        <v>347</v>
      </c>
      <c r="D183" s="31">
        <f>IFERROR(__xludf.DUMMYFUNCTION("GOOGLEFINANCE(""NSE:""&amp;UPPER(TRIM(E183)),""marketcap"")/10000000"),10026.8411334)</f>
        <v>10026.84113</v>
      </c>
      <c r="E183" s="7" t="s">
        <v>495</v>
      </c>
      <c r="F183" s="39">
        <f>IFERROR(__xludf.DUMMYFUNCTION("IF(OR(E183="""",A183=""""),"""",
 IF(
   DATE(VALUE(RIGHT(A183,4)),VALUE(MID(A183,4,2)),VALUE(LEFT(A183,2)))&gt;=TODAY(),
   IFERROR(
     GOOGLEFINANCE(""NSE:""&amp;UPPER(TRIM(E183)),""price""),
     ""Not Available""
   ),
   IFERROR(
     INDEX(
       GOOGLE"&amp;"FINANCE(
         ""NSE:""&amp;UPPER(TRIM(E183)),
         ""close"",
         DATE(VALUE(RIGHT(A183,4)),VALUE(MID(A183,4,2)),VALUE(LEFT(A183,2))),
         DATE(VALUE(RIGHT(A183,4)),VALUE(MID(A183,4,2)),VALUE(LEFT(A183,2)))+1
       ),
       2,2
     ),
   "&amp;"  ""Not Available""
   )
 ))"),131.93)</f>
        <v>131.93</v>
      </c>
      <c r="G183" s="42">
        <f>IFERROR(__xludf.DUMMYFUNCTION("IF(E183="""","""",IFERROR(GOOGLEFINANCE(""NSE:""&amp;UPPER(TRIM(E183)),""price""),""Not Available""))"),106.63)</f>
        <v>106.63</v>
      </c>
      <c r="H183" s="53">
        <f t="shared" si="1"/>
        <v>51</v>
      </c>
      <c r="I183" s="58">
        <f t="shared" si="2"/>
        <v>-0.191768362</v>
      </c>
      <c r="J183" s="60">
        <f t="shared" si="3"/>
        <v>-19176.8362</v>
      </c>
      <c r="K183" s="42"/>
      <c r="L183" s="42"/>
      <c r="M183" s="68">
        <f t="shared" si="4"/>
        <v>-1</v>
      </c>
      <c r="N183" s="68">
        <f t="shared" si="5"/>
        <v>-1</v>
      </c>
      <c r="O183" s="68">
        <v>0.0143257788221</v>
      </c>
      <c r="P183" s="23">
        <v>46239</v>
      </c>
      <c r="Q183" s="68">
        <v>0.00857877606783</v>
      </c>
      <c r="R183" s="68">
        <v>0.6517</v>
      </c>
      <c r="S183" s="23">
        <v>46203</v>
      </c>
      <c r="T183" s="23">
        <v>46238</v>
      </c>
      <c r="U183" s="39">
        <v>131.93</v>
      </c>
      <c r="V183" s="39">
        <v>138.807866667</v>
      </c>
      <c r="W183" t="inlineStr">
        <is>
          <t>Below 75 DMA</t>
        </is>
      </c>
    </row>
    <row r="184">
      <c r="A184" s="23">
        <v>46238.0</v>
      </c>
      <c r="B184" s="25" t="str">
        <f t="shared" si="6"/>
        <v>Tuesday</v>
      </c>
      <c r="C184" s="25" t="s">
        <v>347</v>
      </c>
      <c r="D184" s="31">
        <f>IFERROR(__xludf.DUMMYFUNCTION("GOOGLEFINANCE(""NSE:""&amp;UPPER(TRIM(E184)),""marketcap"")/10000000"),1082.2631997)</f>
        <v>1082.2632</v>
      </c>
      <c r="E184" s="7" t="s">
        <v>496</v>
      </c>
      <c r="F184" s="39">
        <f>IFERROR(__xludf.DUMMYFUNCTION("IF(OR(E184="""",A184=""""),"""",
 IF(
   DATE(VALUE(RIGHT(A184,4)),VALUE(MID(A184,4,2)),VALUE(LEFT(A184,2)))&gt;=TODAY(),
   IFERROR(
     GOOGLEFINANCE(""NSE:""&amp;UPPER(TRIM(E184)),""price""),
     ""Not Available""
   ),
   IFERROR(
     INDEX(
       GOOGLE"&amp;"FINANCE(
         ""NSE:""&amp;UPPER(TRIM(E184)),
         ""close"",
         DATE(VALUE(RIGHT(A184,4)),VALUE(MID(A184,4,2)),VALUE(LEFT(A184,2))),
         DATE(VALUE(RIGHT(A184,4)),VALUE(MID(A184,4,2)),VALUE(LEFT(A184,2)))+1
       ),
       2,2
     ),
   "&amp;"  ""Not Available""
   )
 ))"),218.23)</f>
        <v>218.23</v>
      </c>
      <c r="G184" s="42">
        <f>IFERROR(__xludf.DUMMYFUNCTION("IF(E184="""","""",IFERROR(GOOGLEFINANCE(""NSE:""&amp;UPPER(TRIM(E184)),""price""),""Not Available""))"),196.67)</f>
        <v>196.67</v>
      </c>
      <c r="H184" s="53">
        <f t="shared" si="1"/>
        <v>51</v>
      </c>
      <c r="I184" s="58">
        <f t="shared" si="2"/>
        <v>-0.09879484947</v>
      </c>
      <c r="J184" s="60">
        <f t="shared" si="3"/>
        <v>-9879.484947</v>
      </c>
      <c r="K184" s="42"/>
      <c r="L184" s="42"/>
      <c r="M184" s="68">
        <f t="shared" si="4"/>
        <v>-1</v>
      </c>
      <c r="N184" s="68">
        <f t="shared" si="5"/>
        <v>-1</v>
      </c>
      <c r="O184" s="68">
        <v>0.0158548320579</v>
      </c>
      <c r="P184" s="23">
        <v>46239</v>
      </c>
      <c r="R184" s="68">
        <v>0.418</v>
      </c>
      <c r="S184" s="23">
        <v>46203</v>
      </c>
      <c r="T184" s="23">
        <v>46238</v>
      </c>
      <c r="U184" s="39">
        <v>218.23</v>
      </c>
      <c r="V184" s="39">
        <v>217.578266667</v>
      </c>
      <c r="W184" t="inlineStr">
        <is>
          <t>Above 75 DMA</t>
        </is>
      </c>
    </row>
    <row r="185">
      <c r="A185" s="23">
        <v>46238.0</v>
      </c>
      <c r="B185" s="25" t="str">
        <f t="shared" si="6"/>
        <v>Tuesday</v>
      </c>
      <c r="C185" s="25" t="s">
        <v>347</v>
      </c>
      <c r="D185" s="31">
        <f>IFERROR(__xludf.DUMMYFUNCTION("GOOGLEFINANCE(""NSE:""&amp;UPPER(TRIM(E185)),""marketcap"")/10000000"),1426.9992837)</f>
        <v>1426.999284</v>
      </c>
      <c r="E185" s="7" t="s">
        <v>446</v>
      </c>
      <c r="F185" s="39">
        <f>IFERROR(__xludf.DUMMYFUNCTION("IF(OR(E185="""",A185=""""),"""",
 IF(
   DATE(VALUE(RIGHT(A185,4)),VALUE(MID(A185,4,2)),VALUE(LEFT(A185,2)))&gt;=TODAY(),
   IFERROR(
     GOOGLEFINANCE(""NSE:""&amp;UPPER(TRIM(E185)),""price""),
     ""Not Available""
   ),
   IFERROR(
     INDEX(
       GOOGLE"&amp;"FINANCE(
         ""NSE:""&amp;UPPER(TRIM(E185)),
         ""close"",
         DATE(VALUE(RIGHT(A185,4)),VALUE(MID(A185,4,2)),VALUE(LEFT(A185,2))),
         DATE(VALUE(RIGHT(A185,4)),VALUE(MID(A185,4,2)),VALUE(LEFT(A185,2)))+1
       ),
       2,2
     ),
   "&amp;"  ""Not Available""
   )
 ))"),132.67)</f>
        <v>132.67</v>
      </c>
      <c r="G185" s="42">
        <f>IFERROR(__xludf.DUMMYFUNCTION("IF(E185="""","""",IFERROR(GOOGLEFINANCE(""NSE:""&amp;UPPER(TRIM(E185)),""price""),""Not Available""))"),126.1)</f>
        <v>126.1</v>
      </c>
      <c r="H185" s="53">
        <f t="shared" si="1"/>
        <v>51</v>
      </c>
      <c r="I185" s="58">
        <f t="shared" si="2"/>
        <v>-0.04952136881</v>
      </c>
      <c r="J185" s="60">
        <f t="shared" si="3"/>
        <v>-4952.136881</v>
      </c>
      <c r="K185" s="42"/>
      <c r="L185" s="42"/>
      <c r="M185" s="68">
        <f t="shared" si="4"/>
        <v>-1</v>
      </c>
      <c r="N185" s="68">
        <f t="shared" si="5"/>
        <v>-1</v>
      </c>
      <c r="O185" s="68">
        <v>0.202984849627</v>
      </c>
      <c r="P185" s="23">
        <v>46273</v>
      </c>
      <c r="Q185" s="68">
        <v>0.146626979164</v>
      </c>
      <c r="R185" s="68">
        <v>0.523</v>
      </c>
      <c r="S185" s="23">
        <v>46203</v>
      </c>
      <c r="T185" s="23">
        <v>46238</v>
      </c>
      <c r="U185" s="39">
        <v>132.67</v>
      </c>
      <c r="V185" s="39">
        <v>111.360666667</v>
      </c>
      <c r="W185" t="inlineStr">
        <is>
          <t>Above 75 DMA</t>
        </is>
      </c>
    </row>
    <row r="186">
      <c r="A186" s="23">
        <v>46238.0</v>
      </c>
      <c r="B186" s="25" t="str">
        <f t="shared" si="6"/>
        <v>Tuesday</v>
      </c>
      <c r="C186" s="25" t="s">
        <v>347</v>
      </c>
      <c r="D186" s="31">
        <f>IFERROR(__xludf.DUMMYFUNCTION("GOOGLEFINANCE(""NSE:""&amp;UPPER(TRIM(E186)),""marketcap"")/10000000"),7827.926068)</f>
        <v>7827.926068</v>
      </c>
      <c r="E186" s="7" t="s">
        <v>497</v>
      </c>
      <c r="F186" s="39">
        <f>IFERROR(__xludf.DUMMYFUNCTION("IF(OR(E186="""",A186=""""),"""",
 IF(
   DATE(VALUE(RIGHT(A186,4)),VALUE(MID(A186,4,2)),VALUE(LEFT(A186,2)))&gt;=TODAY(),
   IFERROR(
     GOOGLEFINANCE(""NSE:""&amp;UPPER(TRIM(E186)),""price""),
     ""Not Available""
   ),
   IFERROR(
     INDEX(
       GOOGLE"&amp;"FINANCE(
         ""NSE:""&amp;UPPER(TRIM(E186)),
         ""close"",
         DATE(VALUE(RIGHT(A186,4)),VALUE(MID(A186,4,2)),VALUE(LEFT(A186,2))),
         DATE(VALUE(RIGHT(A186,4)),VALUE(MID(A186,4,2)),VALUE(LEFT(A186,2)))+1
       ),
       2,2
     ),
   "&amp;"  ""Not Available""
   )
 ))"),905.8)</f>
        <v>905.8</v>
      </c>
      <c r="G186" s="42">
        <f>IFERROR(__xludf.DUMMYFUNCTION("IF(E186="""","""",IFERROR(GOOGLEFINANCE(""NSE:""&amp;UPPER(TRIM(E186)),""price""),""Not Available""))"),809.0)</f>
        <v>809</v>
      </c>
      <c r="H186" s="53">
        <f t="shared" si="1"/>
        <v>51</v>
      </c>
      <c r="I186" s="58">
        <f t="shared" si="2"/>
        <v>-0.106866858</v>
      </c>
      <c r="J186" s="60">
        <f t="shared" si="3"/>
        <v>-10686.6858</v>
      </c>
      <c r="K186" s="42"/>
      <c r="L186" s="42"/>
      <c r="M186" s="68">
        <f t="shared" si="4"/>
        <v>-1</v>
      </c>
      <c r="N186" s="68">
        <f t="shared" si="5"/>
        <v>-1</v>
      </c>
      <c r="O186" s="68">
        <v>0.0474718480901</v>
      </c>
      <c r="P186" s="23">
        <v>46241</v>
      </c>
      <c r="R186" s="68">
        <v>0.7469</v>
      </c>
      <c r="S186" s="23">
        <v>46203</v>
      </c>
      <c r="T186" s="23">
        <v>46238</v>
      </c>
      <c r="U186" s="39">
        <v>905.8</v>
      </c>
      <c r="V186" s="39">
        <v>909.062</v>
      </c>
      <c r="W186" t="inlineStr">
        <is>
          <t>Below 75 DMA</t>
        </is>
      </c>
    </row>
    <row r="187">
      <c r="A187" s="23">
        <v>46238.0</v>
      </c>
      <c r="B187" s="25" t="str">
        <f t="shared" si="6"/>
        <v>Tuesday</v>
      </c>
      <c r="C187" s="25" t="s">
        <v>347</v>
      </c>
      <c r="D187" s="31">
        <f>IFERROR(__xludf.DUMMYFUNCTION("GOOGLEFINANCE(""NSE:""&amp;UPPER(TRIM(E187)),""marketcap"")/10000000"),2875.0843589)</f>
        <v>2875.084359</v>
      </c>
      <c r="E187" s="7" t="s">
        <v>110</v>
      </c>
      <c r="F187" s="39">
        <f>IFERROR(__xludf.DUMMYFUNCTION("IF(OR(E187="""",A187=""""),"""",
 IF(
   DATE(VALUE(RIGHT(A187,4)),VALUE(MID(A187,4,2)),VALUE(LEFT(A187,2)))&gt;=TODAY(),
   IFERROR(
     GOOGLEFINANCE(""NSE:""&amp;UPPER(TRIM(E187)),""price""),
     ""Not Available""
   ),
   IFERROR(
     INDEX(
       GOOGLE"&amp;"FINANCE(
         ""NSE:""&amp;UPPER(TRIM(E187)),
         ""close"",
         DATE(VALUE(RIGHT(A187,4)),VALUE(MID(A187,4,2)),VALUE(LEFT(A187,2))),
         DATE(VALUE(RIGHT(A187,4)),VALUE(MID(A187,4,2)),VALUE(LEFT(A187,2)))+1
       ),
       2,2
     ),
   "&amp;"  ""Not Available""
   )
 ))"),276.1)</f>
        <v>276.1</v>
      </c>
      <c r="G187" s="42">
        <f>IFERROR(__xludf.DUMMYFUNCTION("IF(E187="""","""",IFERROR(GOOGLEFINANCE(""NSE:""&amp;UPPER(TRIM(E187)),""price""),""Not Available""))"),259.55)</f>
        <v>259.55</v>
      </c>
      <c r="H187" s="53">
        <f t="shared" si="1"/>
        <v>51</v>
      </c>
      <c r="I187" s="58">
        <f t="shared" si="2"/>
        <v>-0.05994204998</v>
      </c>
      <c r="J187" s="60">
        <f t="shared" si="3"/>
        <v>-5994.204998</v>
      </c>
      <c r="K187" s="42"/>
      <c r="L187" s="42"/>
      <c r="M187" s="68">
        <f t="shared" si="4"/>
        <v>-1</v>
      </c>
      <c r="N187" s="68">
        <f t="shared" si="5"/>
        <v>-1</v>
      </c>
      <c r="O187" s="68">
        <v>0.0974284679464</v>
      </c>
      <c r="P187" s="23">
        <v>46261</v>
      </c>
      <c r="Q187" s="68">
        <v>0.0611627006893</v>
      </c>
      <c r="R187" s="68">
        <v>0.6095</v>
      </c>
      <c r="S187" s="23">
        <v>46203</v>
      </c>
      <c r="T187" s="23">
        <v>46238</v>
      </c>
      <c r="U187" s="39">
        <v>276.1</v>
      </c>
      <c r="V187" s="39">
        <v>268.002</v>
      </c>
      <c r="W187" t="inlineStr">
        <is>
          <t>Above 75 DMA</t>
        </is>
      </c>
    </row>
    <row r="188">
      <c r="A188" s="23">
        <v>46238.0</v>
      </c>
      <c r="B188" s="25" t="str">
        <f t="shared" si="6"/>
        <v>Tuesday</v>
      </c>
      <c r="C188" s="25" t="s">
        <v>347</v>
      </c>
      <c r="D188" s="31">
        <f>IFERROR(__xludf.DUMMYFUNCTION("GOOGLEFINANCE(""NSE:""&amp;UPPER(TRIM(E188)),""marketcap"")/10000000"),1731.7580186)</f>
        <v>1731.758019</v>
      </c>
      <c r="E188" s="7" t="s">
        <v>498</v>
      </c>
      <c r="F188" s="39">
        <f>IFERROR(__xludf.DUMMYFUNCTION("IF(OR(E188="""",A188=""""),"""",
 IF(
   DATE(VALUE(RIGHT(A188,4)),VALUE(MID(A188,4,2)),VALUE(LEFT(A188,2)))&gt;=TODAY(),
   IFERROR(
     GOOGLEFINANCE(""NSE:""&amp;UPPER(TRIM(E188)),""price""),
     ""Not Available""
   ),
   IFERROR(
     INDEX(
       GOOGLE"&amp;"FINANCE(
         ""NSE:""&amp;UPPER(TRIM(E188)),
         ""close"",
         DATE(VALUE(RIGHT(A188,4)),VALUE(MID(A188,4,2)),VALUE(LEFT(A188,2))),
         DATE(VALUE(RIGHT(A188,4)),VALUE(MID(A188,4,2)),VALUE(LEFT(A188,2)))+1
       ),
       2,2
     ),
   "&amp;"  ""Not Available""
   )
 ))"),658.35)</f>
        <v>658.35</v>
      </c>
      <c r="G188" s="42">
        <f>IFERROR(__xludf.DUMMYFUNCTION("IF(E188="""","""",IFERROR(GOOGLEFINANCE(""NSE:""&amp;UPPER(TRIM(E188)),""price""),""Not Available""))"),595.15)</f>
        <v>595.15</v>
      </c>
      <c r="H188" s="53">
        <f t="shared" si="1"/>
        <v>51</v>
      </c>
      <c r="I188" s="58">
        <f t="shared" si="2"/>
        <v>-0.09599756968</v>
      </c>
      <c r="J188" s="60">
        <f t="shared" si="3"/>
        <v>-9599.756968</v>
      </c>
      <c r="K188" s="42"/>
      <c r="L188" s="42"/>
      <c r="M188" s="68">
        <f t="shared" si="4"/>
        <v>-1</v>
      </c>
      <c r="N188" s="68">
        <f t="shared" si="5"/>
        <v>-1</v>
      </c>
      <c r="O188" s="68">
        <v>0.00235437077542</v>
      </c>
      <c r="P188" s="23">
        <v>46239</v>
      </c>
      <c r="R188" s="68">
        <v>0.723</v>
      </c>
      <c r="S188" s="23">
        <v>46203</v>
      </c>
      <c r="T188" s="23">
        <v>46238</v>
      </c>
      <c r="U188" s="39">
        <v>658.35</v>
      </c>
      <c r="V188" s="39">
        <v>689.662666667</v>
      </c>
      <c r="W188" t="inlineStr">
        <is>
          <t>Below 75 DMA</t>
        </is>
      </c>
    </row>
    <row r="189">
      <c r="A189" s="23">
        <v>46238.0</v>
      </c>
      <c r="B189" s="25" t="str">
        <f t="shared" si="6"/>
        <v>Tuesday</v>
      </c>
      <c r="C189" s="25" t="s">
        <v>347</v>
      </c>
      <c r="D189" s="31">
        <f>IFERROR(__xludf.DUMMYFUNCTION("GOOGLEFINANCE(""NSE:""&amp;UPPER(TRIM(E189)),""marketcap"")/10000000"),17105.2219)</f>
        <v>17105.2219</v>
      </c>
      <c r="E189" s="7" t="s">
        <v>456</v>
      </c>
      <c r="F189" s="39">
        <f>IFERROR(__xludf.DUMMYFUNCTION("IF(OR(E189="""",A189=""""),"""",
 IF(
   DATE(VALUE(RIGHT(A189,4)),VALUE(MID(A189,4,2)),VALUE(LEFT(A189,2)))&gt;=TODAY(),
   IFERROR(
     GOOGLEFINANCE(""NSE:""&amp;UPPER(TRIM(E189)),""price""),
     ""Not Available""
   ),
   IFERROR(
     INDEX(
       GOOGLE"&amp;"FINANCE(
         ""NSE:""&amp;UPPER(TRIM(E189)),
         ""close"",
         DATE(VALUE(RIGHT(A189,4)),VALUE(MID(A189,4,2)),VALUE(LEFT(A189,2))),
         DATE(VALUE(RIGHT(A189,4)),VALUE(MID(A189,4,2)),VALUE(LEFT(A189,2)))+1
       ),
       2,2
     ),
   "&amp;"  ""Not Available""
   )
 ))"),1599.1)</f>
        <v>1599.1</v>
      </c>
      <c r="G189" s="42">
        <f>IFERROR(__xludf.DUMMYFUNCTION("IF(E189="""","""",IFERROR(GOOGLEFINANCE(""NSE:""&amp;UPPER(TRIM(E189)),""price""),""Not Available""))"),1354.7)</f>
        <v>1354.7</v>
      </c>
      <c r="H189" s="53">
        <f t="shared" si="1"/>
        <v>51</v>
      </c>
      <c r="I189" s="58">
        <f t="shared" si="2"/>
        <v>-0.1528359702</v>
      </c>
      <c r="J189" s="60">
        <f t="shared" si="3"/>
        <v>-15283.59702</v>
      </c>
      <c r="K189" s="42"/>
      <c r="L189" s="42"/>
      <c r="M189" s="68">
        <f t="shared" si="4"/>
        <v>-1</v>
      </c>
      <c r="N189" s="68">
        <f t="shared" si="5"/>
        <v>-1</v>
      </c>
      <c r="O189" s="68">
        <v>0.0247013945344</v>
      </c>
      <c r="P189" s="23">
        <v>46239</v>
      </c>
      <c r="Q189" s="68">
        <v>0.119023709561</v>
      </c>
      <c r="R189" s="68">
        <v>0.4563</v>
      </c>
      <c r="S189" s="23">
        <v>46203</v>
      </c>
      <c r="T189" s="23">
        <v>46238</v>
      </c>
      <c r="U189" s="39">
        <v>1599.1</v>
      </c>
      <c r="V189" s="39">
        <v>1456.73533333</v>
      </c>
      <c r="W189" t="inlineStr">
        <is>
          <t>Above 75 DMA</t>
        </is>
      </c>
    </row>
    <row r="190">
      <c r="A190" s="23">
        <v>46238.0</v>
      </c>
      <c r="B190" s="25" t="str">
        <f t="shared" si="6"/>
        <v>Tuesday</v>
      </c>
      <c r="C190" s="25" t="s">
        <v>347</v>
      </c>
      <c r="D190" s="31">
        <f>IFERROR(__xludf.DUMMYFUNCTION("GOOGLEFINANCE(""NSE:""&amp;UPPER(TRIM(E190)),""marketcap"")/10000000"),4261.611)</f>
        <v>4261.611</v>
      </c>
      <c r="E190" s="7" t="s">
        <v>499</v>
      </c>
      <c r="F190" s="39">
        <f>IFERROR(__xludf.DUMMYFUNCTION("IF(OR(E190="""",A190=""""),"""",
 IF(
   DATE(VALUE(RIGHT(A190,4)),VALUE(MID(A190,4,2)),VALUE(LEFT(A190,2)))&gt;=TODAY(),
   IFERROR(
     GOOGLEFINANCE(""NSE:""&amp;UPPER(TRIM(E190)),""price""),
     ""Not Available""
   ),
   IFERROR(
     INDEX(
       GOOGLE"&amp;"FINANCE(
         ""NSE:""&amp;UPPER(TRIM(E190)),
         ""close"",
         DATE(VALUE(RIGHT(A190,4)),VALUE(MID(A190,4,2)),VALUE(LEFT(A190,2))),
         DATE(VALUE(RIGHT(A190,4)),VALUE(MID(A190,4,2)),VALUE(LEFT(A190,2)))+1
       ),
       2,2
     ),
   "&amp;"  ""Not Available""
   )
 ))"),301.5)</f>
        <v>301.5</v>
      </c>
      <c r="G190" s="42">
        <f>IFERROR(__xludf.DUMMYFUNCTION("IF(E190="""","""",IFERROR(GOOGLEFINANCE(""NSE:""&amp;UPPER(TRIM(E190)),""price""),""Not Available""))"),300.0)</f>
        <v>300</v>
      </c>
      <c r="H190" s="53">
        <f t="shared" si="1"/>
        <v>51</v>
      </c>
      <c r="I190" s="58">
        <f t="shared" si="2"/>
        <v>-0.004975124378</v>
      </c>
      <c r="J190" s="60">
        <f t="shared" si="3"/>
        <v>-497.5124378</v>
      </c>
      <c r="K190" s="42"/>
      <c r="L190" s="42"/>
      <c r="M190" s="68">
        <f t="shared" si="4"/>
        <v>-1</v>
      </c>
      <c r="N190" s="68">
        <f t="shared" si="5"/>
        <v>-1</v>
      </c>
      <c r="O190" s="68">
        <v>0.0933665008292</v>
      </c>
      <c r="P190" s="23">
        <v>46247</v>
      </c>
      <c r="R190" s="68">
        <v>0.4235</v>
      </c>
      <c r="S190" s="23">
        <v>46203</v>
      </c>
      <c r="T190" s="23">
        <v>46238</v>
      </c>
      <c r="U190" s="39">
        <v>301.5</v>
      </c>
      <c r="V190" s="39">
        <v>305.870666667</v>
      </c>
      <c r="W190" t="inlineStr">
        <is>
          <t>Below 75 DMA</t>
        </is>
      </c>
    </row>
    <row r="191">
      <c r="A191" s="23">
        <v>46238.0</v>
      </c>
      <c r="B191" s="25" t="str">
        <f t="shared" si="6"/>
        <v>Tuesday</v>
      </c>
      <c r="C191" s="25" t="s">
        <v>347</v>
      </c>
      <c r="D191" s="31">
        <f>IFERROR(__xludf.DUMMYFUNCTION("GOOGLEFINANCE(""NSE:""&amp;UPPER(TRIM(E191)),""marketcap"")/10000000"),8665.1974765)</f>
        <v>8665.197477</v>
      </c>
      <c r="E191" s="7" t="s">
        <v>500</v>
      </c>
      <c r="F191" s="39">
        <f>IFERROR(__xludf.DUMMYFUNCTION("IF(OR(E191="""",A191=""""),"""",
 IF(
   DATE(VALUE(RIGHT(A191,4)),VALUE(MID(A191,4,2)),VALUE(LEFT(A191,2)))&gt;=TODAY(),
   IFERROR(
     GOOGLEFINANCE(""NSE:""&amp;UPPER(TRIM(E191)),""price""),
     ""Not Available""
   ),
   IFERROR(
     INDEX(
       GOOGLE"&amp;"FINANCE(
         ""NSE:""&amp;UPPER(TRIM(E191)),
         ""close"",
         DATE(VALUE(RIGHT(A191,4)),VALUE(MID(A191,4,2)),VALUE(LEFT(A191,2))),
         DATE(VALUE(RIGHT(A191,4)),VALUE(MID(A191,4,2)),VALUE(LEFT(A191,2)))+1
       ),
       2,2
     ),
   "&amp;"  ""Not Available""
   )
 ))"),669.75)</f>
        <v>669.75</v>
      </c>
      <c r="G191" s="42">
        <f>IFERROR(__xludf.DUMMYFUNCTION("IF(E191="""","""",IFERROR(GOOGLEFINANCE(""NSE:""&amp;UPPER(TRIM(E191)),""price""),""Not Available""))"),604.7)</f>
        <v>604.7</v>
      </c>
      <c r="H191" s="53">
        <f t="shared" si="1"/>
        <v>51</v>
      </c>
      <c r="I191" s="58">
        <f t="shared" si="2"/>
        <v>-0.09712579321</v>
      </c>
      <c r="J191" s="60">
        <f t="shared" si="3"/>
        <v>-9712.579321</v>
      </c>
      <c r="K191" s="42"/>
      <c r="L191" s="42"/>
      <c r="M191" s="68">
        <f t="shared" si="4"/>
        <v>-1</v>
      </c>
      <c r="N191" s="68">
        <f t="shared" si="5"/>
        <v>-1</v>
      </c>
      <c r="O191" s="68">
        <v>0.0356103023516</v>
      </c>
      <c r="P191" s="23">
        <v>46240</v>
      </c>
      <c r="R191" s="68">
        <v>0.6788</v>
      </c>
      <c r="S191" s="23">
        <v>46203</v>
      </c>
      <c r="T191" s="23">
        <v>46238</v>
      </c>
      <c r="U191" s="39">
        <v>669.75</v>
      </c>
      <c r="V191" s="39">
        <v>642.664</v>
      </c>
      <c r="W191" t="inlineStr">
        <is>
          <t>Above 75 DMA</t>
        </is>
      </c>
    </row>
    <row r="192">
      <c r="A192" s="23">
        <v>46238.0</v>
      </c>
      <c r="B192" s="25" t="str">
        <f t="shared" si="6"/>
        <v>Tuesday</v>
      </c>
      <c r="C192" s="25" t="s">
        <v>347</v>
      </c>
      <c r="D192" s="31">
        <f>IFERROR(__xludf.DUMMYFUNCTION("GOOGLEFINANCE(""NSE:""&amp;UPPER(TRIM(E192)),""marketcap"")/10000000"),23186.084667)</f>
        <v>23186.08467</v>
      </c>
      <c r="E192" s="7" t="s">
        <v>501</v>
      </c>
      <c r="F192" s="39">
        <f>IFERROR(__xludf.DUMMYFUNCTION("IF(OR(E192="""",A192=""""),"""",
 IF(
   DATE(VALUE(RIGHT(A192,4)),VALUE(MID(A192,4,2)),VALUE(LEFT(A192,2)))&gt;=TODAY(),
   IFERROR(
     GOOGLEFINANCE(""NSE:""&amp;UPPER(TRIM(E192)),""price""),
     ""Not Available""
   ),
   IFERROR(
     INDEX(
       GOOGLE"&amp;"FINANCE(
         ""NSE:""&amp;UPPER(TRIM(E192)),
         ""close"",
         DATE(VALUE(RIGHT(A192,4)),VALUE(MID(A192,4,2)),VALUE(LEFT(A192,2))),
         DATE(VALUE(RIGHT(A192,4)),VALUE(MID(A192,4,2)),VALUE(LEFT(A192,2)))+1
       ),
       2,2
     ),
   "&amp;"  ""Not Available""
   )
 ))"),1384.7)</f>
        <v>1384.7</v>
      </c>
      <c r="G192" s="42">
        <f>IFERROR(__xludf.DUMMYFUNCTION("IF(E192="""","""",IFERROR(GOOGLEFINANCE(""NSE:""&amp;UPPER(TRIM(E192)),""price""),""Not Available""))"),1234.7)</f>
        <v>1234.7</v>
      </c>
      <c r="H192" s="53">
        <f t="shared" si="1"/>
        <v>51</v>
      </c>
      <c r="I192" s="58">
        <f t="shared" si="2"/>
        <v>-0.1083267134</v>
      </c>
      <c r="J192" s="60">
        <f t="shared" si="3"/>
        <v>-10832.67134</v>
      </c>
      <c r="K192" s="42"/>
      <c r="L192" s="42"/>
      <c r="M192" s="68">
        <f t="shared" si="4"/>
        <v>-1</v>
      </c>
      <c r="N192" s="68">
        <f t="shared" si="5"/>
        <v>-1</v>
      </c>
      <c r="O192" s="68">
        <v>0.0210876002022</v>
      </c>
      <c r="P192" s="23">
        <v>46239</v>
      </c>
      <c r="R192" s="68">
        <v>0.5669</v>
      </c>
      <c r="S192" s="23">
        <v>46203</v>
      </c>
      <c r="T192" s="23">
        <v>46238</v>
      </c>
      <c r="U192" s="39">
        <v>1384.7</v>
      </c>
      <c r="V192" s="39">
        <v>1371.79333333</v>
      </c>
      <c r="W192" t="inlineStr">
        <is>
          <t>Above 75 DMA</t>
        </is>
      </c>
    </row>
    <row r="193">
      <c r="A193" s="23">
        <v>46238.0</v>
      </c>
      <c r="B193" s="25" t="str">
        <f t="shared" si="6"/>
        <v>Tuesday</v>
      </c>
      <c r="C193" s="25" t="s">
        <v>347</v>
      </c>
      <c r="D193" s="31">
        <f>IFERROR(__xludf.DUMMYFUNCTION("GOOGLEFINANCE(""NSE:""&amp;UPPER(TRIM(E193)),""marketcap"")/10000000"),4000.1605169)</f>
        <v>4000.160517</v>
      </c>
      <c r="E193" s="7" t="s">
        <v>445</v>
      </c>
      <c r="F193" s="39">
        <f>IFERROR(__xludf.DUMMYFUNCTION("IF(OR(E193="""",A193=""""),"""",
 IF(
   DATE(VALUE(RIGHT(A193,4)),VALUE(MID(A193,4,2)),VALUE(LEFT(A193,2)))&gt;=TODAY(),
   IFERROR(
     GOOGLEFINANCE(""NSE:""&amp;UPPER(TRIM(E193)),""price""),
     ""Not Available""
   ),
   IFERROR(
     INDEX(
       GOOGLE"&amp;"FINANCE(
         ""NSE:""&amp;UPPER(TRIM(E193)),
         ""close"",
         DATE(VALUE(RIGHT(A193,4)),VALUE(MID(A193,4,2)),VALUE(LEFT(A193,2))),
         DATE(VALUE(RIGHT(A193,4)),VALUE(MID(A193,4,2)),VALUE(LEFT(A193,2)))+1
       ),
       2,2
     ),
   "&amp;"  ""Not Available""
   )
 ))"),227.98)</f>
        <v>227.98</v>
      </c>
      <c r="G193" s="42">
        <f>IFERROR(__xludf.DUMMYFUNCTION("IF(E193="""","""",IFERROR(GOOGLEFINANCE(""NSE:""&amp;UPPER(TRIM(E193)),""price""),""Not Available""))"),198.46)</f>
        <v>198.46</v>
      </c>
      <c r="H193" s="53">
        <f t="shared" si="1"/>
        <v>51</v>
      </c>
      <c r="I193" s="58">
        <f t="shared" si="2"/>
        <v>-0.1294850425</v>
      </c>
      <c r="J193" s="60">
        <f t="shared" si="3"/>
        <v>-12948.50425</v>
      </c>
      <c r="K193" s="42"/>
      <c r="L193" s="42"/>
      <c r="M193" s="68">
        <f t="shared" si="4"/>
        <v>-1</v>
      </c>
      <c r="N193" s="68">
        <f t="shared" si="5"/>
        <v>-1</v>
      </c>
      <c r="O193" s="68">
        <v>0.0383805596982</v>
      </c>
      <c r="P193" s="23">
        <v>46239</v>
      </c>
      <c r="Q193" s="68">
        <v>0.0795466933355</v>
      </c>
      <c r="R193" s="68">
        <v>0.6673</v>
      </c>
      <c r="S193" s="23">
        <v>46203</v>
      </c>
      <c r="T193" s="23">
        <v>46238</v>
      </c>
      <c r="U193" s="39">
        <v>227.98</v>
      </c>
      <c r="V193" s="39">
        <v>232.318133333</v>
      </c>
      <c r="W193" t="inlineStr">
        <is>
          <t>Below 75 DMA</t>
        </is>
      </c>
    </row>
    <row r="194">
      <c r="A194" s="23">
        <v>46238.0</v>
      </c>
      <c r="B194" s="25" t="str">
        <f t="shared" si="6"/>
        <v>Tuesday</v>
      </c>
      <c r="C194" s="25" t="s">
        <v>347</v>
      </c>
      <c r="D194" s="31">
        <f>IFERROR(__xludf.DUMMYFUNCTION("GOOGLEFINANCE(""NSE:""&amp;UPPER(TRIM(E194)),""marketcap"")/10000000"),57.024)</f>
        <v>57.024</v>
      </c>
      <c r="E194" s="7" t="s">
        <v>502</v>
      </c>
      <c r="F194" s="39">
        <f>IFERROR(__xludf.DUMMYFUNCTION("IF(OR(E194="""",A194=""""),"""",
 IF(
   DATE(VALUE(RIGHT(A194,4)),VALUE(MID(A194,4,2)),VALUE(LEFT(A194,2)))&gt;=TODAY(),
   IFERROR(
     GOOGLEFINANCE(""NSE:""&amp;UPPER(TRIM(E194)),""price""),
     ""Not Available""
   ),
   IFERROR(
     INDEX(
       GOOGLE"&amp;"FINANCE(
         ""NSE:""&amp;UPPER(TRIM(E194)),
         ""close"",
         DATE(VALUE(RIGHT(A194,4)),VALUE(MID(A194,4,2)),VALUE(LEFT(A194,2))),
         DATE(VALUE(RIGHT(A194,4)),VALUE(MID(A194,4,2)),VALUE(LEFT(A194,2)))+1
       ),
       2,2
     ),
   "&amp;"  ""Not Available""
   )
 ))"),109.91)</f>
        <v>109.91</v>
      </c>
      <c r="G194" s="42">
        <f>IFERROR(__xludf.DUMMYFUNCTION("IF(E194="""","""",IFERROR(GOOGLEFINANCE(""NSE:""&amp;UPPER(TRIM(E194)),""price""),""Not Available""))"),96.0)</f>
        <v>96</v>
      </c>
      <c r="H194" s="53">
        <f t="shared" si="1"/>
        <v>51</v>
      </c>
      <c r="I194" s="58">
        <f t="shared" si="2"/>
        <v>-0.126558093</v>
      </c>
      <c r="J194" s="60">
        <f t="shared" si="3"/>
        <v>-12655.8093</v>
      </c>
      <c r="K194" s="42"/>
      <c r="L194" s="42"/>
      <c r="M194" s="68">
        <f t="shared" si="4"/>
        <v>-1</v>
      </c>
      <c r="N194" s="68">
        <f t="shared" si="5"/>
        <v>-1</v>
      </c>
      <c r="O194" s="68">
        <v>0.0262032572104</v>
      </c>
      <c r="P194" s="23">
        <v>46241</v>
      </c>
      <c r="R194" s="68">
        <v>0.309</v>
      </c>
      <c r="S194" s="23">
        <v>46203</v>
      </c>
      <c r="T194" s="23">
        <v>46238</v>
      </c>
      <c r="U194" s="39">
        <v>109.91</v>
      </c>
      <c r="V194" s="39">
        <v>113.454533333</v>
      </c>
      <c r="W194" t="inlineStr">
        <is>
          <t>Below 75 DMA</t>
        </is>
      </c>
    </row>
    <row r="195">
      <c r="A195" s="23">
        <v>46238.0</v>
      </c>
      <c r="B195" s="25" t="str">
        <f t="shared" si="6"/>
        <v>Tuesday</v>
      </c>
      <c r="C195" s="25" t="s">
        <v>347</v>
      </c>
      <c r="D195" s="31">
        <f>IFERROR(__xludf.DUMMYFUNCTION("GOOGLEFINANCE(""NSE:""&amp;UPPER(TRIM(E195)),""marketcap"")/10000000"),903862.0279078)</f>
        <v>903862.0279</v>
      </c>
      <c r="E195" s="7" t="s">
        <v>503</v>
      </c>
      <c r="F195" s="39">
        <f>IFERROR(__xludf.DUMMYFUNCTION("IF(OR(E195="""",A195=""""),"""",
 IF(
   DATE(VALUE(RIGHT(A195,4)),VALUE(MID(A195,4,2)),VALUE(LEFT(A195,2)))&gt;=TODAY(),
   IFERROR(
     GOOGLEFINANCE(""NSE:""&amp;UPPER(TRIM(E195)),""price""),
     ""Not Available""
   ),
   IFERROR(
     INDEX(
       GOOGLE"&amp;"FINANCE(
         ""NSE:""&amp;UPPER(TRIM(E195)),
         ""close"",
         DATE(VALUE(RIGHT(A195,4)),VALUE(MID(A195,4,2)),VALUE(LEFT(A195,2))),
         DATE(VALUE(RIGHT(A195,4)),VALUE(MID(A195,4,2)),VALUE(LEFT(A195,2)))+1
       ),
       2,2
     ),
   "&amp;"  ""Not Available""
   )
 ))"),1042.7)</f>
        <v>1042.7</v>
      </c>
      <c r="G195" s="42">
        <f>IFERROR(__xludf.DUMMYFUNCTION("IF(E195="""","""",IFERROR(GOOGLEFINANCE(""NSE:""&amp;UPPER(TRIM(E195)),""price""),""Not Available""))"),978.7)</f>
        <v>978.7</v>
      </c>
      <c r="H195" s="53">
        <f t="shared" si="1"/>
        <v>51</v>
      </c>
      <c r="I195" s="58">
        <f t="shared" si="2"/>
        <v>-0.06137911192</v>
      </c>
      <c r="J195" s="60">
        <f t="shared" si="3"/>
        <v>-6137.911192</v>
      </c>
      <c r="K195" s="42"/>
      <c r="L195" s="42"/>
      <c r="M195" s="68">
        <f t="shared" si="4"/>
        <v>-1</v>
      </c>
      <c r="N195" s="68">
        <f t="shared" si="5"/>
        <v>-1</v>
      </c>
      <c r="O195" s="68">
        <v>0.078450177424</v>
      </c>
      <c r="P195" s="23">
        <v>46241</v>
      </c>
      <c r="R195" s="68">
        <v>0.5547</v>
      </c>
      <c r="S195" s="23">
        <v>46203</v>
      </c>
      <c r="T195" s="23">
        <v>46238</v>
      </c>
      <c r="U195" s="39">
        <v>1042.7</v>
      </c>
      <c r="V195" s="39">
        <v>1023.31466667</v>
      </c>
      <c r="W195" t="inlineStr">
        <is>
          <t>Above 75 DMA</t>
        </is>
      </c>
    </row>
    <row r="196">
      <c r="A196" s="23">
        <v>46238.0</v>
      </c>
      <c r="B196" s="25" t="str">
        <f t="shared" si="6"/>
        <v>Tuesday</v>
      </c>
      <c r="C196" s="25" t="s">
        <v>347</v>
      </c>
      <c r="D196" s="31">
        <f>IFERROR(__xludf.DUMMYFUNCTION("GOOGLEFINANCE(""NSE:""&amp;UPPER(TRIM(E196)),""marketcap"")/10000000"),15813.1142844)</f>
        <v>15813.11428</v>
      </c>
      <c r="E196" s="7" t="s">
        <v>504</v>
      </c>
      <c r="F196" s="39">
        <f>IFERROR(__xludf.DUMMYFUNCTION("IF(OR(E196="""",A196=""""),"""",
 IF(
   DATE(VALUE(RIGHT(A196,4)),VALUE(MID(A196,4,2)),VALUE(LEFT(A196,2)))&gt;=TODAY(),
   IFERROR(
     GOOGLEFINANCE(""NSE:""&amp;UPPER(TRIM(E196)),""price""),
     ""Not Available""
   ),
   IFERROR(
     INDEX(
       GOOGLE"&amp;"FINANCE(
         ""NSE:""&amp;UPPER(TRIM(E196)),
         ""close"",
         DATE(VALUE(RIGHT(A196,4)),VALUE(MID(A196,4,2)),VALUE(LEFT(A196,2))),
         DATE(VALUE(RIGHT(A196,4)),VALUE(MID(A196,4,2)),VALUE(LEFT(A196,2)))+1
       ),
       2,2
     ),
   "&amp;"  ""Not Available""
   )
 ))"),1366.1)</f>
        <v>1366.1</v>
      </c>
      <c r="G196" s="42">
        <f>IFERROR(__xludf.DUMMYFUNCTION("IF(E196="""","""",IFERROR(GOOGLEFINANCE(""NSE:""&amp;UPPER(TRIM(E196)),""price""),""Not Available""))"),1200.6)</f>
        <v>1200.6</v>
      </c>
      <c r="H196" s="53">
        <f t="shared" si="1"/>
        <v>51</v>
      </c>
      <c r="I196" s="58">
        <f t="shared" si="2"/>
        <v>-0.121147793</v>
      </c>
      <c r="J196" s="60">
        <f t="shared" si="3"/>
        <v>-12114.7793</v>
      </c>
      <c r="K196" s="42"/>
      <c r="L196" s="42"/>
      <c r="M196" s="68">
        <f t="shared" si="4"/>
        <v>-1</v>
      </c>
      <c r="N196" s="68">
        <f t="shared" si="5"/>
        <v>-1</v>
      </c>
      <c r="O196" s="68">
        <v>0.0767147353781</v>
      </c>
      <c r="P196" s="23">
        <v>46241</v>
      </c>
      <c r="R196" s="68">
        <v>0.8619</v>
      </c>
      <c r="S196" s="23">
        <v>46203</v>
      </c>
      <c r="T196" s="23">
        <v>46238</v>
      </c>
      <c r="U196" s="39">
        <v>1366.1</v>
      </c>
      <c r="V196" s="39">
        <v>1264.704</v>
      </c>
      <c r="W196" t="inlineStr">
        <is>
          <t>Above 75 DMA</t>
        </is>
      </c>
    </row>
    <row r="197">
      <c r="A197" s="23">
        <v>46238.0</v>
      </c>
      <c r="B197" s="25" t="str">
        <f t="shared" si="6"/>
        <v>Tuesday</v>
      </c>
      <c r="C197" s="25" t="s">
        <v>347</v>
      </c>
      <c r="D197" s="31">
        <f>IFERROR(__xludf.DUMMYFUNCTION("GOOGLEFINANCE(""NSE:""&amp;UPPER(TRIM(E197)),""marketcap"")/10000000"),951.266546)</f>
        <v>951.266546</v>
      </c>
      <c r="E197" s="7" t="s">
        <v>459</v>
      </c>
      <c r="F197" s="39">
        <f>IFERROR(__xludf.DUMMYFUNCTION("IF(OR(E197="""",A197=""""),"""",
 IF(
   DATE(VALUE(RIGHT(A197,4)),VALUE(MID(A197,4,2)),VALUE(LEFT(A197,2)))&gt;=TODAY(),
   IFERROR(
     GOOGLEFINANCE(""NSE:""&amp;UPPER(TRIM(E197)),""price""),
     ""Not Available""
   ),
   IFERROR(
     INDEX(
       GOOGLE"&amp;"FINANCE(
         ""NSE:""&amp;UPPER(TRIM(E197)),
         ""close"",
         DATE(VALUE(RIGHT(A197,4)),VALUE(MID(A197,4,2)),VALUE(LEFT(A197,2))),
         DATE(VALUE(RIGHT(A197,4)),VALUE(MID(A197,4,2)),VALUE(LEFT(A197,2)))+1
       ),
       2,2
     ),
   "&amp;"  ""Not Available""
   )
 ))"),509.85)</f>
        <v>509.85</v>
      </c>
      <c r="G197" s="42">
        <f>IFERROR(__xludf.DUMMYFUNCTION("IF(E197="""","""",IFERROR(GOOGLEFINANCE(""NSE:""&amp;UPPER(TRIM(E197)),""price""),""Not Available""))"),416.1)</f>
        <v>416.1</v>
      </c>
      <c r="H197" s="53">
        <f t="shared" si="1"/>
        <v>51</v>
      </c>
      <c r="I197" s="58">
        <f t="shared" si="2"/>
        <v>-0.1838776111</v>
      </c>
      <c r="J197" s="60">
        <f t="shared" si="3"/>
        <v>-18387.76111</v>
      </c>
      <c r="K197" s="42"/>
      <c r="L197" s="42"/>
      <c r="M197" s="68">
        <f t="shared" si="4"/>
        <v>-1</v>
      </c>
      <c r="N197" s="68">
        <f t="shared" si="5"/>
        <v>-1</v>
      </c>
      <c r="O197" s="68">
        <v>0.0518780033343</v>
      </c>
      <c r="P197" s="23">
        <v>46240</v>
      </c>
      <c r="Q197" s="68">
        <v>0.39028542936</v>
      </c>
      <c r="R197" s="68">
        <v>0.7259</v>
      </c>
      <c r="S197" s="23">
        <v>46203</v>
      </c>
      <c r="T197" s="23">
        <v>46238</v>
      </c>
      <c r="U197" s="39">
        <v>509.85</v>
      </c>
      <c r="V197" s="39">
        <v>503.579333333</v>
      </c>
      <c r="W197" t="inlineStr">
        <is>
          <t>Above 75 DMA</t>
        </is>
      </c>
    </row>
    <row r="198">
      <c r="A198" s="23">
        <v>46238.0</v>
      </c>
      <c r="B198" s="25" t="str">
        <f t="shared" si="6"/>
        <v>Tuesday</v>
      </c>
      <c r="C198" s="25" t="s">
        <v>347</v>
      </c>
      <c r="D198" s="31">
        <f>IFERROR(__xludf.DUMMYFUNCTION("GOOGLEFINANCE(""NSE:""&amp;UPPER(TRIM(E198)),""marketcap"")/10000000"),2643.31926)</f>
        <v>2643.31926</v>
      </c>
      <c r="E198" s="7" t="s">
        <v>354</v>
      </c>
      <c r="F198" s="39">
        <f>IFERROR(__xludf.DUMMYFUNCTION("IF(OR(E198="""",A198=""""),"""",
 IF(
   DATE(VALUE(RIGHT(A198,4)),VALUE(MID(A198,4,2)),VALUE(LEFT(A198,2)))&gt;=TODAY(),
   IFERROR(
     GOOGLEFINANCE(""NSE:""&amp;UPPER(TRIM(E198)),""price""),
     ""Not Available""
   ),
   IFERROR(
     INDEX(
       GOOGLE"&amp;"FINANCE(
         ""NSE:""&amp;UPPER(TRIM(E198)),
         ""close"",
         DATE(VALUE(RIGHT(A198,4)),VALUE(MID(A198,4,2)),VALUE(LEFT(A198,2))),
         DATE(VALUE(RIGHT(A198,4)),VALUE(MID(A198,4,2)),VALUE(LEFT(A198,2)))+1
       ),
       2,2
     ),
   "&amp;"  ""Not Available""
   )
 ))"),1997.4)</f>
        <v>1997.4</v>
      </c>
      <c r="G198" s="42">
        <f>IFERROR(__xludf.DUMMYFUNCTION("IF(E198="""","""",IFERROR(GOOGLEFINANCE(""NSE:""&amp;UPPER(TRIM(E198)),""price""),""Not Available""))"),1740.0)</f>
        <v>1740</v>
      </c>
      <c r="H198" s="53">
        <f t="shared" si="1"/>
        <v>51</v>
      </c>
      <c r="I198" s="58">
        <f t="shared" si="2"/>
        <v>-0.1288675278</v>
      </c>
      <c r="J198" s="60">
        <f t="shared" si="3"/>
        <v>-12886.75278</v>
      </c>
      <c r="K198" s="42"/>
      <c r="L198" s="42"/>
      <c r="M198" s="68">
        <f t="shared" si="4"/>
        <v>-1</v>
      </c>
      <c r="N198" s="68">
        <f t="shared" si="5"/>
        <v>-1</v>
      </c>
      <c r="O198" s="68">
        <v>0.0496144988485</v>
      </c>
      <c r="P198" s="23">
        <v>46239</v>
      </c>
      <c r="Q198" s="68">
        <v>0.0941347106269</v>
      </c>
      <c r="R198" s="68">
        <v>0.4295</v>
      </c>
      <c r="S198" s="23">
        <v>46203</v>
      </c>
      <c r="T198" s="23">
        <v>46238</v>
      </c>
      <c r="U198" s="39">
        <v>1997.4</v>
      </c>
      <c r="V198" s="39">
        <v>1893.28533333</v>
      </c>
      <c r="W198" t="inlineStr">
        <is>
          <t>Above 75 DMA</t>
        </is>
      </c>
    </row>
    <row r="199">
      <c r="A199" s="23">
        <v>46238.0</v>
      </c>
      <c r="B199" s="25" t="str">
        <f t="shared" si="6"/>
        <v>Tuesday</v>
      </c>
      <c r="C199" s="25" t="s">
        <v>347</v>
      </c>
      <c r="D199" s="31">
        <f>IFERROR(__xludf.DUMMYFUNCTION("GOOGLEFINANCE(""NSE:""&amp;UPPER(TRIM(E199)),""marketcap"")/10000000"),11036.9212)</f>
        <v>11036.9212</v>
      </c>
      <c r="E199" s="7" t="s">
        <v>259</v>
      </c>
      <c r="F199" s="39">
        <f>IFERROR(__xludf.DUMMYFUNCTION("IF(OR(E199="""",A199=""""),"""",
 IF(
   DATE(VALUE(RIGHT(A199,4)),VALUE(MID(A199,4,2)),VALUE(LEFT(A199,2)))&gt;=TODAY(),
   IFERROR(
     GOOGLEFINANCE(""NSE:""&amp;UPPER(TRIM(E199)),""price""),
     ""Not Available""
   ),
   IFERROR(
     INDEX(
       GOOGLE"&amp;"FINANCE(
         ""NSE:""&amp;UPPER(TRIM(E199)),
         ""close"",
         DATE(VALUE(RIGHT(A199,4)),VALUE(MID(A199,4,2)),VALUE(LEFT(A199,2))),
         DATE(VALUE(RIGHT(A199,4)),VALUE(MID(A199,4,2)),VALUE(LEFT(A199,2)))+1
       ),
       2,2
     ),
   "&amp;"  ""Not Available""
   )
 ))"),849.75)</f>
        <v>849.75</v>
      </c>
      <c r="G199" s="42">
        <f>IFERROR(__xludf.DUMMYFUNCTION("IF(E199="""","""",IFERROR(GOOGLEFINANCE(""NSE:""&amp;UPPER(TRIM(E199)),""price""),""Not Available""))"),820.15)</f>
        <v>820.15</v>
      </c>
      <c r="H199" s="53">
        <f t="shared" si="1"/>
        <v>51</v>
      </c>
      <c r="I199" s="58">
        <f t="shared" si="2"/>
        <v>-0.03483377464</v>
      </c>
      <c r="J199" s="60">
        <f t="shared" si="3"/>
        <v>-3483.377464</v>
      </c>
      <c r="K199" s="42"/>
      <c r="L199" s="42"/>
      <c r="M199" s="68">
        <f t="shared" si="4"/>
        <v>-1</v>
      </c>
      <c r="N199" s="68">
        <f t="shared" si="5"/>
        <v>-1</v>
      </c>
      <c r="O199" s="68">
        <v>0.0647837599294</v>
      </c>
      <c r="P199" s="23">
        <v>46274</v>
      </c>
      <c r="Q199" s="68">
        <v>0.0882287260813</v>
      </c>
      <c r="R199" s="68">
        <v>0.4046</v>
      </c>
      <c r="S199" s="23">
        <v>46203</v>
      </c>
      <c r="T199" s="23">
        <v>46238</v>
      </c>
      <c r="U199" s="39">
        <v>849.75</v>
      </c>
      <c r="V199" s="39">
        <v>829.034</v>
      </c>
      <c r="W199" t="inlineStr">
        <is>
          <t>Above 75 DMA</t>
        </is>
      </c>
    </row>
    <row r="200">
      <c r="A200" s="23">
        <v>46238.0</v>
      </c>
      <c r="B200" s="25" t="str">
        <f t="shared" si="6"/>
        <v>Tuesday</v>
      </c>
      <c r="C200" s="25" t="s">
        <v>347</v>
      </c>
      <c r="D200" s="31">
        <f>IFERROR(__xludf.DUMMYFUNCTION("GOOGLEFINANCE(""NSE:""&amp;UPPER(TRIM(E200)),""marketcap"")/10000000"),186583.94575)</f>
        <v>186583.9458</v>
      </c>
      <c r="E200" s="7" t="s">
        <v>505</v>
      </c>
      <c r="F200" s="39">
        <f>IFERROR(__xludf.DUMMYFUNCTION("IF(OR(E200="""",A200=""""),"""",
 IF(
   DATE(VALUE(RIGHT(A200,4)),VALUE(MID(A200,4,2)),VALUE(LEFT(A200,2)))&gt;=TODAY(),
   IFERROR(
     GOOGLEFINANCE(""NSE:""&amp;UPPER(TRIM(E200)),""price""),
     ""Not Available""
   ),
   IFERROR(
     INDEX(
       GOOGLE"&amp;"FINANCE(
         ""NSE:""&amp;UPPER(TRIM(E200)),
         ""close"",
         DATE(VALUE(RIGHT(A200,4)),VALUE(MID(A200,4,2)),VALUE(LEFT(A200,2))),
         DATE(VALUE(RIGHT(A200,4)),VALUE(MID(A200,4,2)),VALUE(LEFT(A200,2)))+1
       ),
       2,2
     ),
   "&amp;"  ""Not Available""
   )
 ))"),1087.3)</f>
        <v>1087.3</v>
      </c>
      <c r="G200" s="42">
        <f>IFERROR(__xludf.DUMMYFUNCTION("IF(E200="""","""",IFERROR(GOOGLEFINANCE(""NSE:""&amp;UPPER(TRIM(E200)),""price""),""Not Available""))"),992.3)</f>
        <v>992.3</v>
      </c>
      <c r="H200" s="53">
        <f t="shared" si="1"/>
        <v>51</v>
      </c>
      <c r="I200" s="58">
        <f t="shared" si="2"/>
        <v>-0.08737239032</v>
      </c>
      <c r="J200" s="60">
        <f t="shared" si="3"/>
        <v>-8737.239032</v>
      </c>
      <c r="K200" s="42"/>
      <c r="L200" s="42"/>
      <c r="M200" s="68">
        <f t="shared" si="4"/>
        <v>-1</v>
      </c>
      <c r="N200" s="68">
        <f t="shared" si="5"/>
        <v>-1</v>
      </c>
      <c r="O200" s="68">
        <v>0.0610687022901</v>
      </c>
      <c r="P200" s="23">
        <v>46240</v>
      </c>
      <c r="R200" s="68">
        <v>0.203</v>
      </c>
      <c r="S200" s="23">
        <v>46203</v>
      </c>
      <c r="T200" s="23">
        <v>46238</v>
      </c>
      <c r="U200" s="39">
        <v>1087.3</v>
      </c>
      <c r="V200" s="39">
        <v>993.416666667</v>
      </c>
      <c r="W200" t="inlineStr">
        <is>
          <t>Above 75 DMA</t>
        </is>
      </c>
    </row>
    <row r="201">
      <c r="A201" s="23">
        <v>46238.0</v>
      </c>
      <c r="B201" s="25" t="str">
        <f t="shared" si="6"/>
        <v>Tuesday</v>
      </c>
      <c r="C201" s="25" t="s">
        <v>347</v>
      </c>
      <c r="D201" s="31">
        <f>IFERROR(__xludf.DUMMYFUNCTION("GOOGLEFINANCE(""NSE:""&amp;UPPER(TRIM(E201)),""marketcap"")/10000000"),8416.5482128)</f>
        <v>8416.548213</v>
      </c>
      <c r="E201" s="7" t="s">
        <v>506</v>
      </c>
      <c r="F201" s="39">
        <f>IFERROR(__xludf.DUMMYFUNCTION("IF(OR(E201="""",A201=""""),"""",
 IF(
   DATE(VALUE(RIGHT(A201,4)),VALUE(MID(A201,4,2)),VALUE(LEFT(A201,2)))&gt;=TODAY(),
   IFERROR(
     GOOGLEFINANCE(""NSE:""&amp;UPPER(TRIM(E201)),""price""),
     ""Not Available""
   ),
   IFERROR(
     INDEX(
       GOOGLE"&amp;"FINANCE(
         ""NSE:""&amp;UPPER(TRIM(E201)),
         ""close"",
         DATE(VALUE(RIGHT(A201,4)),VALUE(MID(A201,4,2)),VALUE(LEFT(A201,2))),
         DATE(VALUE(RIGHT(A201,4)),VALUE(MID(A201,4,2)),VALUE(LEFT(A201,2)))+1
       ),
       2,2
     ),
   "&amp;"  ""Not Available""
   )
 ))"),113.29)</f>
        <v>113.29</v>
      </c>
      <c r="G201" s="42">
        <f>IFERROR(__xludf.DUMMYFUNCTION("IF(E201="""","""",IFERROR(GOOGLEFINANCE(""NSE:""&amp;UPPER(TRIM(E201)),""price""),""Not Available""))"),106.29)</f>
        <v>106.29</v>
      </c>
      <c r="H201" s="53">
        <f t="shared" si="1"/>
        <v>51</v>
      </c>
      <c r="I201" s="58">
        <f t="shared" si="2"/>
        <v>-0.06178833083</v>
      </c>
      <c r="J201" s="60">
        <f t="shared" si="3"/>
        <v>-6178.833083</v>
      </c>
      <c r="K201" s="42"/>
      <c r="L201" s="42"/>
      <c r="M201" s="68">
        <f t="shared" si="4"/>
        <v>-1</v>
      </c>
      <c r="N201" s="68">
        <f t="shared" si="5"/>
        <v>-1</v>
      </c>
      <c r="O201" s="68">
        <v>0.0210963015271</v>
      </c>
      <c r="P201" s="23">
        <v>46239</v>
      </c>
      <c r="R201" s="68">
        <v>0.2232</v>
      </c>
      <c r="S201" s="23">
        <v>46203</v>
      </c>
      <c r="T201" s="23">
        <v>46238</v>
      </c>
      <c r="U201" s="39">
        <v>113.29</v>
      </c>
      <c r="V201" s="39">
        <v>114.4288</v>
      </c>
      <c r="W201" t="inlineStr">
        <is>
          <t>Below 75 DMA</t>
        </is>
      </c>
    </row>
    <row r="202">
      <c r="A202" s="23">
        <v>46238.0</v>
      </c>
      <c r="B202" s="25" t="str">
        <f t="shared" si="6"/>
        <v>Tuesday</v>
      </c>
      <c r="C202" s="25" t="s">
        <v>347</v>
      </c>
      <c r="D202" s="31">
        <f>IFERROR(__xludf.DUMMYFUNCTION("GOOGLEFINANCE(""NSE:""&amp;UPPER(TRIM(E202)),""marketcap"")/10000000"),14823.1038281)</f>
        <v>14823.10383</v>
      </c>
      <c r="E202" s="7" t="s">
        <v>507</v>
      </c>
      <c r="F202" s="39">
        <f>IFERROR(__xludf.DUMMYFUNCTION("IF(OR(E202="""",A202=""""),"""",
 IF(
   DATE(VALUE(RIGHT(A202,4)),VALUE(MID(A202,4,2)),VALUE(LEFT(A202,2)))&gt;=TODAY(),
   IFERROR(
     GOOGLEFINANCE(""NSE:""&amp;UPPER(TRIM(E202)),""price""),
     ""Not Available""
   ),
   IFERROR(
     INDEX(
       GOOGLE"&amp;"FINANCE(
         ""NSE:""&amp;UPPER(TRIM(E202)),
         ""close"",
         DATE(VALUE(RIGHT(A202,4)),VALUE(MID(A202,4,2)),VALUE(LEFT(A202,2))),
         DATE(VALUE(RIGHT(A202,4)),VALUE(MID(A202,4,2)),VALUE(LEFT(A202,2)))+1
       ),
       2,2
     ),
   "&amp;"  ""Not Available""
   )
 ))"),398.2)</f>
        <v>398.2</v>
      </c>
      <c r="G202" s="42">
        <f>IFERROR(__xludf.DUMMYFUNCTION("IF(E202="""","""",IFERROR(GOOGLEFINANCE(""NSE:""&amp;UPPER(TRIM(E202)),""price""),""Not Available""))"),398.9)</f>
        <v>398.9</v>
      </c>
      <c r="H202" s="53">
        <f t="shared" si="1"/>
        <v>51</v>
      </c>
      <c r="I202" s="58">
        <f t="shared" si="2"/>
        <v>0.001757910598</v>
      </c>
      <c r="J202" s="60">
        <f t="shared" si="3"/>
        <v>175.7910598</v>
      </c>
      <c r="K202" s="42"/>
      <c r="L202" s="42"/>
      <c r="M202" s="68">
        <f t="shared" si="4"/>
        <v>-1</v>
      </c>
      <c r="N202" s="68">
        <f t="shared" si="5"/>
        <v>-1</v>
      </c>
      <c r="O202" s="68">
        <v>0.0747112004018</v>
      </c>
      <c r="P202" s="23">
        <v>46274</v>
      </c>
      <c r="R202" s="68">
        <v>0.4998</v>
      </c>
      <c r="S202" s="23">
        <v>46203</v>
      </c>
      <c r="T202" s="23">
        <v>46238</v>
      </c>
      <c r="U202" s="39">
        <v>398.2</v>
      </c>
      <c r="V202" s="39">
        <v>374.682533333</v>
      </c>
      <c r="W202" t="inlineStr">
        <is>
          <t>Above 75 DMA</t>
        </is>
      </c>
    </row>
    <row r="203">
      <c r="A203" s="23">
        <v>46238.0</v>
      </c>
      <c r="B203" s="25" t="str">
        <f t="shared" si="6"/>
        <v>Tuesday</v>
      </c>
      <c r="C203" s="25" t="s">
        <v>347</v>
      </c>
      <c r="D203" s="31">
        <f>IFERROR(__xludf.DUMMYFUNCTION("GOOGLEFINANCE(""NSE:""&amp;UPPER(TRIM(E203)),""marketcap"")/10000000"),1017.67536)</f>
        <v>1017.67536</v>
      </c>
      <c r="E203" s="7" t="s">
        <v>508</v>
      </c>
      <c r="F203" s="39">
        <f>IFERROR(__xludf.DUMMYFUNCTION("IF(OR(E203="""",A203=""""),"""",
 IF(
   DATE(VALUE(RIGHT(A203,4)),VALUE(MID(A203,4,2)),VALUE(LEFT(A203,2)))&gt;=TODAY(),
   IFERROR(
     GOOGLEFINANCE(""NSE:""&amp;UPPER(TRIM(E203)),""price""),
     ""Not Available""
   ),
   IFERROR(
     INDEX(
       GOOGLE"&amp;"FINANCE(
         ""NSE:""&amp;UPPER(TRIM(E203)),
         ""close"",
         DATE(VALUE(RIGHT(A203,4)),VALUE(MID(A203,4,2)),VALUE(LEFT(A203,2))),
         DATE(VALUE(RIGHT(A203,4)),VALUE(MID(A203,4,2)),VALUE(LEFT(A203,2)))+1
       ),
       2,2
     ),
   "&amp;"  ""Not Available""
   )
 ))"),386.25)</f>
        <v>386.25</v>
      </c>
      <c r="G203" s="42">
        <f>IFERROR(__xludf.DUMMYFUNCTION("IF(E203="""","""",IFERROR(GOOGLEFINANCE(""NSE:""&amp;UPPER(TRIM(E203)),""price""),""Not Available""))"),360.0)</f>
        <v>360</v>
      </c>
      <c r="H203" s="53">
        <f t="shared" si="1"/>
        <v>51</v>
      </c>
      <c r="I203" s="58">
        <f t="shared" si="2"/>
        <v>-0.06796116505</v>
      </c>
      <c r="J203" s="60">
        <f t="shared" si="3"/>
        <v>-6796.116505</v>
      </c>
      <c r="K203" s="42"/>
      <c r="L203" s="42"/>
      <c r="M203" s="68">
        <f t="shared" si="4"/>
        <v>-1</v>
      </c>
      <c r="N203" s="68">
        <f t="shared" si="5"/>
        <v>-1</v>
      </c>
      <c r="O203" s="68">
        <v>0.00970873786408</v>
      </c>
      <c r="P203" s="23">
        <v>46261</v>
      </c>
      <c r="R203" s="68">
        <v>0.6984</v>
      </c>
      <c r="S203" s="23">
        <v>46203</v>
      </c>
      <c r="T203" s="23">
        <v>46238</v>
      </c>
      <c r="U203" s="39">
        <v>386.25</v>
      </c>
      <c r="V203" s="39">
        <v>370.813333333</v>
      </c>
      <c r="W203" t="inlineStr">
        <is>
          <t>Above 75 DMA</t>
        </is>
      </c>
    </row>
    <row r="204">
      <c r="A204" s="23">
        <v>46238.0</v>
      </c>
      <c r="B204" s="25" t="str">
        <f t="shared" si="6"/>
        <v>Tuesday</v>
      </c>
      <c r="C204" s="25" t="s">
        <v>347</v>
      </c>
      <c r="D204" s="31">
        <f>IFERROR(__xludf.DUMMYFUNCTION("GOOGLEFINANCE(""NSE:""&amp;UPPER(TRIM(E204)),""marketcap"")/10000000"),2766.21916)</f>
        <v>2766.21916</v>
      </c>
      <c r="E204" s="7" t="s">
        <v>509</v>
      </c>
      <c r="F204" s="39">
        <f>IFERROR(__xludf.DUMMYFUNCTION("IF(OR(E204="""",A204=""""),"""",
 IF(
   DATE(VALUE(RIGHT(A204,4)),VALUE(MID(A204,4,2)),VALUE(LEFT(A204,2)))&gt;=TODAY(),
   IFERROR(
     GOOGLEFINANCE(""NSE:""&amp;UPPER(TRIM(E204)),""price""),
     ""Not Available""
   ),
   IFERROR(
     INDEX(
       GOOGLE"&amp;"FINANCE(
         ""NSE:""&amp;UPPER(TRIM(E204)),
         ""close"",
         DATE(VALUE(RIGHT(A204,4)),VALUE(MID(A204,4,2)),VALUE(LEFT(A204,2))),
         DATE(VALUE(RIGHT(A204,4)),VALUE(MID(A204,4,2)),VALUE(LEFT(A204,2)))+1
       ),
       2,2
     ),
   "&amp;"  ""Not Available""
   )
 ))"),391.45)</f>
        <v>391.45</v>
      </c>
      <c r="G204" s="42">
        <f>IFERROR(__xludf.DUMMYFUNCTION("IF(E204="""","""",IFERROR(GOOGLEFINANCE(""NSE:""&amp;UPPER(TRIM(E204)),""price""),""Not Available""))"),411.2)</f>
        <v>411.2</v>
      </c>
      <c r="H204" s="53">
        <f t="shared" si="1"/>
        <v>51</v>
      </c>
      <c r="I204" s="58">
        <f t="shared" si="2"/>
        <v>0.05045344233</v>
      </c>
      <c r="J204" s="60">
        <f t="shared" si="3"/>
        <v>5045.344233</v>
      </c>
      <c r="K204" s="42"/>
      <c r="L204" s="42"/>
      <c r="M204" s="68">
        <f t="shared" si="4"/>
        <v>-1</v>
      </c>
      <c r="N204" s="68">
        <f t="shared" si="5"/>
        <v>-1</v>
      </c>
      <c r="O204" s="68">
        <v>0.194022225061</v>
      </c>
      <c r="P204" s="23">
        <v>46273</v>
      </c>
      <c r="R204" s="68">
        <v>0.5642</v>
      </c>
      <c r="S204" s="23">
        <v>46203</v>
      </c>
      <c r="T204" s="23">
        <v>46238</v>
      </c>
      <c r="U204" s="39">
        <v>391.45</v>
      </c>
      <c r="V204" s="39">
        <v>435.534</v>
      </c>
      <c r="W204" t="inlineStr">
        <is>
          <t>Below 75 DMA</t>
        </is>
      </c>
    </row>
    <row r="205">
      <c r="A205" s="23">
        <v>46238.0</v>
      </c>
      <c r="B205" s="25" t="str">
        <f t="shared" si="6"/>
        <v>Tuesday</v>
      </c>
      <c r="C205" s="25" t="s">
        <v>347</v>
      </c>
      <c r="D205" s="31">
        <f>IFERROR(__xludf.DUMMYFUNCTION("GOOGLEFINANCE(""NSE:""&amp;UPPER(TRIM(E205)),""marketcap"")/10000000"),34360.7279462)</f>
        <v>34360.72795</v>
      </c>
      <c r="E205" s="7" t="s">
        <v>472</v>
      </c>
      <c r="F205" s="39">
        <f>IFERROR(__xludf.DUMMYFUNCTION("IF(OR(E205="""",A205=""""),"""",
 IF(
   DATE(VALUE(RIGHT(A205,4)),VALUE(MID(A205,4,2)),VALUE(LEFT(A205,2)))&gt;=TODAY(),
   IFERROR(
     GOOGLEFINANCE(""NSE:""&amp;UPPER(TRIM(E205)),""price""),
     ""Not Available""
   ),
   IFERROR(
     INDEX(
       GOOGLE"&amp;"FINANCE(
         ""NSE:""&amp;UPPER(TRIM(E205)),
         ""close"",
         DATE(VALUE(RIGHT(A205,4)),VALUE(MID(A205,4,2)),VALUE(LEFT(A205,2))),
         DATE(VALUE(RIGHT(A205,4)),VALUE(MID(A205,4,2)),VALUE(LEFT(A205,2)))+1
       ),
       2,2
     ),
   "&amp;"  ""Not Available""
   )
 ))"),203.41)</f>
        <v>203.41</v>
      </c>
      <c r="G205" s="42">
        <f>IFERROR(__xludf.DUMMYFUNCTION("IF(E205="""","""",IFERROR(GOOGLEFINANCE(""NSE:""&amp;UPPER(TRIM(E205)),""price""),""Not Available""))"),171.85)</f>
        <v>171.85</v>
      </c>
      <c r="H205" s="53">
        <f t="shared" si="1"/>
        <v>51</v>
      </c>
      <c r="I205" s="58">
        <f t="shared" si="2"/>
        <v>-0.1551546138</v>
      </c>
      <c r="J205" s="60">
        <f t="shared" si="3"/>
        <v>-15515.46138</v>
      </c>
      <c r="K205" s="42"/>
      <c r="L205" s="42"/>
      <c r="M205" s="68">
        <f t="shared" si="4"/>
        <v>-1</v>
      </c>
      <c r="N205" s="68">
        <f t="shared" si="5"/>
        <v>-1</v>
      </c>
      <c r="O205" s="68">
        <v>0.00624354751487</v>
      </c>
      <c r="P205" s="23">
        <v>46239</v>
      </c>
      <c r="Q205" s="68">
        <v>0.0841218635313</v>
      </c>
      <c r="R205" s="68">
        <v>0.75</v>
      </c>
      <c r="S205" s="23">
        <v>46203</v>
      </c>
      <c r="T205" s="23">
        <v>46238</v>
      </c>
      <c r="U205" s="39">
        <v>203.41</v>
      </c>
      <c r="V205" s="39">
        <v>207.672666667</v>
      </c>
      <c r="W205" t="inlineStr">
        <is>
          <t>Below 75 DMA</t>
        </is>
      </c>
    </row>
    <row r="206">
      <c r="A206" s="23">
        <v>46238.0</v>
      </c>
      <c r="B206" s="25" t="str">
        <f t="shared" si="6"/>
        <v>Tuesday</v>
      </c>
      <c r="C206" s="25" t="s">
        <v>347</v>
      </c>
      <c r="D206" s="31">
        <f>IFERROR(__xludf.DUMMYFUNCTION("GOOGLEFINANCE(""NSE:""&amp;UPPER(TRIM(E206)),""marketcap"")/10000000"),482.2279375)</f>
        <v>482.2279375</v>
      </c>
      <c r="E206" s="7" t="s">
        <v>510</v>
      </c>
      <c r="F206" s="39">
        <f>IFERROR(__xludf.DUMMYFUNCTION("IF(OR(E206="""",A206=""""),"""",
 IF(
   DATE(VALUE(RIGHT(A206,4)),VALUE(MID(A206,4,2)),VALUE(LEFT(A206,2)))&gt;=TODAY(),
   IFERROR(
     GOOGLEFINANCE(""NSE:""&amp;UPPER(TRIM(E206)),""price""),
     ""Not Available""
   ),
   IFERROR(
     INDEX(
       GOOGLE"&amp;"FINANCE(
         ""NSE:""&amp;UPPER(TRIM(E206)),
         ""close"",
         DATE(VALUE(RIGHT(A206,4)),VALUE(MID(A206,4,2)),VALUE(LEFT(A206,2))),
         DATE(VALUE(RIGHT(A206,4)),VALUE(MID(A206,4,2)),VALUE(LEFT(A206,2)))+1
       ),
       2,2
     ),
   "&amp;"  ""Not Available""
   )
 ))"),101.98)</f>
        <v>101.98</v>
      </c>
      <c r="G206" s="42">
        <f>IFERROR(__xludf.DUMMYFUNCTION("IF(E206="""","""",IFERROR(GOOGLEFINANCE(""NSE:""&amp;UPPER(TRIM(E206)),""price""),""Not Available""))"),92.34)</f>
        <v>92.34</v>
      </c>
      <c r="H206" s="53">
        <f t="shared" si="1"/>
        <v>51</v>
      </c>
      <c r="I206" s="58">
        <f t="shared" si="2"/>
        <v>-0.09452833889</v>
      </c>
      <c r="J206" s="60">
        <f t="shared" si="3"/>
        <v>-9452.833889</v>
      </c>
      <c r="K206" s="42"/>
      <c r="L206" s="42"/>
      <c r="M206" s="68">
        <f t="shared" si="4"/>
        <v>-1</v>
      </c>
      <c r="N206" s="68">
        <f t="shared" si="5"/>
        <v>-1</v>
      </c>
      <c r="O206" s="68">
        <v>0.019807805452</v>
      </c>
      <c r="P206" s="23">
        <v>46239</v>
      </c>
      <c r="R206" s="68">
        <v>0.7212</v>
      </c>
      <c r="S206" s="23">
        <v>46203</v>
      </c>
      <c r="T206" s="23">
        <v>46238</v>
      </c>
      <c r="U206" s="39">
        <v>101.98</v>
      </c>
      <c r="V206" s="39">
        <v>101.411466667</v>
      </c>
      <c r="W206" t="inlineStr">
        <is>
          <t>Above 75 DMA</t>
        </is>
      </c>
    </row>
    <row r="207">
      <c r="A207" s="23">
        <v>46238.0</v>
      </c>
      <c r="B207" s="25" t="str">
        <f t="shared" si="6"/>
        <v>Tuesday</v>
      </c>
      <c r="C207" s="25" t="s">
        <v>347</v>
      </c>
      <c r="D207" s="31">
        <f>IFERROR(__xludf.DUMMYFUNCTION("GOOGLEFINANCE(""NSE:""&amp;UPPER(TRIM(E207)),""marketcap"")/10000000"),1975.1115112)</f>
        <v>1975.111511</v>
      </c>
      <c r="E207" s="7" t="s">
        <v>511</v>
      </c>
      <c r="F207" s="39">
        <f>IFERROR(__xludf.DUMMYFUNCTION("IF(OR(E207="""",A207=""""),"""",
 IF(
   DATE(VALUE(RIGHT(A207,4)),VALUE(MID(A207,4,2)),VALUE(LEFT(A207,2)))&gt;=TODAY(),
   IFERROR(
     GOOGLEFINANCE(""NSE:""&amp;UPPER(TRIM(E207)),""price""),
     ""Not Available""
   ),
   IFERROR(
     INDEX(
       GOOGLE"&amp;"FINANCE(
         ""NSE:""&amp;UPPER(TRIM(E207)),
         ""close"",
         DATE(VALUE(RIGHT(A207,4)),VALUE(MID(A207,4,2)),VALUE(LEFT(A207,2))),
         DATE(VALUE(RIGHT(A207,4)),VALUE(MID(A207,4,2)),VALUE(LEFT(A207,2)))+1
       ),
       2,2
     ),
   "&amp;"  ""Not Available""
   )
 ))"),271.5)</f>
        <v>271.5</v>
      </c>
      <c r="G207" s="42">
        <f>IFERROR(__xludf.DUMMYFUNCTION("IF(E207="""","""",IFERROR(GOOGLEFINANCE(""NSE:""&amp;UPPER(TRIM(E207)),""price""),""Not Available""))"),202.01)</f>
        <v>202.01</v>
      </c>
      <c r="H207" s="53">
        <f t="shared" si="1"/>
        <v>51</v>
      </c>
      <c r="I207" s="58">
        <f t="shared" si="2"/>
        <v>-0.2559484346</v>
      </c>
      <c r="J207" s="60">
        <f t="shared" si="3"/>
        <v>-25594.84346</v>
      </c>
      <c r="K207" s="42"/>
      <c r="L207" s="42"/>
      <c r="M207" s="68">
        <f t="shared" si="4"/>
        <v>-1</v>
      </c>
      <c r="N207" s="68">
        <f t="shared" si="5"/>
        <v>-1</v>
      </c>
      <c r="O207" s="68">
        <v>0.0128913443831</v>
      </c>
      <c r="P207" s="23">
        <v>46240</v>
      </c>
    </row>
    <row r="208">
      <c r="A208" s="23">
        <v>46238.0</v>
      </c>
      <c r="B208" s="25" t="str">
        <f t="shared" si="6"/>
        <v>Tuesday</v>
      </c>
      <c r="C208" s="25" t="s">
        <v>347</v>
      </c>
      <c r="D208" s="31">
        <f>IFERROR(__xludf.DUMMYFUNCTION("GOOGLEFINANCE(""NSE:""&amp;UPPER(TRIM(E208)),""marketcap"")/10000000"),115306.4270502)</f>
        <v>115306.4271</v>
      </c>
      <c r="E208" s="7" t="s">
        <v>512</v>
      </c>
      <c r="F208" s="39">
        <f>IFERROR(__xludf.DUMMYFUNCTION("IF(OR(E208="""",A208=""""),"""",
 IF(
   DATE(VALUE(RIGHT(A208,4)),VALUE(MID(A208,4,2)),VALUE(LEFT(A208,2)))&gt;=TODAY(),
   IFERROR(
     GOOGLEFINANCE(""NSE:""&amp;UPPER(TRIM(E208)),""price""),
     ""Not Available""
   ),
   IFERROR(
     INDEX(
       GOOGLE"&amp;"FINANCE(
         ""NSE:""&amp;UPPER(TRIM(E208)),
         ""close"",
         DATE(VALUE(RIGHT(A208,4)),VALUE(MID(A208,4,2)),VALUE(LEFT(A208,2))),
         DATE(VALUE(RIGHT(A208,4)),VALUE(MID(A208,4,2)),VALUE(LEFT(A208,2)))+1
       ),
       2,2
     ),
   "&amp;"  ""Not Available""
   )
 ))"),1542.5)</f>
        <v>1542.5</v>
      </c>
      <c r="G208" s="42">
        <f>IFERROR(__xludf.DUMMYFUNCTION("IF(E208="""","""",IFERROR(GOOGLEFINANCE(""NSE:""&amp;UPPER(TRIM(E208)),""price""),""Not Available""))"),1699.5)</f>
        <v>1699.5</v>
      </c>
      <c r="H208" s="53">
        <f t="shared" si="1"/>
        <v>51</v>
      </c>
      <c r="I208" s="58">
        <f t="shared" si="2"/>
        <v>0.1017828201</v>
      </c>
      <c r="J208" s="60">
        <f t="shared" si="3"/>
        <v>10178.28201</v>
      </c>
      <c r="K208" s="42"/>
      <c r="L208" s="42"/>
      <c r="M208" s="68">
        <f t="shared" si="4"/>
        <v>-1</v>
      </c>
      <c r="N208" s="68">
        <f t="shared" si="5"/>
        <v>-1</v>
      </c>
      <c r="O208" s="68">
        <v>0.137763371151</v>
      </c>
      <c r="P208" s="23">
        <v>46251</v>
      </c>
      <c r="R208" s="68">
        <v>0.85</v>
      </c>
      <c r="S208" s="23">
        <v>46203</v>
      </c>
      <c r="T208" s="23">
        <v>46238</v>
      </c>
      <c r="U208" s="39">
        <v>1542.5</v>
      </c>
      <c r="V208" s="39">
        <v>1551.096</v>
      </c>
      <c r="W208" t="inlineStr">
        <is>
          <t>Below 75 DMA</t>
        </is>
      </c>
    </row>
    <row r="209">
      <c r="A209" s="23">
        <v>46238.0</v>
      </c>
      <c r="B209" s="25" t="str">
        <f t="shared" si="6"/>
        <v>Tuesday</v>
      </c>
      <c r="C209" s="25" t="s">
        <v>347</v>
      </c>
      <c r="D209" s="31">
        <f>IFERROR(__xludf.DUMMYFUNCTION("GOOGLEFINANCE(""NSE:""&amp;UPPER(TRIM(E209)),""marketcap"")/10000000"),88.2747599)</f>
        <v>88.2747599</v>
      </c>
      <c r="E209" s="7" t="s">
        <v>513</v>
      </c>
      <c r="F209" s="39">
        <f>IFERROR(__xludf.DUMMYFUNCTION("IF(OR(E209="""",A209=""""),"""",
 IF(
   DATE(VALUE(RIGHT(A209,4)),VALUE(MID(A209,4,2)),VALUE(LEFT(A209,2)))&gt;=TODAY(),
   IFERROR(
     GOOGLEFINANCE(""NSE:""&amp;UPPER(TRIM(E209)),""price""),
     ""Not Available""
   ),
   IFERROR(
     INDEX(
       GOOGLE"&amp;"FINANCE(
         ""NSE:""&amp;UPPER(TRIM(E209)),
         ""close"",
         DATE(VALUE(RIGHT(A209,4)),VALUE(MID(A209,4,2)),VALUE(LEFT(A209,2))),
         DATE(VALUE(RIGHT(A209,4)),VALUE(MID(A209,4,2)),VALUE(LEFT(A209,2)))+1
       ),
       2,2
     ),
   "&amp;"  ""Not Available""
   )
 ))"),126.19)</f>
        <v>126.19</v>
      </c>
      <c r="G209" s="42">
        <f>IFERROR(__xludf.DUMMYFUNCTION("IF(E209="""","""",IFERROR(GOOGLEFINANCE(""NSE:""&amp;UPPER(TRIM(E209)),""price""),""Not Available""))"),117.02)</f>
        <v>117.02</v>
      </c>
      <c r="H209" s="53">
        <f t="shared" si="1"/>
        <v>51</v>
      </c>
      <c r="I209" s="58">
        <f t="shared" si="2"/>
        <v>-0.07266819875</v>
      </c>
      <c r="J209" s="60">
        <f t="shared" si="3"/>
        <v>-7266.819875</v>
      </c>
      <c r="K209" s="42"/>
      <c r="L209" s="42"/>
      <c r="M209" s="68">
        <f t="shared" si="4"/>
        <v>-1</v>
      </c>
      <c r="N209" s="68">
        <f t="shared" si="5"/>
        <v>-1</v>
      </c>
      <c r="O209" s="68">
        <v>0.0460416831762</v>
      </c>
      <c r="P209" s="23">
        <v>46244</v>
      </c>
      <c r="R209" s="68">
        <v>0.6768</v>
      </c>
      <c r="S209" s="23">
        <v>46203</v>
      </c>
      <c r="T209" s="23">
        <v>46238</v>
      </c>
      <c r="U209" s="39">
        <v>126.19</v>
      </c>
      <c r="V209" s="39">
        <v>126.604133333</v>
      </c>
      <c r="W209" t="inlineStr">
        <is>
          <t>Below 75 DMA</t>
        </is>
      </c>
    </row>
    <row r="210">
      <c r="A210" s="23">
        <v>46238.0</v>
      </c>
      <c r="B210" s="25" t="str">
        <f t="shared" si="6"/>
        <v>Tuesday</v>
      </c>
      <c r="C210" s="25" t="s">
        <v>347</v>
      </c>
      <c r="D210" s="31">
        <f>IFERROR(__xludf.DUMMYFUNCTION("GOOGLEFINANCE(""NSE:""&amp;UPPER(TRIM(E210)),""marketcap"")/10000000"),15735.1769416)</f>
        <v>15735.17694</v>
      </c>
      <c r="E210" s="7" t="s">
        <v>514</v>
      </c>
      <c r="F210" s="39">
        <f>IFERROR(__xludf.DUMMYFUNCTION("IF(OR(E210="""",A210=""""),"""",
 IF(
   DATE(VALUE(RIGHT(A210,4)),VALUE(MID(A210,4,2)),VALUE(LEFT(A210,2)))&gt;=TODAY(),
   IFERROR(
     GOOGLEFINANCE(""NSE:""&amp;UPPER(TRIM(E210)),""price""),
     ""Not Available""
   ),
   IFERROR(
     INDEX(
       GOOGLE"&amp;"FINANCE(
         ""NSE:""&amp;UPPER(TRIM(E210)),
         ""close"",
         DATE(VALUE(RIGHT(A210,4)),VALUE(MID(A210,4,2)),VALUE(LEFT(A210,2))),
         DATE(VALUE(RIGHT(A210,4)),VALUE(MID(A210,4,2)),VALUE(LEFT(A210,2)))+1
       ),
       2,2
     ),
   "&amp;"  ""Not Available""
   )
 ))"),571.7)</f>
        <v>571.7</v>
      </c>
      <c r="G210" s="42">
        <f>IFERROR(__xludf.DUMMYFUNCTION("IF(E210="""","""",IFERROR(GOOGLEFINANCE(""NSE:""&amp;UPPER(TRIM(E210)),""price""),""Not Available""))"),555.4)</f>
        <v>555.4</v>
      </c>
      <c r="H210" s="53">
        <f t="shared" si="1"/>
        <v>51</v>
      </c>
      <c r="I210" s="58">
        <f t="shared" si="2"/>
        <v>-0.02851145706</v>
      </c>
      <c r="J210" s="60">
        <f t="shared" si="3"/>
        <v>-2851.145706</v>
      </c>
      <c r="K210" s="42"/>
      <c r="L210" s="42"/>
      <c r="M210" s="68">
        <f t="shared" si="4"/>
        <v>-1</v>
      </c>
      <c r="N210" s="68">
        <f t="shared" si="5"/>
        <v>-1</v>
      </c>
      <c r="O210" s="68">
        <v>0.0502886129089</v>
      </c>
      <c r="P210" s="23">
        <v>46240</v>
      </c>
      <c r="R210" s="68">
        <v>0.5003</v>
      </c>
      <c r="S210" s="23">
        <v>46203</v>
      </c>
      <c r="T210" s="23">
        <v>46238</v>
      </c>
      <c r="U210" s="39">
        <v>571.7</v>
      </c>
      <c r="V210" s="39">
        <v>619.490666667</v>
      </c>
      <c r="W210" t="inlineStr">
        <is>
          <t>Below 75 DMA</t>
        </is>
      </c>
    </row>
    <row r="211">
      <c r="A211" s="23">
        <v>46238.0</v>
      </c>
      <c r="B211" s="25" t="str">
        <f t="shared" si="6"/>
        <v>Tuesday</v>
      </c>
      <c r="C211" s="25" t="s">
        <v>347</v>
      </c>
      <c r="D211" s="31">
        <f>IFERROR(__xludf.DUMMYFUNCTION("GOOGLEFINANCE(""NSE:""&amp;UPPER(TRIM(E211)),""marketcap"")/10000000"),1499.189538)</f>
        <v>1499.189538</v>
      </c>
      <c r="E211" s="7" t="s">
        <v>515</v>
      </c>
      <c r="F211" s="39">
        <f>IFERROR(__xludf.DUMMYFUNCTION("IF(OR(E211="""",A211=""""),"""",
 IF(
   DATE(VALUE(RIGHT(A211,4)),VALUE(MID(A211,4,2)),VALUE(LEFT(A211,2)))&gt;=TODAY(),
   IFERROR(
     GOOGLEFINANCE(""NSE:""&amp;UPPER(TRIM(E211)),""price""),
     ""Not Available""
   ),
   IFERROR(
     INDEX(
       GOOGLE"&amp;"FINANCE(
         ""NSE:""&amp;UPPER(TRIM(E211)),
         ""close"",
         DATE(VALUE(RIGHT(A211,4)),VALUE(MID(A211,4,2)),VALUE(LEFT(A211,2))),
         DATE(VALUE(RIGHT(A211,4)),VALUE(MID(A211,4,2)),VALUE(LEFT(A211,2)))+1
       ),
       2,2
     ),
   "&amp;"  ""Not Available""
   )
 ))"),283.95)</f>
        <v>283.95</v>
      </c>
      <c r="G211" s="42">
        <f>IFERROR(__xludf.DUMMYFUNCTION("IF(E211="""","""",IFERROR(GOOGLEFINANCE(""NSE:""&amp;UPPER(TRIM(E211)),""price""),""Not Available""))"),462.0)</f>
        <v>462</v>
      </c>
      <c r="H211" s="53">
        <f t="shared" si="1"/>
        <v>51</v>
      </c>
      <c r="I211" s="58">
        <f t="shared" si="2"/>
        <v>0.6270470153</v>
      </c>
      <c r="J211" s="60">
        <f t="shared" si="3"/>
        <v>62704.70153</v>
      </c>
      <c r="K211" s="62">
        <v>345.0</v>
      </c>
      <c r="L211" s="62">
        <v>109.0</v>
      </c>
      <c r="M211" s="68">
        <f t="shared" si="4"/>
        <v>0.2150026413</v>
      </c>
      <c r="N211" s="68">
        <f t="shared" si="5"/>
        <v>-0.6161296003</v>
      </c>
      <c r="O211" s="68">
        <v>0.922873745378</v>
      </c>
      <c r="P211" s="23">
        <v>46267</v>
      </c>
      <c r="R211" s="68">
        <v>0.5223</v>
      </c>
      <c r="S211" s="23">
        <v>46203</v>
      </c>
      <c r="T211" s="23">
        <v>46238</v>
      </c>
      <c r="U211" s="39">
        <v>283.95</v>
      </c>
      <c r="V211" s="39">
        <v>252.748933333</v>
      </c>
      <c r="W211" t="inlineStr">
        <is>
          <t>Above 75 DMA</t>
        </is>
      </c>
    </row>
    <row r="212">
      <c r="A212" s="23">
        <v>46238.0</v>
      </c>
      <c r="B212" s="25" t="str">
        <f t="shared" si="6"/>
        <v>Tuesday</v>
      </c>
      <c r="C212" s="25" t="s">
        <v>347</v>
      </c>
      <c r="D212" s="31">
        <f>IFERROR(__xludf.DUMMYFUNCTION("GOOGLEFINANCE(""NSE:""&amp;UPPER(TRIM(E212)),""marketcap"")/10000000"),66874.1964344)</f>
        <v>66874.19643</v>
      </c>
      <c r="E212" s="7" t="s">
        <v>516</v>
      </c>
      <c r="F212" s="39">
        <f>IFERROR(__xludf.DUMMYFUNCTION("IF(OR(E212="""",A212=""""),"""",
 IF(
   DATE(VALUE(RIGHT(A212,4)),VALUE(MID(A212,4,2)),VALUE(LEFT(A212,2)))&gt;=TODAY(),
   IFERROR(
     GOOGLEFINANCE(""NSE:""&amp;UPPER(TRIM(E212)),""price""),
     ""Not Available""
   ),
   IFERROR(
     INDEX(
       GOOGLE"&amp;"FINANCE(
         ""NSE:""&amp;UPPER(TRIM(E212)),
         ""close"",
         DATE(VALUE(RIGHT(A212,4)),VALUE(MID(A212,4,2)),VALUE(LEFT(A212,2))),
         DATE(VALUE(RIGHT(A212,4)),VALUE(MID(A212,4,2)),VALUE(LEFT(A212,2)))+1
       ),
       2,2
     ),
   "&amp;"  ""Not Available""
   )
 ))"),932.8)</f>
        <v>932.8</v>
      </c>
      <c r="G212" s="42">
        <f>IFERROR(__xludf.DUMMYFUNCTION("IF(E212="""","""",IFERROR(GOOGLEFINANCE(""NSE:""&amp;UPPER(TRIM(E212)),""price""),""Not Available""))"),885.8)</f>
        <v>885.8</v>
      </c>
      <c r="H212" s="53">
        <f t="shared" si="1"/>
        <v>51</v>
      </c>
      <c r="I212" s="58">
        <f t="shared" si="2"/>
        <v>-0.05038593482</v>
      </c>
      <c r="J212" s="60">
        <f t="shared" si="3"/>
        <v>-5038.593482</v>
      </c>
      <c r="K212" s="42"/>
      <c r="L212" s="42"/>
      <c r="M212" s="68">
        <f t="shared" si="4"/>
        <v>-1</v>
      </c>
      <c r="N212" s="68">
        <f t="shared" si="5"/>
        <v>-1</v>
      </c>
      <c r="O212" s="68">
        <v>0.0492066895369</v>
      </c>
      <c r="P212" s="23">
        <v>46244</v>
      </c>
      <c r="R212" s="68">
        <v>0.3117</v>
      </c>
      <c r="S212" s="23">
        <v>46203</v>
      </c>
      <c r="T212" s="23">
        <v>46238</v>
      </c>
      <c r="U212" s="39">
        <v>932.8</v>
      </c>
      <c r="V212" s="39">
        <v>955.028666667</v>
      </c>
      <c r="W212" t="inlineStr">
        <is>
          <t>Below 75 DMA</t>
        </is>
      </c>
    </row>
    <row r="213">
      <c r="A213" s="23">
        <v>46238.0</v>
      </c>
      <c r="B213" s="25" t="str">
        <f t="shared" si="6"/>
        <v>Tuesday</v>
      </c>
      <c r="C213" s="25" t="s">
        <v>347</v>
      </c>
      <c r="D213" s="31">
        <f>IFERROR(__xludf.DUMMYFUNCTION("GOOGLEFINANCE(""NSE:""&amp;UPPER(TRIM(E213)),""marketcap"")/10000000"),7627.5479856)</f>
        <v>7627.547986</v>
      </c>
      <c r="E213" s="7" t="s">
        <v>469</v>
      </c>
      <c r="F213" s="39">
        <f>IFERROR(__xludf.DUMMYFUNCTION("IF(OR(E213="""",A213=""""),"""",
 IF(
   DATE(VALUE(RIGHT(A213,4)),VALUE(MID(A213,4,2)),VALUE(LEFT(A213,2)))&gt;=TODAY(),
   IFERROR(
     GOOGLEFINANCE(""NSE:""&amp;UPPER(TRIM(E213)),""price""),
     ""Not Available""
   ),
   IFERROR(
     INDEX(
       GOOGLE"&amp;"FINANCE(
         ""NSE:""&amp;UPPER(TRIM(E213)),
         ""close"",
         DATE(VALUE(RIGHT(A213,4)),VALUE(MID(A213,4,2)),VALUE(LEFT(A213,2))),
         DATE(VALUE(RIGHT(A213,4)),VALUE(MID(A213,4,2)),VALUE(LEFT(A213,2)))+1
       ),
       2,2
     ),
   "&amp;"  ""Not Available""
   )
 ))"),412.6)</f>
        <v>412.6</v>
      </c>
      <c r="G213" s="42">
        <f>IFERROR(__xludf.DUMMYFUNCTION("IF(E213="""","""",IFERROR(GOOGLEFINANCE(""NSE:""&amp;UPPER(TRIM(E213)),""price""),""Not Available""))"),407.15)</f>
        <v>407.15</v>
      </c>
      <c r="H213" s="53">
        <f t="shared" si="1"/>
        <v>51</v>
      </c>
      <c r="I213" s="58">
        <f t="shared" si="2"/>
        <v>-0.01320891905</v>
      </c>
      <c r="J213" s="60">
        <f t="shared" si="3"/>
        <v>-1320.891905</v>
      </c>
      <c r="K213" s="42"/>
      <c r="L213" s="42"/>
      <c r="M213" s="68">
        <f t="shared" si="4"/>
        <v>-1</v>
      </c>
      <c r="N213" s="68">
        <f t="shared" si="5"/>
        <v>-1</v>
      </c>
      <c r="O213" s="68">
        <v>0.169171110034</v>
      </c>
      <c r="P213" s="23">
        <v>46273</v>
      </c>
      <c r="Q213" s="68">
        <v>0.112990626435</v>
      </c>
      <c r="R213" s="68">
        <v>0.74</v>
      </c>
      <c r="S213" s="23">
        <v>46203</v>
      </c>
      <c r="T213" s="23">
        <v>46238</v>
      </c>
      <c r="U213" s="39">
        <v>412.6</v>
      </c>
      <c r="V213" s="39">
        <v>411.107333333</v>
      </c>
      <c r="W213" t="inlineStr">
        <is>
          <t>Above 75 DMA</t>
        </is>
      </c>
    </row>
    <row r="214">
      <c r="A214" s="23">
        <v>46238.0</v>
      </c>
      <c r="B214" s="25" t="str">
        <f t="shared" si="6"/>
        <v>Tuesday</v>
      </c>
      <c r="C214" s="25" t="s">
        <v>347</v>
      </c>
      <c r="D214" s="31">
        <f>IFERROR(__xludf.DUMMYFUNCTION("GOOGLEFINANCE(""NSE:""&amp;UPPER(TRIM(E214)),""marketcap"")/10000000"),151.5595206)</f>
        <v>151.5595206</v>
      </c>
      <c r="E214" s="7" t="s">
        <v>517</v>
      </c>
      <c r="F214" s="39">
        <f>IFERROR(__xludf.DUMMYFUNCTION("IF(OR(E214="""",A214=""""),"""",
 IF(
   DATE(VALUE(RIGHT(A214,4)),VALUE(MID(A214,4,2)),VALUE(LEFT(A214,2)))&gt;=TODAY(),
   IFERROR(
     GOOGLEFINANCE(""NSE:""&amp;UPPER(TRIM(E214)),""price""),
     ""Not Available""
   ),
   IFERROR(
     INDEX(
       GOOGLE"&amp;"FINANCE(
         ""NSE:""&amp;UPPER(TRIM(E214)),
         ""close"",
         DATE(VALUE(RIGHT(A214,4)),VALUE(MID(A214,4,2)),VALUE(LEFT(A214,2))),
         DATE(VALUE(RIGHT(A214,4)),VALUE(MID(A214,4,2)),VALUE(LEFT(A214,2)))+1
       ),
       2,2
     ),
   "&amp;"  ""Not Available""
   )
 ))"),142.44)</f>
        <v>142.44</v>
      </c>
      <c r="G214" s="42">
        <f>IFERROR(__xludf.DUMMYFUNCTION("IF(E214="""","""",IFERROR(GOOGLEFINANCE(""NSE:""&amp;UPPER(TRIM(E214)),""price""),""Not Available""))"),146.86)</f>
        <v>146.86</v>
      </c>
      <c r="H214" s="53">
        <f t="shared" si="1"/>
        <v>51</v>
      </c>
      <c r="I214" s="58">
        <f t="shared" si="2"/>
        <v>0.03103060938</v>
      </c>
      <c r="J214" s="60">
        <f t="shared" si="3"/>
        <v>3103.060938</v>
      </c>
      <c r="K214" s="42"/>
      <c r="L214" s="42"/>
      <c r="M214" s="68">
        <f t="shared" si="4"/>
        <v>-1</v>
      </c>
      <c r="N214" s="68">
        <f t="shared" si="5"/>
        <v>-1</v>
      </c>
      <c r="O214" s="68">
        <v>0.0661331086773</v>
      </c>
      <c r="P214" s="23">
        <v>46246</v>
      </c>
      <c r="R214" s="68">
        <v>0.6779</v>
      </c>
      <c r="S214" s="23">
        <v>46203</v>
      </c>
      <c r="T214" s="23">
        <v>46238</v>
      </c>
      <c r="U214" s="39">
        <v>142.44</v>
      </c>
      <c r="V214" s="39">
        <v>140.467333333</v>
      </c>
      <c r="W214" t="inlineStr">
        <is>
          <t>Above 75 DMA</t>
        </is>
      </c>
    </row>
    <row r="215">
      <c r="A215" s="23">
        <v>46237.0</v>
      </c>
      <c r="B215" s="25" t="str">
        <f t="shared" si="6"/>
        <v>Monday</v>
      </c>
      <c r="C215" s="25" t="s">
        <v>347</v>
      </c>
      <c r="D215" s="31">
        <f>IFERROR(__xludf.DUMMYFUNCTION("GOOGLEFINANCE(""NSE:""&amp;UPPER(TRIM(E215)),""marketcap"")/10000000"),20672.6464925)</f>
        <v>20672.64649</v>
      </c>
      <c r="E215" s="7" t="s">
        <v>518</v>
      </c>
      <c r="F215" s="39">
        <f>IFERROR(__xludf.DUMMYFUNCTION("IF(OR(E215="""",A215=""""),"""",
 IF(
   DATE(VALUE(RIGHT(A215,4)),VALUE(MID(A215,4,2)),VALUE(LEFT(A215,2)))&gt;=TODAY(),
   IFERROR(
     GOOGLEFINANCE(""NSE:""&amp;UPPER(TRIM(E215)),""price""),
     ""Not Available""
   ),
   IFERROR(
     INDEX(
       GOOGLE"&amp;"FINANCE(
         ""NSE:""&amp;UPPER(TRIM(E215)),
         ""close"",
         DATE(VALUE(RIGHT(A215,4)),VALUE(MID(A215,4,2)),VALUE(LEFT(A215,2))),
         DATE(VALUE(RIGHT(A215,4)),VALUE(MID(A215,4,2)),VALUE(LEFT(A215,2)))+1
       ),
       2,2
     ),
   "&amp;"  ""Not Available""
   )
 ))"),394.9)</f>
        <v>394.9</v>
      </c>
      <c r="G215" s="42">
        <f>IFERROR(__xludf.DUMMYFUNCTION("IF(E215="""","""",IFERROR(GOOGLEFINANCE(""NSE:""&amp;UPPER(TRIM(E215)),""price""),""Not Available""))"),340.15)</f>
        <v>340.15</v>
      </c>
      <c r="H215" s="53">
        <f t="shared" si="1"/>
        <v>52</v>
      </c>
      <c r="I215" s="58">
        <f t="shared" si="2"/>
        <v>-0.1386426944</v>
      </c>
      <c r="J215" s="60">
        <f t="shared" si="3"/>
        <v>-13864.26944</v>
      </c>
      <c r="K215" s="42"/>
      <c r="L215" s="42"/>
      <c r="M215" s="68">
        <f t="shared" si="4"/>
        <v>-1</v>
      </c>
      <c r="N215" s="68">
        <f t="shared" si="5"/>
        <v>-1</v>
      </c>
      <c r="O215" s="68">
        <v>0.0372246138263</v>
      </c>
      <c r="P215" s="23">
        <v>46240</v>
      </c>
      <c r="T215" s="23">
        <v>46237</v>
      </c>
      <c r="U215" s="39">
        <v>394.9</v>
      </c>
      <c r="V215" s="39">
        <v>390.572666667</v>
      </c>
      <c r="W215" t="inlineStr">
        <is>
          <t>Above 75 DMA</t>
        </is>
      </c>
    </row>
    <row r="216">
      <c r="A216" s="23">
        <v>46237.0</v>
      </c>
      <c r="B216" s="25" t="str">
        <f t="shared" si="6"/>
        <v>Monday</v>
      </c>
      <c r="C216" s="25" t="s">
        <v>347</v>
      </c>
      <c r="D216" s="31">
        <f>IFERROR(__xludf.DUMMYFUNCTION("GOOGLEFINANCE(""NSE:""&amp;UPPER(TRIM(E216)),""marketcap"")/10000000"),2334.7520426)</f>
        <v>2334.752043</v>
      </c>
      <c r="E216" s="7" t="s">
        <v>519</v>
      </c>
      <c r="F216" s="39">
        <f>IFERROR(__xludf.DUMMYFUNCTION("IF(OR(E216="""",A216=""""),"""",
 IF(
   DATE(VALUE(RIGHT(A216,4)),VALUE(MID(A216,4,2)),VALUE(LEFT(A216,2)))&gt;=TODAY(),
   IFERROR(
     GOOGLEFINANCE(""NSE:""&amp;UPPER(TRIM(E216)),""price""),
     ""Not Available""
   ),
   IFERROR(
     INDEX(
       GOOGLE"&amp;"FINANCE(
         ""NSE:""&amp;UPPER(TRIM(E216)),
         ""close"",
         DATE(VALUE(RIGHT(A216,4)),VALUE(MID(A216,4,2)),VALUE(LEFT(A216,2))),
         DATE(VALUE(RIGHT(A216,4)),VALUE(MID(A216,4,2)),VALUE(LEFT(A216,2)))+1
       ),
       2,2
     ),
   "&amp;"  ""Not Available""
   )
 ))"),430.7)</f>
        <v>430.7</v>
      </c>
      <c r="G216" s="42">
        <f>IFERROR(__xludf.DUMMYFUNCTION("IF(E216="""","""",IFERROR(GOOGLEFINANCE(""NSE:""&amp;UPPER(TRIM(E216)),""price""),""Not Available""))"),411.1)</f>
        <v>411.1</v>
      </c>
      <c r="H216" s="53">
        <f t="shared" si="1"/>
        <v>52</v>
      </c>
      <c r="I216" s="58">
        <f t="shared" si="2"/>
        <v>-0.04550731368</v>
      </c>
      <c r="J216" s="60">
        <f t="shared" si="3"/>
        <v>-4550.731368</v>
      </c>
      <c r="K216" s="42"/>
      <c r="L216" s="42"/>
      <c r="M216" s="68">
        <f t="shared" si="4"/>
        <v>-1</v>
      </c>
      <c r="N216" s="68">
        <f t="shared" si="5"/>
        <v>-1</v>
      </c>
      <c r="O216" s="68">
        <v>0.063385186905</v>
      </c>
      <c r="P216" s="23">
        <v>46244</v>
      </c>
      <c r="R216" s="68">
        <v>0.6519</v>
      </c>
      <c r="S216" s="23">
        <v>46203</v>
      </c>
      <c r="T216" s="23">
        <v>46237</v>
      </c>
      <c r="U216" s="39">
        <v>430.7</v>
      </c>
      <c r="V216" s="39">
        <v>415.77</v>
      </c>
      <c r="W216" t="inlineStr">
        <is>
          <t>Above 75 DMA</t>
        </is>
      </c>
    </row>
    <row r="217">
      <c r="A217" s="23">
        <v>46237.0</v>
      </c>
      <c r="B217" s="25" t="str">
        <f t="shared" si="6"/>
        <v>Monday</v>
      </c>
      <c r="C217" s="25" t="s">
        <v>347</v>
      </c>
      <c r="D217" s="31">
        <f>IFERROR(__xludf.DUMMYFUNCTION("GOOGLEFINANCE(""NSE:""&amp;UPPER(TRIM(E217)),""marketcap"")/10000000"),4846.20344)</f>
        <v>4846.20344</v>
      </c>
      <c r="E217" s="7" t="s">
        <v>520</v>
      </c>
      <c r="F217" s="39">
        <f>IFERROR(__xludf.DUMMYFUNCTION("IF(OR(E217="""",A217=""""),"""",
 IF(
   DATE(VALUE(RIGHT(A217,4)),VALUE(MID(A217,4,2)),VALUE(LEFT(A217,2)))&gt;=TODAY(),
   IFERROR(
     GOOGLEFINANCE(""NSE:""&amp;UPPER(TRIM(E217)),""price""),
     ""Not Available""
   ),
   IFERROR(
     INDEX(
       GOOGLE"&amp;"FINANCE(
         ""NSE:""&amp;UPPER(TRIM(E217)),
         ""close"",
         DATE(VALUE(RIGHT(A217,4)),VALUE(MID(A217,4,2)),VALUE(LEFT(A217,2))),
         DATE(VALUE(RIGHT(A217,4)),VALUE(MID(A217,4,2)),VALUE(LEFT(A217,2)))+1
       ),
       2,2
     ),
   "&amp;"  ""Not Available""
   )
 ))"),107.15)</f>
        <v>107.15</v>
      </c>
      <c r="G217" s="42">
        <f>IFERROR(__xludf.DUMMYFUNCTION("IF(E217="""","""",IFERROR(GOOGLEFINANCE(""NSE:""&amp;UPPER(TRIM(E217)),""price""),""Not Available""))"),104.0)</f>
        <v>104</v>
      </c>
      <c r="H217" s="53">
        <f t="shared" si="1"/>
        <v>52</v>
      </c>
      <c r="I217" s="58">
        <f t="shared" si="2"/>
        <v>-0.02939804013</v>
      </c>
      <c r="J217" s="60">
        <f t="shared" si="3"/>
        <v>-2939.804013</v>
      </c>
      <c r="K217" s="42"/>
      <c r="L217" s="42"/>
      <c r="M217" s="68">
        <f t="shared" si="4"/>
        <v>-1</v>
      </c>
      <c r="N217" s="68">
        <f t="shared" si="5"/>
        <v>-1</v>
      </c>
      <c r="O217" s="68">
        <v>0.128044797014</v>
      </c>
      <c r="P217" s="23">
        <v>46258</v>
      </c>
      <c r="R217" s="68">
        <v>0.6477</v>
      </c>
      <c r="S217" s="23">
        <v>46203</v>
      </c>
      <c r="T217" s="23">
        <v>46237</v>
      </c>
      <c r="U217" s="39">
        <v>107.15</v>
      </c>
      <c r="V217" s="39">
        <v>101.453066667</v>
      </c>
      <c r="W217" t="inlineStr">
        <is>
          <t>Above 75 DMA</t>
        </is>
      </c>
    </row>
    <row r="218">
      <c r="A218" s="23">
        <v>46237.0</v>
      </c>
      <c r="B218" s="25" t="str">
        <f t="shared" si="6"/>
        <v>Monday</v>
      </c>
      <c r="C218" s="25" t="s">
        <v>347</v>
      </c>
      <c r="D218" s="31">
        <f>IFERROR(__xludf.DUMMYFUNCTION("GOOGLEFINANCE(""NSE:""&amp;UPPER(TRIM(E218)),""marketcap"")/10000000"),2104.801344)</f>
        <v>2104.801344</v>
      </c>
      <c r="E218" s="7" t="s">
        <v>521</v>
      </c>
      <c r="F218" s="39">
        <f>IFERROR(__xludf.DUMMYFUNCTION("IF(OR(E218="""",A218=""""),"""",
 IF(
   DATE(VALUE(RIGHT(A218,4)),VALUE(MID(A218,4,2)),VALUE(LEFT(A218,2)))&gt;=TODAY(),
   IFERROR(
     GOOGLEFINANCE(""NSE:""&amp;UPPER(TRIM(E218)),""price""),
     ""Not Available""
   ),
   IFERROR(
     INDEX(
       GOOGLE"&amp;"FINANCE(
         ""NSE:""&amp;UPPER(TRIM(E218)),
         ""close"",
         DATE(VALUE(RIGHT(A218,4)),VALUE(MID(A218,4,2)),VALUE(LEFT(A218,2))),
         DATE(VALUE(RIGHT(A218,4)),VALUE(MID(A218,4,2)),VALUE(LEFT(A218,2)))+1
       ),
       2,2
     ),
   "&amp;"  ""Not Available""
   )
 ))"),2359.2)</f>
        <v>2359.2</v>
      </c>
      <c r="G218" s="42">
        <f>IFERROR(__xludf.DUMMYFUNCTION("IF(E218="""","""",IFERROR(GOOGLEFINANCE(""NSE:""&amp;UPPER(TRIM(E218)),""price""),""Not Available""))"),1929.0)</f>
        <v>1929</v>
      </c>
      <c r="H218" s="53">
        <f t="shared" si="1"/>
        <v>52</v>
      </c>
      <c r="I218" s="58">
        <f t="shared" si="2"/>
        <v>-0.1823499491</v>
      </c>
      <c r="J218" s="60">
        <f t="shared" si="3"/>
        <v>-18234.99491</v>
      </c>
      <c r="K218" s="42"/>
      <c r="L218" s="42"/>
      <c r="M218" s="68">
        <f t="shared" si="4"/>
        <v>-1</v>
      </c>
      <c r="N218" s="68">
        <f t="shared" si="5"/>
        <v>-1</v>
      </c>
      <c r="O218" s="68">
        <v>0.0350966429298</v>
      </c>
      <c r="P218" s="23">
        <v>46241</v>
      </c>
      <c r="R218" s="68">
        <v>0.6652</v>
      </c>
      <c r="S218" s="23">
        <v>46203</v>
      </c>
      <c r="T218" s="23">
        <v>46237</v>
      </c>
      <c r="U218" s="39">
        <v>2359.2</v>
      </c>
      <c r="V218" s="39">
        <v>2146.34266667</v>
      </c>
      <c r="W218" t="inlineStr">
        <is>
          <t>Above 75 DMA</t>
        </is>
      </c>
    </row>
    <row r="219">
      <c r="A219" s="23">
        <v>46237.0</v>
      </c>
      <c r="B219" s="25" t="str">
        <f t="shared" si="6"/>
        <v>Monday</v>
      </c>
      <c r="C219" s="25" t="s">
        <v>347</v>
      </c>
      <c r="D219" s="31">
        <f>IFERROR(__xludf.DUMMYFUNCTION("GOOGLEFINANCE(""NSE:""&amp;UPPER(TRIM(E219)),""marketcap"")/10000000"),1082.2631997)</f>
        <v>1082.2632</v>
      </c>
      <c r="E219" s="7" t="s">
        <v>496</v>
      </c>
      <c r="F219" s="39">
        <f>IFERROR(__xludf.DUMMYFUNCTION("IF(OR(E219="""",A219=""""),"""",
 IF(
   DATE(VALUE(RIGHT(A219,4)),VALUE(MID(A219,4,2)),VALUE(LEFT(A219,2)))&gt;=TODAY(),
   IFERROR(
     GOOGLEFINANCE(""NSE:""&amp;UPPER(TRIM(E219)),""price""),
     ""Not Available""
   ),
   IFERROR(
     INDEX(
       GOOGLE"&amp;"FINANCE(
         ""NSE:""&amp;UPPER(TRIM(E219)),
         ""close"",
         DATE(VALUE(RIGHT(A219,4)),VALUE(MID(A219,4,2)),VALUE(LEFT(A219,2))),
         DATE(VALUE(RIGHT(A219,4)),VALUE(MID(A219,4,2)),VALUE(LEFT(A219,2)))+1
       ),
       2,2
     ),
   "&amp;"  ""Not Available""
   )
 ))"),218.13)</f>
        <v>218.13</v>
      </c>
      <c r="G219" s="42">
        <f>IFERROR(__xludf.DUMMYFUNCTION("IF(E219="""","""",IFERROR(GOOGLEFINANCE(""NSE:""&amp;UPPER(TRIM(E219)),""price""),""Not Available""))"),196.67)</f>
        <v>196.67</v>
      </c>
      <c r="H219" s="53">
        <f t="shared" si="1"/>
        <v>52</v>
      </c>
      <c r="I219" s="58">
        <f t="shared" si="2"/>
        <v>-0.09838169899</v>
      </c>
      <c r="J219" s="60">
        <f t="shared" si="3"/>
        <v>-9838.169899</v>
      </c>
      <c r="K219" s="42"/>
      <c r="L219" s="42"/>
      <c r="M219" s="68">
        <f t="shared" si="4"/>
        <v>-1</v>
      </c>
      <c r="N219" s="68">
        <f t="shared" si="5"/>
        <v>-1</v>
      </c>
      <c r="O219" s="68">
        <v>0.017604180993</v>
      </c>
      <c r="P219" s="23">
        <v>46238</v>
      </c>
      <c r="R219" s="68">
        <v>0.418</v>
      </c>
      <c r="S219" s="23">
        <v>46203</v>
      </c>
      <c r="T219" s="23">
        <v>46237</v>
      </c>
      <c r="U219" s="39">
        <v>218.13</v>
      </c>
      <c r="V219" s="39">
        <v>217.3248</v>
      </c>
      <c r="W219" t="inlineStr">
        <is>
          <t>Above 75 DMA</t>
        </is>
      </c>
    </row>
    <row r="220">
      <c r="A220" s="23">
        <v>46237.0</v>
      </c>
      <c r="B220" s="25" t="str">
        <f t="shared" si="6"/>
        <v>Monday</v>
      </c>
      <c r="C220" s="25" t="s">
        <v>347</v>
      </c>
      <c r="D220" s="31">
        <f>IFERROR(__xludf.DUMMYFUNCTION("GOOGLEFINANCE(""NSE:""&amp;UPPER(TRIM(E220)),""marketcap"")/10000000"),230.4517457)</f>
        <v>230.4517457</v>
      </c>
      <c r="E220" s="7" t="s">
        <v>490</v>
      </c>
      <c r="F220" s="39">
        <f>IFERROR(__xludf.DUMMYFUNCTION("IF(OR(E220="""",A220=""""),"""",
 IF(
   DATE(VALUE(RIGHT(A220,4)),VALUE(MID(A220,4,2)),VALUE(LEFT(A220,2)))&gt;=TODAY(),
   IFERROR(
     GOOGLEFINANCE(""NSE:""&amp;UPPER(TRIM(E220)),""price""),
     ""Not Available""
   ),
   IFERROR(
     INDEX(
       GOOGLE"&amp;"FINANCE(
         ""NSE:""&amp;UPPER(TRIM(E220)),
         ""close"",
         DATE(VALUE(RIGHT(A220,4)),VALUE(MID(A220,4,2)),VALUE(LEFT(A220,2))),
         DATE(VALUE(RIGHT(A220,4)),VALUE(MID(A220,4,2)),VALUE(LEFT(A220,2)))+1
       ),
       2,2
     ),
   "&amp;"  ""Not Available""
   )
 ))"),292.15)</f>
        <v>292.15</v>
      </c>
      <c r="G220" s="42">
        <f>IFERROR(__xludf.DUMMYFUNCTION("IF(E220="""","""",IFERROR(GOOGLEFINANCE(""NSE:""&amp;UPPER(TRIM(E220)),""price""),""Not Available""))"),217.78)</f>
        <v>217.78</v>
      </c>
      <c r="H220" s="53">
        <f t="shared" si="1"/>
        <v>52</v>
      </c>
      <c r="I220" s="58">
        <f t="shared" si="2"/>
        <v>-0.2545610132</v>
      </c>
      <c r="J220" s="60">
        <f t="shared" si="3"/>
        <v>-25456.10132</v>
      </c>
      <c r="K220" s="42"/>
      <c r="L220" s="42"/>
      <c r="M220" s="68">
        <f t="shared" si="4"/>
        <v>-1</v>
      </c>
      <c r="N220" s="68">
        <f t="shared" si="5"/>
        <v>-1</v>
      </c>
      <c r="O220" s="68">
        <v>0.24251240801</v>
      </c>
      <c r="P220" s="23">
        <v>46241</v>
      </c>
      <c r="Q220" s="68">
        <v>0.220027366588</v>
      </c>
      <c r="R220" s="68">
        <v>0.5197</v>
      </c>
      <c r="S220" s="23">
        <v>46203</v>
      </c>
      <c r="T220" s="23">
        <v>46237</v>
      </c>
      <c r="U220" s="39">
        <v>292.15</v>
      </c>
      <c r="V220" s="39">
        <v>359.924666667</v>
      </c>
      <c r="W220" t="inlineStr">
        <is>
          <t>Below 75 DMA</t>
        </is>
      </c>
    </row>
    <row r="221">
      <c r="A221" s="23">
        <v>46237.0</v>
      </c>
      <c r="B221" s="25" t="str">
        <f t="shared" si="6"/>
        <v>Monday</v>
      </c>
      <c r="C221" s="25" t="s">
        <v>347</v>
      </c>
      <c r="D221" s="31">
        <f>IFERROR(__xludf.DUMMYFUNCTION("GOOGLEFINANCE(""NSE:""&amp;UPPER(TRIM(E221)),""marketcap"")/10000000"),2592.7528438)</f>
        <v>2592.752844</v>
      </c>
      <c r="E221" s="7" t="s">
        <v>522</v>
      </c>
      <c r="F221" s="39">
        <f>IFERROR(__xludf.DUMMYFUNCTION("IF(OR(E221="""",A221=""""),"""",
 IF(
   DATE(VALUE(RIGHT(A221,4)),VALUE(MID(A221,4,2)),VALUE(LEFT(A221,2)))&gt;=TODAY(),
   IFERROR(
     GOOGLEFINANCE(""NSE:""&amp;UPPER(TRIM(E221)),""price""),
     ""Not Available""
   ),
   IFERROR(
     INDEX(
       GOOGLE"&amp;"FINANCE(
         ""NSE:""&amp;UPPER(TRIM(E221)),
         ""close"",
         DATE(VALUE(RIGHT(A221,4)),VALUE(MID(A221,4,2)),VALUE(LEFT(A221,2))),
         DATE(VALUE(RIGHT(A221,4)),VALUE(MID(A221,4,2)),VALUE(LEFT(A221,2)))+1
       ),
       2,2
     ),
   "&amp;"  ""Not Available""
   )
 ))"),133.1)</f>
        <v>133.1</v>
      </c>
      <c r="G221" s="42">
        <f>IFERROR(__xludf.DUMMYFUNCTION("IF(E221="""","""",IFERROR(GOOGLEFINANCE(""NSE:""&amp;UPPER(TRIM(E221)),""price""),""Not Available""))"),130.84)</f>
        <v>130.84</v>
      </c>
      <c r="H221" s="53">
        <f t="shared" si="1"/>
        <v>52</v>
      </c>
      <c r="I221" s="58">
        <f t="shared" si="2"/>
        <v>-0.0169797145</v>
      </c>
      <c r="J221" s="60">
        <f t="shared" si="3"/>
        <v>-1697.97145</v>
      </c>
      <c r="K221" s="42"/>
      <c r="L221" s="42"/>
      <c r="M221" s="68">
        <f t="shared" si="4"/>
        <v>-1</v>
      </c>
      <c r="N221" s="68">
        <f t="shared" si="5"/>
        <v>-1</v>
      </c>
      <c r="O221" s="68">
        <v>0.0631104432757</v>
      </c>
      <c r="P221" s="23">
        <v>46255</v>
      </c>
      <c r="R221" s="68">
        <v>0.473</v>
      </c>
      <c r="S221" s="23">
        <v>46203</v>
      </c>
      <c r="T221" s="23">
        <v>46237</v>
      </c>
      <c r="U221" s="39">
        <v>133.1</v>
      </c>
      <c r="V221" s="39">
        <v>123.3244</v>
      </c>
      <c r="W221" t="inlineStr">
        <is>
          <t>Above 75 DMA</t>
        </is>
      </c>
    </row>
    <row r="222">
      <c r="A222" s="23">
        <v>46237.0</v>
      </c>
      <c r="B222" s="25" t="str">
        <f t="shared" si="6"/>
        <v>Monday</v>
      </c>
      <c r="C222" s="25" t="s">
        <v>347</v>
      </c>
      <c r="D222" s="31">
        <f>IFERROR(__xludf.DUMMYFUNCTION("GOOGLEFINANCE(""NSE:""&amp;UPPER(TRIM(E222)),""marketcap"")/10000000"),12331.627195)</f>
        <v>12331.6272</v>
      </c>
      <c r="E222" s="7" t="s">
        <v>523</v>
      </c>
      <c r="F222" s="39">
        <f>IFERROR(__xludf.DUMMYFUNCTION("IF(OR(E222="""",A222=""""),"""",
 IF(
   DATE(VALUE(RIGHT(A222,4)),VALUE(MID(A222,4,2)),VALUE(LEFT(A222,2)))&gt;=TODAY(),
   IFERROR(
     GOOGLEFINANCE(""NSE:""&amp;UPPER(TRIM(E222)),""price""),
     ""Not Available""
   ),
   IFERROR(
     INDEX(
       GOOGLE"&amp;"FINANCE(
         ""NSE:""&amp;UPPER(TRIM(E222)),
         ""close"",
         DATE(VALUE(RIGHT(A222,4)),VALUE(MID(A222,4,2)),VALUE(LEFT(A222,2))),
         DATE(VALUE(RIGHT(A222,4)),VALUE(MID(A222,4,2)),VALUE(LEFT(A222,2)))+1
       ),
       2,2
     ),
   "&amp;"  ""Not Available""
   )
 ))"),288.6)</f>
        <v>288.6</v>
      </c>
      <c r="G222" s="42">
        <f>IFERROR(__xludf.DUMMYFUNCTION("IF(E222="""","""",IFERROR(GOOGLEFINANCE(""NSE:""&amp;UPPER(TRIM(E222)),""price""),""Not Available""))"),285.5)</f>
        <v>285.5</v>
      </c>
      <c r="H222" s="53">
        <f t="shared" si="1"/>
        <v>52</v>
      </c>
      <c r="I222" s="58">
        <f t="shared" si="2"/>
        <v>-0.01074151074</v>
      </c>
      <c r="J222" s="60">
        <f t="shared" si="3"/>
        <v>-1074.151074</v>
      </c>
      <c r="K222" s="42"/>
      <c r="L222" s="42"/>
      <c r="M222" s="68">
        <f t="shared" si="4"/>
        <v>-1</v>
      </c>
      <c r="N222" s="68">
        <f t="shared" si="5"/>
        <v>-1</v>
      </c>
      <c r="O222" s="68">
        <v>0.0327442827443</v>
      </c>
      <c r="P222" s="23">
        <v>46245</v>
      </c>
      <c r="R222" s="68">
        <v>0.8289</v>
      </c>
      <c r="S222" s="23">
        <v>46203</v>
      </c>
      <c r="T222" s="23">
        <v>46237</v>
      </c>
      <c r="U222" s="39">
        <v>288.6</v>
      </c>
      <c r="V222" s="39">
        <v>267.684533333</v>
      </c>
      <c r="W222" t="inlineStr">
        <is>
          <t>Above 75 DMA</t>
        </is>
      </c>
    </row>
    <row r="223">
      <c r="A223" s="23">
        <v>46237.0</v>
      </c>
      <c r="B223" s="25" t="str">
        <f t="shared" si="6"/>
        <v>Monday</v>
      </c>
      <c r="C223" s="25" t="s">
        <v>347</v>
      </c>
      <c r="D223" s="31">
        <f>IFERROR(__xludf.DUMMYFUNCTION("GOOGLEFINANCE(""NSE:""&amp;UPPER(TRIM(E223)),""marketcap"")/10000000"),22590.89083)</f>
        <v>22590.89083</v>
      </c>
      <c r="E223" s="7" t="s">
        <v>524</v>
      </c>
      <c r="F223" s="39">
        <f>IFERROR(__xludf.DUMMYFUNCTION("IF(OR(E223="""",A223=""""),"""",
 IF(
   DATE(VALUE(RIGHT(A223,4)),VALUE(MID(A223,4,2)),VALUE(LEFT(A223,2)))&gt;=TODAY(),
   IFERROR(
     GOOGLEFINANCE(""NSE:""&amp;UPPER(TRIM(E223)),""price""),
     ""Not Available""
   ),
   IFERROR(
     INDEX(
       GOOGLE"&amp;"FINANCE(
         ""NSE:""&amp;UPPER(TRIM(E223)),
         ""close"",
         DATE(VALUE(RIGHT(A223,4)),VALUE(MID(A223,4,2)),VALUE(LEFT(A223,2))),
         DATE(VALUE(RIGHT(A223,4)),VALUE(MID(A223,4,2)),VALUE(LEFT(A223,2)))+1
       ),
       2,2
     ),
   "&amp;"  ""Not Available""
   )
 ))"),18494.0)</f>
        <v>18494</v>
      </c>
      <c r="G223" s="42">
        <f>IFERROR(__xludf.DUMMYFUNCTION("IF(E223="""","""",IFERROR(GOOGLEFINANCE(""NSE:""&amp;UPPER(TRIM(E223)),""price""),""Not Available""))"),17158.0)</f>
        <v>17158</v>
      </c>
      <c r="H223" s="53">
        <f t="shared" si="1"/>
        <v>52</v>
      </c>
      <c r="I223" s="58">
        <f t="shared" si="2"/>
        <v>-0.07223964529</v>
      </c>
      <c r="J223" s="60">
        <f t="shared" si="3"/>
        <v>-7223.964529</v>
      </c>
      <c r="K223" s="42"/>
      <c r="L223" s="42"/>
      <c r="M223" s="68">
        <f t="shared" si="4"/>
        <v>-1</v>
      </c>
      <c r="N223" s="68">
        <f t="shared" si="5"/>
        <v>-1</v>
      </c>
      <c r="O223" s="68">
        <v>0.05158429761</v>
      </c>
      <c r="P223" s="23">
        <v>46247</v>
      </c>
      <c r="R223" s="68">
        <v>0.6163</v>
      </c>
      <c r="S223" s="23">
        <v>46203</v>
      </c>
      <c r="T223" s="23">
        <v>46237</v>
      </c>
      <c r="U223" s="39">
        <v>18494</v>
      </c>
      <c r="V223" s="39">
        <v>18988.2533333</v>
      </c>
      <c r="W223" t="inlineStr">
        <is>
          <t>Below 75 DMA</t>
        </is>
      </c>
    </row>
    <row r="224">
      <c r="A224" s="23">
        <v>46237.0</v>
      </c>
      <c r="B224" s="25" t="str">
        <f t="shared" si="6"/>
        <v>Monday</v>
      </c>
      <c r="C224" s="25" t="s">
        <v>347</v>
      </c>
      <c r="D224" s="31">
        <f>IFERROR(__xludf.DUMMYFUNCTION("GOOGLEFINANCE(""NSE:""&amp;UPPER(TRIM(E224)),""marketcap"")/10000000"),6376.0045582)</f>
        <v>6376.004558</v>
      </c>
      <c r="E224" s="7" t="s">
        <v>525</v>
      </c>
      <c r="F224" s="39">
        <f>IFERROR(__xludf.DUMMYFUNCTION("IF(OR(E224="""",A224=""""),"""",
 IF(
   DATE(VALUE(RIGHT(A224,4)),VALUE(MID(A224,4,2)),VALUE(LEFT(A224,2)))&gt;=TODAY(),
   IFERROR(
     GOOGLEFINANCE(""NSE:""&amp;UPPER(TRIM(E224)),""price""),
     ""Not Available""
   ),
   IFERROR(
     INDEX(
       GOOGLE"&amp;"FINANCE(
         ""NSE:""&amp;UPPER(TRIM(E224)),
         ""close"",
         DATE(VALUE(RIGHT(A224,4)),VALUE(MID(A224,4,2)),VALUE(LEFT(A224,2))),
         DATE(VALUE(RIGHT(A224,4)),VALUE(MID(A224,4,2)),VALUE(LEFT(A224,2)))+1
       ),
       2,2
     ),
   "&amp;"  ""Not Available""
   )
 ))"),582.5)</f>
        <v>582.5</v>
      </c>
      <c r="G224" s="42">
        <f>IFERROR(__xludf.DUMMYFUNCTION("IF(E224="""","""",IFERROR(GOOGLEFINANCE(""NSE:""&amp;UPPER(TRIM(E224)),""price""),""Not Available""))"),513.5)</f>
        <v>513.5</v>
      </c>
      <c r="H224" s="53">
        <f t="shared" si="1"/>
        <v>52</v>
      </c>
      <c r="I224" s="58">
        <f t="shared" si="2"/>
        <v>-0.1184549356</v>
      </c>
      <c r="J224" s="60">
        <f t="shared" si="3"/>
        <v>-11845.49356</v>
      </c>
      <c r="K224" s="42"/>
      <c r="L224" s="42"/>
      <c r="M224" s="68">
        <f t="shared" si="4"/>
        <v>-1</v>
      </c>
      <c r="N224" s="68">
        <f t="shared" si="5"/>
        <v>-1</v>
      </c>
      <c r="O224" s="68">
        <v>0.0512446351931</v>
      </c>
      <c r="P224" s="23">
        <v>46241</v>
      </c>
      <c r="R224" s="68">
        <v>0.6362</v>
      </c>
      <c r="S224" s="23">
        <v>46203</v>
      </c>
      <c r="T224" s="23">
        <v>46237</v>
      </c>
      <c r="U224" s="39">
        <v>582.5</v>
      </c>
      <c r="V224" s="39">
        <v>621.134</v>
      </c>
      <c r="W224" t="inlineStr">
        <is>
          <t>Below 75 DMA</t>
        </is>
      </c>
    </row>
    <row r="225">
      <c r="A225" s="23">
        <v>46237.0</v>
      </c>
      <c r="B225" s="25" t="str">
        <f t="shared" si="6"/>
        <v>Monday</v>
      </c>
      <c r="C225" s="25" t="s">
        <v>347</v>
      </c>
      <c r="D225" s="31">
        <f>IFERROR(__xludf.DUMMYFUNCTION("GOOGLEFINANCE(""NSE:""&amp;UPPER(TRIM(E225)),""marketcap"")/10000000"),4644.784688)</f>
        <v>4644.784688</v>
      </c>
      <c r="E225" s="7" t="s">
        <v>526</v>
      </c>
      <c r="F225" s="39">
        <f>IFERROR(__xludf.DUMMYFUNCTION("IF(OR(E225="""",A225=""""),"""",
 IF(
   DATE(VALUE(RIGHT(A225,4)),VALUE(MID(A225,4,2)),VALUE(LEFT(A225,2)))&gt;=TODAY(),
   IFERROR(
     GOOGLEFINANCE(""NSE:""&amp;UPPER(TRIM(E225)),""price""),
     ""Not Available""
   ),
   IFERROR(
     INDEX(
       GOOGLE"&amp;"FINANCE(
         ""NSE:""&amp;UPPER(TRIM(E225)),
         ""close"",
         DATE(VALUE(RIGHT(A225,4)),VALUE(MID(A225,4,2)),VALUE(LEFT(A225,2))),
         DATE(VALUE(RIGHT(A225,4)),VALUE(MID(A225,4,2)),VALUE(LEFT(A225,2)))+1
       ),
       2,2
     ),
   "&amp;"  ""Not Available""
   )
 ))"),817.3)</f>
        <v>817.3</v>
      </c>
      <c r="G225" s="42">
        <f>IFERROR(__xludf.DUMMYFUNCTION("IF(E225="""","""",IFERROR(GOOGLEFINANCE(""NSE:""&amp;UPPER(TRIM(E225)),""price""),""Not Available""))"),712.0)</f>
        <v>712</v>
      </c>
      <c r="H225" s="53">
        <f t="shared" si="1"/>
        <v>52</v>
      </c>
      <c r="I225" s="58">
        <f t="shared" si="2"/>
        <v>-0.1288388597</v>
      </c>
      <c r="J225" s="60">
        <f t="shared" si="3"/>
        <v>-12883.88597</v>
      </c>
      <c r="K225" s="42"/>
      <c r="L225" s="42"/>
      <c r="M225" s="68">
        <f t="shared" si="4"/>
        <v>-1</v>
      </c>
      <c r="N225" s="68">
        <f t="shared" si="5"/>
        <v>-1</v>
      </c>
      <c r="O225" s="68">
        <v>0.0328520739019</v>
      </c>
      <c r="P225" s="23">
        <v>46239</v>
      </c>
      <c r="R225" s="68">
        <v>0.3679</v>
      </c>
      <c r="S225" s="23">
        <v>46203</v>
      </c>
      <c r="T225" s="23">
        <v>46237</v>
      </c>
      <c r="U225" s="39">
        <v>817.3</v>
      </c>
      <c r="V225" s="39">
        <v>775.202</v>
      </c>
      <c r="W225" t="inlineStr">
        <is>
          <t>Above 75 DMA</t>
        </is>
      </c>
    </row>
    <row r="226">
      <c r="A226" s="23">
        <v>46237.0</v>
      </c>
      <c r="B226" s="25" t="str">
        <f t="shared" si="6"/>
        <v>Monday</v>
      </c>
      <c r="C226" s="25" t="s">
        <v>347</v>
      </c>
      <c r="D226" s="31">
        <f>IFERROR(__xludf.DUMMYFUNCTION("GOOGLEFINANCE(""NSE:""&amp;UPPER(TRIM(E226)),""marketcap"")/10000000"),4261.611)</f>
        <v>4261.611</v>
      </c>
      <c r="E226" s="7" t="s">
        <v>499</v>
      </c>
      <c r="F226" s="39">
        <f>IFERROR(__xludf.DUMMYFUNCTION("IF(OR(E226="""",A226=""""),"""",
 IF(
   DATE(VALUE(RIGHT(A226,4)),VALUE(MID(A226,4,2)),VALUE(LEFT(A226,2)))&gt;=TODAY(),
   IFERROR(
     GOOGLEFINANCE(""NSE:""&amp;UPPER(TRIM(E226)),""price""),
     ""Not Available""
   ),
   IFERROR(
     INDEX(
       GOOGLE"&amp;"FINANCE(
         ""NSE:""&amp;UPPER(TRIM(E226)),
         ""close"",
         DATE(VALUE(RIGHT(A226,4)),VALUE(MID(A226,4,2)),VALUE(LEFT(A226,2))),
         DATE(VALUE(RIGHT(A226,4)),VALUE(MID(A226,4,2)),VALUE(LEFT(A226,2)))+1
       ),
       2,2
     ),
   "&amp;"  ""Not Available""
   )
 ))"),310.4)</f>
        <v>310.4</v>
      </c>
      <c r="G226" s="42">
        <f>IFERROR(__xludf.DUMMYFUNCTION("IF(E226="""","""",IFERROR(GOOGLEFINANCE(""NSE:""&amp;UPPER(TRIM(E226)),""price""),""Not Available""))"),300.0)</f>
        <v>300</v>
      </c>
      <c r="H226" s="53">
        <f t="shared" si="1"/>
        <v>52</v>
      </c>
      <c r="I226" s="58">
        <f t="shared" si="2"/>
        <v>-0.03350515464</v>
      </c>
      <c r="J226" s="60">
        <f t="shared" si="3"/>
        <v>-3350.515464</v>
      </c>
      <c r="K226" s="42"/>
      <c r="L226" s="42"/>
      <c r="M226" s="68">
        <f t="shared" si="4"/>
        <v>-1</v>
      </c>
      <c r="N226" s="68">
        <f t="shared" si="5"/>
        <v>-1</v>
      </c>
      <c r="O226" s="68">
        <v>0.0620167525773</v>
      </c>
      <c r="P226" s="23">
        <v>46247</v>
      </c>
      <c r="R226" s="68">
        <v>0.4235</v>
      </c>
      <c r="S226" s="23">
        <v>46203</v>
      </c>
      <c r="T226" s="23">
        <v>46237</v>
      </c>
      <c r="U226" s="39">
        <v>310.4</v>
      </c>
      <c r="V226" s="39">
        <v>306.144</v>
      </c>
      <c r="W226" t="inlineStr">
        <is>
          <t>Above 75 DMA</t>
        </is>
      </c>
    </row>
    <row r="227">
      <c r="A227" s="23">
        <v>46237.0</v>
      </c>
      <c r="B227" s="25" t="str">
        <f t="shared" si="6"/>
        <v>Monday</v>
      </c>
      <c r="C227" s="25" t="s">
        <v>347</v>
      </c>
      <c r="D227" s="31">
        <f>IFERROR(__xludf.DUMMYFUNCTION("GOOGLEFINANCE(""NSE:""&amp;UPPER(TRIM(E227)),""marketcap"")/10000000"),16213.5755229)</f>
        <v>16213.57552</v>
      </c>
      <c r="E227" s="7" t="s">
        <v>527</v>
      </c>
      <c r="F227" s="39">
        <f>IFERROR(__xludf.DUMMYFUNCTION("IF(OR(E227="""",A227=""""),"""",
 IF(
   DATE(VALUE(RIGHT(A227,4)),VALUE(MID(A227,4,2)),VALUE(LEFT(A227,2)))&gt;=TODAY(),
   IFERROR(
     GOOGLEFINANCE(""NSE:""&amp;UPPER(TRIM(E227)),""price""),
     ""Not Available""
   ),
   IFERROR(
     INDEX(
       GOOGLE"&amp;"FINANCE(
         ""NSE:""&amp;UPPER(TRIM(E227)),
         ""close"",
         DATE(VALUE(RIGHT(A227,4)),VALUE(MID(A227,4,2)),VALUE(LEFT(A227,2))),
         DATE(VALUE(RIGHT(A227,4)),VALUE(MID(A227,4,2)),VALUE(LEFT(A227,2)))+1
       ),
       2,2
     ),
   "&amp;"  ""Not Available""
   )
 ))"),1349.5)</f>
        <v>1349.5</v>
      </c>
      <c r="G227" s="42">
        <f>IFERROR(__xludf.DUMMYFUNCTION("IF(E227="""","""",IFERROR(GOOGLEFINANCE(""NSE:""&amp;UPPER(TRIM(E227)),""price""),""Not Available""))"),1379.3)</f>
        <v>1379.3</v>
      </c>
      <c r="H227" s="53">
        <f t="shared" si="1"/>
        <v>52</v>
      </c>
      <c r="I227" s="58">
        <f t="shared" si="2"/>
        <v>0.02208225269</v>
      </c>
      <c r="J227" s="60">
        <f t="shared" si="3"/>
        <v>2208.225269</v>
      </c>
      <c r="K227" s="42"/>
      <c r="L227" s="42"/>
      <c r="M227" s="68">
        <f t="shared" si="4"/>
        <v>-1</v>
      </c>
      <c r="N227" s="68">
        <f t="shared" si="5"/>
        <v>-1</v>
      </c>
      <c r="O227" s="68">
        <v>0.0974434975917</v>
      </c>
      <c r="P227" s="23">
        <v>46288</v>
      </c>
      <c r="R227" s="68">
        <v>0.4942</v>
      </c>
      <c r="S227" s="23">
        <v>46203</v>
      </c>
      <c r="T227" s="23">
        <v>46237</v>
      </c>
      <c r="U227" s="39">
        <v>1349.5</v>
      </c>
      <c r="V227" s="39">
        <v>1240.24666667</v>
      </c>
      <c r="W227" t="inlineStr">
        <is>
          <t>Above 75 DMA</t>
        </is>
      </c>
    </row>
    <row r="228">
      <c r="A228" s="23">
        <v>46237.0</v>
      </c>
      <c r="B228" s="25" t="str">
        <f t="shared" si="6"/>
        <v>Monday</v>
      </c>
      <c r="C228" s="25" t="s">
        <v>347</v>
      </c>
      <c r="D228" s="31">
        <f>IFERROR(__xludf.DUMMYFUNCTION("GOOGLEFINANCE(""NSE:""&amp;UPPER(TRIM(E228)),""marketcap"")/10000000"),24836.1880677)</f>
        <v>24836.18807</v>
      </c>
      <c r="E228" s="7" t="s">
        <v>67</v>
      </c>
      <c r="F228" s="39">
        <f>IFERROR(__xludf.DUMMYFUNCTION("IF(OR(E228="""",A228=""""),"""",
 IF(
   DATE(VALUE(RIGHT(A228,4)),VALUE(MID(A228,4,2)),VALUE(LEFT(A228,2)))&gt;=TODAY(),
   IFERROR(
     GOOGLEFINANCE(""NSE:""&amp;UPPER(TRIM(E228)),""price""),
     ""Not Available""
   ),
   IFERROR(
     INDEX(
       GOOGLE"&amp;"FINANCE(
         ""NSE:""&amp;UPPER(TRIM(E228)),
         ""close"",
         DATE(VALUE(RIGHT(A228,4)),VALUE(MID(A228,4,2)),VALUE(LEFT(A228,2))),
         DATE(VALUE(RIGHT(A228,4)),VALUE(MID(A228,4,2)),VALUE(LEFT(A228,2)))+1
       ),
       2,2
     ),
   "&amp;"  ""Not Available""
   )
 ))"),1095.5)</f>
        <v>1095.5</v>
      </c>
      <c r="G228" s="42">
        <f>IFERROR(__xludf.DUMMYFUNCTION("IF(E228="""","""",IFERROR(GOOGLEFINANCE(""NSE:""&amp;UPPER(TRIM(E228)),""price""),""Not Available""))"),1303.7)</f>
        <v>1303.7</v>
      </c>
      <c r="H228" s="53">
        <f t="shared" si="1"/>
        <v>52</v>
      </c>
      <c r="I228" s="58">
        <f t="shared" si="2"/>
        <v>0.1900502054</v>
      </c>
      <c r="J228" s="60">
        <f t="shared" si="3"/>
        <v>19005.02054</v>
      </c>
      <c r="K228" s="62">
        <v>988.0</v>
      </c>
      <c r="L228" s="62">
        <v>593.0</v>
      </c>
      <c r="M228" s="68">
        <f t="shared" si="4"/>
        <v>-0.09812870835</v>
      </c>
      <c r="N228" s="68">
        <f t="shared" si="5"/>
        <v>-0.45869466</v>
      </c>
      <c r="O228" s="68">
        <v>0.161935189411</v>
      </c>
      <c r="P228" s="23">
        <v>46288</v>
      </c>
      <c r="R228" s="68">
        <v>0.3889</v>
      </c>
      <c r="S228" s="23">
        <v>46203</v>
      </c>
      <c r="T228" s="23">
        <v>46237</v>
      </c>
      <c r="U228" s="39">
        <v>1095.5</v>
      </c>
      <c r="V228" s="39">
        <v>1056.632</v>
      </c>
      <c r="W228" t="inlineStr">
        <is>
          <t>Above 75 DMA</t>
        </is>
      </c>
    </row>
    <row r="229">
      <c r="A229" s="23">
        <v>46237.0</v>
      </c>
      <c r="B229" s="25" t="str">
        <f t="shared" si="6"/>
        <v>Monday</v>
      </c>
      <c r="C229" s="25" t="s">
        <v>347</v>
      </c>
      <c r="D229" s="31">
        <f>IFERROR(__xludf.DUMMYFUNCTION("GOOGLEFINANCE(""NSE:""&amp;UPPER(TRIM(E229)),""marketcap"")/10000000"),1036.5835217)</f>
        <v>1036.583522</v>
      </c>
      <c r="E229" s="7" t="s">
        <v>528</v>
      </c>
      <c r="F229" s="39">
        <f>IFERROR(__xludf.DUMMYFUNCTION("IF(OR(E229="""",A229=""""),"""",
 IF(
   DATE(VALUE(RIGHT(A229,4)),VALUE(MID(A229,4,2)),VALUE(LEFT(A229,2)))&gt;=TODAY(),
   IFERROR(
     GOOGLEFINANCE(""NSE:""&amp;UPPER(TRIM(E229)),""price""),
     ""Not Available""
   ),
   IFERROR(
     INDEX(
       GOOGLE"&amp;"FINANCE(
         ""NSE:""&amp;UPPER(TRIM(E229)),
         ""close"",
         DATE(VALUE(RIGHT(A229,4)),VALUE(MID(A229,4,2)),VALUE(LEFT(A229,2))),
         DATE(VALUE(RIGHT(A229,4)),VALUE(MID(A229,4,2)),VALUE(LEFT(A229,2)))+1
       ),
       2,2
     ),
   "&amp;"  ""Not Available""
   )
 ))"),494.1)</f>
        <v>494.1</v>
      </c>
      <c r="G229" s="42">
        <f>IFERROR(__xludf.DUMMYFUNCTION("IF(E229="""","""",IFERROR(GOOGLEFINANCE(""NSE:""&amp;UPPER(TRIM(E229)),""price""),""Not Available""))"),603.9)</f>
        <v>603.9</v>
      </c>
      <c r="H229" s="53">
        <f t="shared" si="1"/>
        <v>52</v>
      </c>
      <c r="I229" s="58">
        <f t="shared" si="2"/>
        <v>0.2222222222</v>
      </c>
      <c r="J229" s="60">
        <f t="shared" si="3"/>
        <v>22222.22222</v>
      </c>
      <c r="K229" s="62">
        <v>673.0</v>
      </c>
      <c r="L229" s="62">
        <v>299.0</v>
      </c>
      <c r="M229" s="68">
        <f t="shared" si="4"/>
        <v>0.362072455</v>
      </c>
      <c r="N229" s="68">
        <f t="shared" si="5"/>
        <v>-0.3948593402</v>
      </c>
      <c r="O229" s="68">
        <v>0.356000809553</v>
      </c>
      <c r="P229" s="23">
        <v>46287</v>
      </c>
      <c r="R229" s="68">
        <v>0.6184</v>
      </c>
      <c r="S229" s="23">
        <v>46203</v>
      </c>
      <c r="T229" s="23">
        <v>46237</v>
      </c>
      <c r="U229" s="39">
        <v>494.1</v>
      </c>
      <c r="V229" s="39">
        <v>500.166666667</v>
      </c>
      <c r="W229" t="inlineStr">
        <is>
          <t>Below 75 DMA</t>
        </is>
      </c>
    </row>
    <row r="230">
      <c r="A230" s="23">
        <v>46237.0</v>
      </c>
      <c r="B230" s="25" t="str">
        <f t="shared" si="6"/>
        <v>Monday</v>
      </c>
      <c r="C230" s="25" t="s">
        <v>347</v>
      </c>
      <c r="D230" s="31">
        <f>IFERROR(__xludf.DUMMYFUNCTION("GOOGLEFINANCE(""NSE:""&amp;UPPER(TRIM(E230)),""marketcap"")/10000000"),7827.926068)</f>
        <v>7827.926068</v>
      </c>
      <c r="E230" s="7" t="s">
        <v>497</v>
      </c>
      <c r="F230" s="39">
        <f>IFERROR(__xludf.DUMMYFUNCTION("IF(OR(E230="""",A230=""""),"""",
 IF(
   DATE(VALUE(RIGHT(A230,4)),VALUE(MID(A230,4,2)),VALUE(LEFT(A230,2)))&gt;=TODAY(),
   IFERROR(
     GOOGLEFINANCE(""NSE:""&amp;UPPER(TRIM(E230)),""price""),
     ""Not Available""
   ),
   IFERROR(
     INDEX(
       GOOGLE"&amp;"FINANCE(
         ""NSE:""&amp;UPPER(TRIM(E230)),
         ""close"",
         DATE(VALUE(RIGHT(A230,4)),VALUE(MID(A230,4,2)),VALUE(LEFT(A230,2))),
         DATE(VALUE(RIGHT(A230,4)),VALUE(MID(A230,4,2)),VALUE(LEFT(A230,2)))+1
       ),
       2,2
     ),
   "&amp;"  ""Not Available""
   )
 ))"),907.0)</f>
        <v>907</v>
      </c>
      <c r="G230" s="42">
        <f>IFERROR(__xludf.DUMMYFUNCTION("IF(E230="""","""",IFERROR(GOOGLEFINANCE(""NSE:""&amp;UPPER(TRIM(E230)),""price""),""Not Available""))"),809.0)</f>
        <v>809</v>
      </c>
      <c r="H230" s="53">
        <f t="shared" si="1"/>
        <v>52</v>
      </c>
      <c r="I230" s="58">
        <f t="shared" si="2"/>
        <v>-0.1080485116</v>
      </c>
      <c r="J230" s="60">
        <f t="shared" si="3"/>
        <v>-10804.85116</v>
      </c>
      <c r="K230" s="42"/>
      <c r="L230" s="42"/>
      <c r="M230" s="68">
        <f t="shared" si="4"/>
        <v>-1</v>
      </c>
      <c r="N230" s="68">
        <f t="shared" si="5"/>
        <v>-1</v>
      </c>
      <c r="O230" s="68">
        <v>0.0460859977949</v>
      </c>
      <c r="P230" s="23">
        <v>46241</v>
      </c>
      <c r="R230" s="68">
        <v>0.7469</v>
      </c>
      <c r="S230" s="23">
        <v>46203</v>
      </c>
      <c r="T230" s="23">
        <v>46237</v>
      </c>
      <c r="U230" s="39">
        <v>907</v>
      </c>
      <c r="V230" s="39">
        <v>908.877333333</v>
      </c>
      <c r="W230" t="inlineStr">
        <is>
          <t>Below 75 DMA</t>
        </is>
      </c>
    </row>
    <row r="231">
      <c r="A231" s="23">
        <v>46237.0</v>
      </c>
      <c r="B231" s="25" t="str">
        <f t="shared" si="6"/>
        <v>Monday</v>
      </c>
      <c r="C231" s="25" t="s">
        <v>347</v>
      </c>
      <c r="D231" s="31">
        <f>IFERROR(__xludf.DUMMYFUNCTION("GOOGLEFINANCE(""NSE:""&amp;UPPER(TRIM(E231)),""marketcap"")/10000000"),1731.7580186)</f>
        <v>1731.758019</v>
      </c>
      <c r="E231" s="7" t="s">
        <v>498</v>
      </c>
      <c r="F231" s="39">
        <f>IFERROR(__xludf.DUMMYFUNCTION("IF(OR(E231="""",A231=""""),"""",
 IF(
   DATE(VALUE(RIGHT(A231,4)),VALUE(MID(A231,4,2)),VALUE(LEFT(A231,2)))&gt;=TODAY(),
   IFERROR(
     GOOGLEFINANCE(""NSE:""&amp;UPPER(TRIM(E231)),""price""),
     ""Not Available""
   ),
   IFERROR(
     INDEX(
       GOOGLE"&amp;"FINANCE(
         ""NSE:""&amp;UPPER(TRIM(E231)),
         ""close"",
         DATE(VALUE(RIGHT(A231,4)),VALUE(MID(A231,4,2)),VALUE(LEFT(A231,2))),
         DATE(VALUE(RIGHT(A231,4)),VALUE(MID(A231,4,2)),VALUE(LEFT(A231,2)))+1
       ),
       2,2
     ),
   "&amp;"  ""Not Available""
   )
 ))"),663.6)</f>
        <v>663.6</v>
      </c>
      <c r="G231" s="42">
        <f>IFERROR(__xludf.DUMMYFUNCTION("IF(E231="""","""",IFERROR(GOOGLEFINANCE(""NSE:""&amp;UPPER(TRIM(E231)),""price""),""Not Available""))"),595.15)</f>
        <v>595.15</v>
      </c>
      <c r="H231" s="53">
        <f t="shared" si="1"/>
        <v>52</v>
      </c>
      <c r="I231" s="58">
        <f t="shared" si="2"/>
        <v>-0.1031494876</v>
      </c>
      <c r="J231" s="60">
        <f t="shared" si="3"/>
        <v>-10314.94876</v>
      </c>
      <c r="K231" s="42"/>
      <c r="L231" s="42"/>
      <c r="M231" s="68">
        <f t="shared" si="4"/>
        <v>-1</v>
      </c>
      <c r="N231" s="68">
        <f t="shared" si="5"/>
        <v>-1</v>
      </c>
      <c r="O231" s="68">
        <v>0.00949367088608</v>
      </c>
      <c r="P231" s="23">
        <v>46238</v>
      </c>
      <c r="R231" s="68">
        <v>0.723</v>
      </c>
      <c r="S231" s="23">
        <v>46203</v>
      </c>
      <c r="T231" s="23">
        <v>46237</v>
      </c>
      <c r="U231" s="39">
        <v>663.6</v>
      </c>
      <c r="V231" s="39">
        <v>690.468666667</v>
      </c>
      <c r="W231" t="inlineStr">
        <is>
          <t>Below 75 DMA</t>
        </is>
      </c>
    </row>
    <row r="232">
      <c r="A232" s="23">
        <v>46237.0</v>
      </c>
      <c r="B232" s="25" t="str">
        <f t="shared" si="6"/>
        <v>Monday</v>
      </c>
      <c r="C232" s="25" t="s">
        <v>347</v>
      </c>
      <c r="D232" s="31">
        <f>IFERROR(__xludf.DUMMYFUNCTION("GOOGLEFINANCE(""NSE:""&amp;UPPER(TRIM(E232)),""marketcap"")/10000000"),1849.7589208)</f>
        <v>1849.758921</v>
      </c>
      <c r="E232" s="7" t="s">
        <v>491</v>
      </c>
      <c r="F232" s="39">
        <f>IFERROR(__xludf.DUMMYFUNCTION("IF(OR(E232="""",A232=""""),"""",
 IF(
   DATE(VALUE(RIGHT(A232,4)),VALUE(MID(A232,4,2)),VALUE(LEFT(A232,2)))&gt;=TODAY(),
   IFERROR(
     GOOGLEFINANCE(""NSE:""&amp;UPPER(TRIM(E232)),""price""),
     ""Not Available""
   ),
   IFERROR(
     INDEX(
       GOOGLE"&amp;"FINANCE(
         ""NSE:""&amp;UPPER(TRIM(E232)),
         ""close"",
         DATE(VALUE(RIGHT(A232,4)),VALUE(MID(A232,4,2)),VALUE(LEFT(A232,2))),
         DATE(VALUE(RIGHT(A232,4)),VALUE(MID(A232,4,2)),VALUE(LEFT(A232,2)))+1
       ),
       2,2
     ),
   "&amp;"  ""Not Available""
   )
 ))"),1337.2)</f>
        <v>1337.2</v>
      </c>
      <c r="G232" s="42">
        <f>IFERROR(__xludf.DUMMYFUNCTION("IF(E232="""","""",IFERROR(GOOGLEFINANCE(""NSE:""&amp;UPPER(TRIM(E232)),""price""),""Not Available""))"),1114.9)</f>
        <v>1114.9</v>
      </c>
      <c r="H232" s="53">
        <f t="shared" si="1"/>
        <v>52</v>
      </c>
      <c r="I232" s="58">
        <f t="shared" si="2"/>
        <v>-0.1662428956</v>
      </c>
      <c r="J232" s="60">
        <f t="shared" si="3"/>
        <v>-16624.28956</v>
      </c>
      <c r="K232" s="42"/>
      <c r="L232" s="42"/>
      <c r="M232" s="68">
        <f t="shared" si="4"/>
        <v>-1</v>
      </c>
      <c r="N232" s="68">
        <f t="shared" si="5"/>
        <v>-1</v>
      </c>
      <c r="O232" s="68">
        <v>0.0716422375112</v>
      </c>
      <c r="P232" s="23">
        <v>46244</v>
      </c>
      <c r="Q232" s="68">
        <v>0.15999967235</v>
      </c>
      <c r="R232" s="68">
        <v>0.7499</v>
      </c>
      <c r="S232" s="23">
        <v>46203</v>
      </c>
      <c r="T232" s="23">
        <v>46237</v>
      </c>
      <c r="U232" s="39">
        <v>1337.2</v>
      </c>
      <c r="V232" s="39">
        <v>1388.132</v>
      </c>
      <c r="W232" t="inlineStr">
        <is>
          <t>Below 75 DMA</t>
        </is>
      </c>
    </row>
    <row r="233">
      <c r="A233" s="23">
        <v>46237.0</v>
      </c>
      <c r="B233" s="25" t="str">
        <f t="shared" si="6"/>
        <v>Monday</v>
      </c>
      <c r="C233" s="25" t="s">
        <v>347</v>
      </c>
      <c r="D233" s="31">
        <f>IFERROR(__xludf.DUMMYFUNCTION("GOOGLEFINANCE(""NSE:""&amp;UPPER(TRIM(E233)),""marketcap"")/10000000"),66874.1964344)</f>
        <v>66874.19643</v>
      </c>
      <c r="E233" s="7" t="s">
        <v>516</v>
      </c>
      <c r="F233" s="39">
        <f>IFERROR(__xludf.DUMMYFUNCTION("IF(OR(E233="""",A233=""""),"""",
 IF(
   DATE(VALUE(RIGHT(A233,4)),VALUE(MID(A233,4,2)),VALUE(LEFT(A233,2)))&gt;=TODAY(),
   IFERROR(
     GOOGLEFINANCE(""NSE:""&amp;UPPER(TRIM(E233)),""price""),
     ""Not Available""
   ),
   IFERROR(
     INDEX(
       GOOGLE"&amp;"FINANCE(
         ""NSE:""&amp;UPPER(TRIM(E233)),
         ""close"",
         DATE(VALUE(RIGHT(A233,4)),VALUE(MID(A233,4,2)),VALUE(LEFT(A233,2))),
         DATE(VALUE(RIGHT(A233,4)),VALUE(MID(A233,4,2)),VALUE(LEFT(A233,2)))+1
       ),
       2,2
     ),
   "&amp;"  ""Not Available""
   )
 ))"),940.0)</f>
        <v>940</v>
      </c>
      <c r="G233" s="42">
        <f>IFERROR(__xludf.DUMMYFUNCTION("IF(E233="""","""",IFERROR(GOOGLEFINANCE(""NSE:""&amp;UPPER(TRIM(E233)),""price""),""Not Available""))"),885.8)</f>
        <v>885.8</v>
      </c>
      <c r="H233" s="53">
        <f t="shared" si="1"/>
        <v>52</v>
      </c>
      <c r="I233" s="58">
        <f t="shared" si="2"/>
        <v>-0.05765957447</v>
      </c>
      <c r="J233" s="60">
        <f t="shared" si="3"/>
        <v>-5765.957447</v>
      </c>
      <c r="K233" s="42"/>
      <c r="L233" s="42"/>
      <c r="M233" s="68">
        <f t="shared" si="4"/>
        <v>-1</v>
      </c>
      <c r="N233" s="68">
        <f t="shared" si="5"/>
        <v>-1</v>
      </c>
      <c r="O233" s="68">
        <v>0.041170212766</v>
      </c>
      <c r="P233" s="23">
        <v>46244</v>
      </c>
      <c r="R233" s="68">
        <v>0.3117</v>
      </c>
      <c r="S233" s="23">
        <v>46203</v>
      </c>
      <c r="T233" s="23">
        <v>46237</v>
      </c>
      <c r="U233" s="39">
        <v>940</v>
      </c>
      <c r="V233" s="39">
        <v>954.243333333</v>
      </c>
      <c r="W233" t="inlineStr">
        <is>
          <t>Below 75 DMA</t>
        </is>
      </c>
    </row>
    <row r="234">
      <c r="A234" s="23">
        <v>46237.0</v>
      </c>
      <c r="B234" s="25" t="str">
        <f t="shared" si="6"/>
        <v>Monday</v>
      </c>
      <c r="C234" s="25" t="s">
        <v>347</v>
      </c>
      <c r="D234" s="31">
        <f>IFERROR(__xludf.DUMMYFUNCTION("GOOGLEFINANCE(""NSE:""&amp;UPPER(TRIM(E234)),""marketcap"")/10000000"),326868.06462)</f>
        <v>326868.0646</v>
      </c>
      <c r="E234" s="7" t="s">
        <v>529</v>
      </c>
      <c r="F234" s="39">
        <f>IFERROR(__xludf.DUMMYFUNCTION("IF(OR(E234="""",A234=""""),"""",
 IF(
   DATE(VALUE(RIGHT(A234,4)),VALUE(MID(A234,4,2)),VALUE(LEFT(A234,2)))&gt;=TODAY(),
   IFERROR(
     GOOGLEFINANCE(""NSE:""&amp;UPPER(TRIM(E234)),""price""),
     ""Not Available""
   ),
   IFERROR(
     INDEX(
       GOOGLE"&amp;"FINANCE(
         ""NSE:""&amp;UPPER(TRIM(E234)),
         ""close"",
         DATE(VALUE(RIGHT(A234,4)),VALUE(MID(A234,4,2)),VALUE(LEFT(A234,2))),
         DATE(VALUE(RIGHT(A234,4)),VALUE(MID(A234,4,2)),VALUE(LEFT(A234,2)))+1
       ),
       2,2
     ),
   "&amp;"  ""Not Available""
   )
 ))"),12054.0)</f>
        <v>12054</v>
      </c>
      <c r="G234" s="42">
        <f>IFERROR(__xludf.DUMMYFUNCTION("IF(E234="""","""",IFERROR(GOOGLEFINANCE(""NSE:""&amp;UPPER(TRIM(E234)),""price""),""Not Available""))"),11111.0)</f>
        <v>11111</v>
      </c>
      <c r="H234" s="53">
        <f t="shared" si="1"/>
        <v>52</v>
      </c>
      <c r="I234" s="58">
        <f t="shared" si="2"/>
        <v>-0.07823129252</v>
      </c>
      <c r="J234" s="60">
        <f t="shared" si="3"/>
        <v>-7823.129252</v>
      </c>
      <c r="K234" s="42"/>
      <c r="L234" s="42"/>
      <c r="M234" s="68">
        <f t="shared" si="4"/>
        <v>-1</v>
      </c>
      <c r="N234" s="68">
        <f t="shared" si="5"/>
        <v>-1</v>
      </c>
      <c r="O234" s="68">
        <v>0.0153476024556</v>
      </c>
      <c r="P234" s="23">
        <v>46239</v>
      </c>
      <c r="R234" s="68">
        <v>0.5933</v>
      </c>
      <c r="S234" s="23">
        <v>46203</v>
      </c>
      <c r="T234" s="23">
        <v>46237</v>
      </c>
      <c r="U234" s="39">
        <v>12054</v>
      </c>
      <c r="V234" s="39">
        <v>11386.1333333</v>
      </c>
      <c r="W234" t="inlineStr">
        <is>
          <t>Above 75 DMA</t>
        </is>
      </c>
    </row>
    <row r="235">
      <c r="A235" s="23">
        <v>46237.0</v>
      </c>
      <c r="B235" s="25" t="str">
        <f t="shared" si="6"/>
        <v>Monday</v>
      </c>
      <c r="C235" s="25" t="s">
        <v>347</v>
      </c>
      <c r="D235" s="31">
        <f>IFERROR(__xludf.DUMMYFUNCTION("GOOGLEFINANCE(""NSE:""&amp;UPPER(TRIM(E235)),""marketcap"")/10000000"),903862.0279078)</f>
        <v>903862.0279</v>
      </c>
      <c r="E235" s="7" t="s">
        <v>503</v>
      </c>
      <c r="F235" s="39">
        <f>IFERROR(__xludf.DUMMYFUNCTION("IF(OR(E235="""",A235=""""),"""",
 IF(
   DATE(VALUE(RIGHT(A235,4)),VALUE(MID(A235,4,2)),VALUE(LEFT(A235,2)))&gt;=TODAY(),
   IFERROR(
     GOOGLEFINANCE(""NSE:""&amp;UPPER(TRIM(E235)),""price""),
     ""Not Available""
   ),
   IFERROR(
     INDEX(
       GOOGLE"&amp;"FINANCE(
         ""NSE:""&amp;UPPER(TRIM(E235)),
         ""close"",
         DATE(VALUE(RIGHT(A235,4)),VALUE(MID(A235,4,2)),VALUE(LEFT(A235,2))),
         DATE(VALUE(RIGHT(A235,4)),VALUE(MID(A235,4,2)),VALUE(LEFT(A235,2)))+1
       ),
       2,2
     ),
   "&amp;"  ""Not Available""
   )
 ))"),1045.0)</f>
        <v>1045</v>
      </c>
      <c r="G235" s="42">
        <f>IFERROR(__xludf.DUMMYFUNCTION("IF(E235="""","""",IFERROR(GOOGLEFINANCE(""NSE:""&amp;UPPER(TRIM(E235)),""price""),""Not Available""))"),978.7)</f>
        <v>978.7</v>
      </c>
      <c r="H235" s="53">
        <f t="shared" si="1"/>
        <v>52</v>
      </c>
      <c r="I235" s="58">
        <f t="shared" si="2"/>
        <v>-0.06344497608</v>
      </c>
      <c r="J235" s="60">
        <f t="shared" si="3"/>
        <v>-6344.497608</v>
      </c>
      <c r="K235" s="42"/>
      <c r="L235" s="42"/>
      <c r="M235" s="68">
        <f t="shared" si="4"/>
        <v>-1</v>
      </c>
      <c r="N235" s="68">
        <f t="shared" si="5"/>
        <v>-1</v>
      </c>
      <c r="O235" s="68">
        <v>0.0760765550239</v>
      </c>
      <c r="P235" s="23">
        <v>46241</v>
      </c>
      <c r="R235" s="68">
        <v>0.5547</v>
      </c>
      <c r="S235" s="23">
        <v>46203</v>
      </c>
      <c r="T235" s="23">
        <v>46237</v>
      </c>
      <c r="U235" s="39">
        <v>1045</v>
      </c>
      <c r="V235" s="39">
        <v>1023.64066667</v>
      </c>
      <c r="W235" t="inlineStr">
        <is>
          <t>Above 75 DMA</t>
        </is>
      </c>
    </row>
    <row r="236">
      <c r="A236" s="23">
        <v>46237.0</v>
      </c>
      <c r="B236" s="25" t="str">
        <f t="shared" si="6"/>
        <v>Monday</v>
      </c>
      <c r="C236" s="25" t="s">
        <v>347</v>
      </c>
      <c r="D236" s="31">
        <f>IFERROR(__xludf.DUMMYFUNCTION("GOOGLEFINANCE(""NSE:""&amp;UPPER(TRIM(E236)),""marketcap"")/10000000"),6631.3940715)</f>
        <v>6631.394072</v>
      </c>
      <c r="E236" s="7" t="s">
        <v>530</v>
      </c>
      <c r="F236" s="39">
        <f>IFERROR(__xludf.DUMMYFUNCTION("IF(OR(E236="""",A236=""""),"""",
 IF(
   DATE(VALUE(RIGHT(A236,4)),VALUE(MID(A236,4,2)),VALUE(LEFT(A236,2)))&gt;=TODAY(),
   IFERROR(
     GOOGLEFINANCE(""NSE:""&amp;UPPER(TRIM(E236)),""price""),
     ""Not Available""
   ),
   IFERROR(
     INDEX(
       GOOGLE"&amp;"FINANCE(
         ""NSE:""&amp;UPPER(TRIM(E236)),
         ""close"",
         DATE(VALUE(RIGHT(A236,4)),VALUE(MID(A236,4,2)),VALUE(LEFT(A236,2))),
         DATE(VALUE(RIGHT(A236,4)),VALUE(MID(A236,4,2)),VALUE(LEFT(A236,2)))+1
       ),
       2,2
     ),
   "&amp;"  ""Not Available""
   )
 ))"),763.45)</f>
        <v>763.45</v>
      </c>
      <c r="G236" s="42">
        <f>IFERROR(__xludf.DUMMYFUNCTION("IF(E236="""","""",IFERROR(GOOGLEFINANCE(""NSE:""&amp;UPPER(TRIM(E236)),""price""),""Not Available""))"),1152.8)</f>
        <v>1152.8</v>
      </c>
      <c r="H236" s="53">
        <f t="shared" si="1"/>
        <v>52</v>
      </c>
      <c r="I236" s="58">
        <f t="shared" si="2"/>
        <v>0.5099875565</v>
      </c>
      <c r="J236" s="60">
        <f t="shared" si="3"/>
        <v>50998.75565</v>
      </c>
      <c r="K236" s="62">
        <v>1075.0</v>
      </c>
      <c r="L236" s="62">
        <v>325.0</v>
      </c>
      <c r="M236" s="68">
        <f t="shared" si="4"/>
        <v>0.4080817342</v>
      </c>
      <c r="N236" s="68">
        <f t="shared" si="5"/>
        <v>-0.574300871</v>
      </c>
      <c r="O236" s="68">
        <v>0.592376710983</v>
      </c>
      <c r="P236" s="23">
        <v>46269</v>
      </c>
      <c r="Q236" s="68">
        <v>0.263191048985</v>
      </c>
      <c r="R236" s="68">
        <v>0.3361</v>
      </c>
      <c r="S236" s="23">
        <v>46203</v>
      </c>
      <c r="T236" s="23">
        <v>46237</v>
      </c>
      <c r="U236" s="39">
        <v>763.45</v>
      </c>
      <c r="V236" s="39">
        <v>688.556666667</v>
      </c>
      <c r="W236" t="inlineStr">
        <is>
          <t>Above 75 DMA</t>
        </is>
      </c>
    </row>
    <row r="237">
      <c r="A237" s="229">
        <v>46237.0</v>
      </c>
      <c r="B237" s="230" t="str">
        <f t="shared" si="6"/>
        <v>Monday</v>
      </c>
      <c r="C237" s="230" t="s">
        <v>347</v>
      </c>
      <c r="D237" s="31">
        <f>IFERROR(__xludf.DUMMYFUNCTION("GOOGLEFINANCE(""NSE:""&amp;UPPER(TRIM(E237)),""marketcap"")/10000000"),57.024)</f>
        <v>57.024</v>
      </c>
      <c r="E237" s="231" t="s">
        <v>502</v>
      </c>
      <c r="F237" s="39">
        <f>IFERROR(__xludf.DUMMYFUNCTION("IF(OR(E237="""",A237=""""),"""",
 IF(
   DATE(VALUE(RIGHT(A237,4)),VALUE(MID(A237,4,2)),VALUE(LEFT(A237,2)))&gt;=TODAY(),
   IFERROR(
     GOOGLEFINANCE(""NSE:""&amp;UPPER(TRIM(E237)),""price""),
     ""Not Available""
   ),
   IFERROR(
     INDEX(
       GOOGLE"&amp;"FINANCE(
         ""NSE:""&amp;UPPER(TRIM(E237)),
         ""close"",
         DATE(VALUE(RIGHT(A237,4)),VALUE(MID(A237,4,2)),VALUE(LEFT(A237,2))),
         DATE(VALUE(RIGHT(A237,4)),VALUE(MID(A237,4,2)),VALUE(LEFT(A237,2)))+1
       ),
       2,2
     ),
   "&amp;"  ""Not Available""
   )
 ))"),112.0)</f>
        <v>112</v>
      </c>
      <c r="G237" s="232">
        <f>IFERROR(__xludf.DUMMYFUNCTION("IF(E237="""","""",IFERROR(GOOGLEFINANCE(""NSE:""&amp;UPPER(TRIM(E237)),""price""),""Not Available""))"),96.0)</f>
        <v>96</v>
      </c>
      <c r="H237" s="53">
        <f t="shared" si="1"/>
        <v>52</v>
      </c>
      <c r="I237" s="233">
        <f t="shared" si="2"/>
        <v>-0.1428571429</v>
      </c>
      <c r="J237" s="234">
        <f t="shared" si="3"/>
        <v>-14285.71429</v>
      </c>
      <c r="K237" s="232"/>
      <c r="L237" s="232"/>
      <c r="M237" s="68">
        <f t="shared" si="4"/>
        <v>-1</v>
      </c>
      <c r="N237" s="68">
        <f t="shared" si="5"/>
        <v>-1</v>
      </c>
      <c r="O237" s="68">
        <v>0.00705357142857</v>
      </c>
      <c r="P237" s="23">
        <v>46241</v>
      </c>
      <c r="R237" s="68">
        <v>0.309</v>
      </c>
      <c r="S237" s="23">
        <v>46203</v>
      </c>
      <c r="T237" s="23">
        <v>46237</v>
      </c>
      <c r="U237" s="39">
        <v>112</v>
      </c>
      <c r="V237" s="39">
        <v>113.624933333</v>
      </c>
      <c r="W237" t="inlineStr">
        <is>
          <t>Below 75 DMA</t>
        </is>
      </c>
      <c r="X237" s="235"/>
      <c r="Y237" s="235"/>
      <c r="Z237" s="235"/>
      <c r="AA237" s="235"/>
      <c r="AB237" s="235"/>
      <c r="AC237" s="235"/>
      <c r="AD237" s="235"/>
      <c r="AE237" s="235"/>
      <c r="AF237" s="235"/>
      <c r="AG237" s="235"/>
      <c r="AH237" s="235"/>
      <c r="AI237" s="235"/>
      <c r="AJ237" s="235"/>
      <c r="AK237" s="235"/>
      <c r="AL237" s="235"/>
      <c r="AM237" s="235"/>
      <c r="AN237" s="235"/>
      <c r="AO237" s="235"/>
    </row>
    <row r="238">
      <c r="A238" s="23">
        <v>46237.0</v>
      </c>
      <c r="B238" s="25" t="str">
        <f t="shared" si="6"/>
        <v>Monday</v>
      </c>
      <c r="C238" s="25" t="s">
        <v>347</v>
      </c>
      <c r="D238" s="31">
        <f>IFERROR(__xludf.DUMMYFUNCTION("GOOGLEFINANCE(""NSE:""&amp;UPPER(TRIM(E238)),""marketcap"")/10000000"),24177.2168186)</f>
        <v>24177.21682</v>
      </c>
      <c r="E238" s="7" t="s">
        <v>531</v>
      </c>
      <c r="F238" s="39">
        <f>IFERROR(__xludf.DUMMYFUNCTION("IF(OR(E238="""",A238=""""),"""",
 IF(
   DATE(VALUE(RIGHT(A238,4)),VALUE(MID(A238,4,2)),VALUE(LEFT(A238,2)))&gt;=TODAY(),
   IFERROR(
     GOOGLEFINANCE(""NSE:""&amp;UPPER(TRIM(E238)),""price""),
     ""Not Available""
   ),
   IFERROR(
     INDEX(
       GOOGLE"&amp;"FINANCE(
         ""NSE:""&amp;UPPER(TRIM(E238)),
         ""close"",
         DATE(VALUE(RIGHT(A238,4)),VALUE(MID(A238,4,2)),VALUE(LEFT(A238,2))),
         DATE(VALUE(RIGHT(A238,4)),VALUE(MID(A238,4,2)),VALUE(LEFT(A238,2)))+1
       ),
       2,2
     ),
   "&amp;"  ""Not Available""
   )
 ))"),282.15)</f>
        <v>282.15</v>
      </c>
      <c r="G238" s="42">
        <f>IFERROR(__xludf.DUMMYFUNCTION("IF(E238="""","""",IFERROR(GOOGLEFINANCE(""NSE:""&amp;UPPER(TRIM(E238)),""price""),""Not Available""))"),251.1)</f>
        <v>251.1</v>
      </c>
      <c r="H238" s="53">
        <f t="shared" si="1"/>
        <v>52</v>
      </c>
      <c r="I238" s="58">
        <f t="shared" si="2"/>
        <v>-0.1100478469</v>
      </c>
      <c r="J238" s="60">
        <f t="shared" si="3"/>
        <v>-11004.78469</v>
      </c>
      <c r="K238" s="42"/>
      <c r="L238" s="42"/>
      <c r="M238" s="68">
        <f t="shared" si="4"/>
        <v>-1</v>
      </c>
      <c r="N238" s="68">
        <f t="shared" si="5"/>
        <v>-1</v>
      </c>
      <c r="O238" s="68">
        <v>0.0499734183945</v>
      </c>
      <c r="P238" s="23">
        <v>46244</v>
      </c>
      <c r="Q238" s="68">
        <v>0.104303609079</v>
      </c>
      <c r="R238" s="68">
        <v>0.9002</v>
      </c>
      <c r="S238" s="23">
        <v>46203</v>
      </c>
      <c r="T238" s="23">
        <v>46237</v>
      </c>
      <c r="U238" s="39">
        <v>282.15</v>
      </c>
      <c r="V238" s="39">
        <v>293.8056</v>
      </c>
      <c r="W238" t="inlineStr">
        <is>
          <t>Below 75 DMA</t>
        </is>
      </c>
    </row>
    <row r="239">
      <c r="A239" s="23">
        <v>46237.0</v>
      </c>
      <c r="B239" s="25" t="str">
        <f t="shared" si="6"/>
        <v>Monday</v>
      </c>
      <c r="C239" s="25" t="s">
        <v>347</v>
      </c>
      <c r="D239" s="31">
        <f>IFERROR(__xludf.DUMMYFUNCTION("GOOGLEFINANCE(""NSE:""&amp;UPPER(TRIM(E239)),""marketcap"")/10000000"),2766.21916)</f>
        <v>2766.21916</v>
      </c>
      <c r="E239" s="7" t="s">
        <v>509</v>
      </c>
      <c r="F239" s="39">
        <f>IFERROR(__xludf.DUMMYFUNCTION("IF(OR(E239="""",A239=""""),"""",
 IF(
   DATE(VALUE(RIGHT(A239,4)),VALUE(MID(A239,4,2)),VALUE(LEFT(A239,2)))&gt;=TODAY(),
   IFERROR(
     GOOGLEFINANCE(""NSE:""&amp;UPPER(TRIM(E239)),""price""),
     ""Not Available""
   ),
   IFERROR(
     INDEX(
       GOOGLE"&amp;"FINANCE(
         ""NSE:""&amp;UPPER(TRIM(E239)),
         ""close"",
         DATE(VALUE(RIGHT(A239,4)),VALUE(MID(A239,4,2)),VALUE(LEFT(A239,2))),
         DATE(VALUE(RIGHT(A239,4)),VALUE(MID(A239,4,2)),VALUE(LEFT(A239,2)))+1
       ),
       2,2
     ),
   "&amp;"  ""Not Available""
   )
 ))"),402.25)</f>
        <v>402.25</v>
      </c>
      <c r="G239" s="42">
        <f>IFERROR(__xludf.DUMMYFUNCTION("IF(E239="""","""",IFERROR(GOOGLEFINANCE(""NSE:""&amp;UPPER(TRIM(E239)),""price""),""Not Available""))"),411.2)</f>
        <v>411.2</v>
      </c>
      <c r="H239" s="53">
        <f t="shared" si="1"/>
        <v>52</v>
      </c>
      <c r="I239" s="58">
        <f t="shared" si="2"/>
        <v>0.02224984462</v>
      </c>
      <c r="J239" s="60">
        <f t="shared" si="3"/>
        <v>2224.984462</v>
      </c>
      <c r="K239" s="42"/>
      <c r="L239" s="42"/>
      <c r="M239" s="68">
        <f t="shared" si="4"/>
        <v>-1</v>
      </c>
      <c r="N239" s="68">
        <f t="shared" si="5"/>
        <v>-1</v>
      </c>
      <c r="O239" s="68">
        <v>0.161963952766</v>
      </c>
      <c r="P239" s="23">
        <v>46273</v>
      </c>
      <c r="R239" s="68">
        <v>0.5642</v>
      </c>
      <c r="S239" s="23">
        <v>46203</v>
      </c>
      <c r="T239" s="23">
        <v>46237</v>
      </c>
      <c r="U239" s="39">
        <v>402.25</v>
      </c>
      <c r="V239" s="39">
        <v>436.774666667</v>
      </c>
      <c r="W239" t="inlineStr">
        <is>
          <t>Below 75 DMA</t>
        </is>
      </c>
    </row>
    <row r="240">
      <c r="A240" s="23">
        <v>46237.0</v>
      </c>
      <c r="B240" s="25" t="str">
        <f t="shared" si="6"/>
        <v>Monday</v>
      </c>
      <c r="C240" s="25" t="s">
        <v>347</v>
      </c>
      <c r="D240" s="31">
        <f>IFERROR(__xludf.DUMMYFUNCTION("GOOGLEFINANCE(""NSE:""&amp;UPPER(TRIM(E240)),""marketcap"")/10000000"),8416.5482128)</f>
        <v>8416.548213</v>
      </c>
      <c r="E240" s="7" t="s">
        <v>506</v>
      </c>
      <c r="F240" s="39">
        <f>IFERROR(__xludf.DUMMYFUNCTION("IF(OR(E240="""",A240=""""),"""",
 IF(
   DATE(VALUE(RIGHT(A240,4)),VALUE(MID(A240,4,2)),VALUE(LEFT(A240,2)))&gt;=TODAY(),
   IFERROR(
     GOOGLEFINANCE(""NSE:""&amp;UPPER(TRIM(E240)),""price""),
     ""Not Available""
   ),
   IFERROR(
     INDEX(
       GOOGLE"&amp;"FINANCE(
         ""NSE:""&amp;UPPER(TRIM(E240)),
         ""close"",
         DATE(VALUE(RIGHT(A240,4)),VALUE(MID(A240,4,2)),VALUE(LEFT(A240,2))),
         DATE(VALUE(RIGHT(A240,4)),VALUE(MID(A240,4,2)),VALUE(LEFT(A240,2)))+1
       ),
       2,2
     ),
   "&amp;"  ""Not Available""
   )
 ))"),114.03)</f>
        <v>114.03</v>
      </c>
      <c r="G240" s="42">
        <f>IFERROR(__xludf.DUMMYFUNCTION("IF(E240="""","""",IFERROR(GOOGLEFINANCE(""NSE:""&amp;UPPER(TRIM(E240)),""price""),""Not Available""))"),106.29)</f>
        <v>106.29</v>
      </c>
      <c r="H240" s="53">
        <f t="shared" si="1"/>
        <v>52</v>
      </c>
      <c r="I240" s="58">
        <f t="shared" si="2"/>
        <v>-0.06787687451</v>
      </c>
      <c r="J240" s="60">
        <f t="shared" si="3"/>
        <v>-6787.687451</v>
      </c>
      <c r="K240" s="42"/>
      <c r="L240" s="42"/>
      <c r="M240" s="68">
        <f t="shared" si="4"/>
        <v>-1</v>
      </c>
      <c r="N240" s="68">
        <f t="shared" si="5"/>
        <v>-1</v>
      </c>
      <c r="O240" s="68">
        <v>0.0144698763483</v>
      </c>
      <c r="P240" s="23">
        <v>46239</v>
      </c>
      <c r="R240" s="68">
        <v>0.2232</v>
      </c>
      <c r="S240" s="23">
        <v>46203</v>
      </c>
      <c r="T240" s="23">
        <v>46237</v>
      </c>
      <c r="U240" s="39">
        <v>114.03</v>
      </c>
      <c r="V240" s="39">
        <v>114.440666667</v>
      </c>
      <c r="W240" t="inlineStr">
        <is>
          <t>Below 75 DMA</t>
        </is>
      </c>
    </row>
    <row r="241">
      <c r="A241" s="23">
        <v>46237.0</v>
      </c>
      <c r="B241" s="25" t="str">
        <f t="shared" si="6"/>
        <v>Monday</v>
      </c>
      <c r="C241" s="25" t="s">
        <v>347</v>
      </c>
      <c r="D241" s="31">
        <f>IFERROR(__xludf.DUMMYFUNCTION("GOOGLEFINANCE(""NSE:""&amp;UPPER(TRIM(E241)),""marketcap"")/10000000"),30718.9405563)</f>
        <v>30718.94056</v>
      </c>
      <c r="E241" s="7" t="s">
        <v>532</v>
      </c>
      <c r="F241" s="39">
        <f>IFERROR(__xludf.DUMMYFUNCTION("IF(OR(E241="""",A241=""""),"""",
 IF(
   DATE(VALUE(RIGHT(A241,4)),VALUE(MID(A241,4,2)),VALUE(LEFT(A241,2)))&gt;=TODAY(),
   IFERROR(
     GOOGLEFINANCE(""NSE:""&amp;UPPER(TRIM(E241)),""price""),
     ""Not Available""
   ),
   IFERROR(
     INDEX(
       GOOGLE"&amp;"FINANCE(
         ""NSE:""&amp;UPPER(TRIM(E241)),
         ""close"",
         DATE(VALUE(RIGHT(A241,4)),VALUE(MID(A241,4,2)),VALUE(LEFT(A241,2))),
         DATE(VALUE(RIGHT(A241,4)),VALUE(MID(A241,4,2)),VALUE(LEFT(A241,2)))+1
       ),
       2,2
     ),
   "&amp;"  ""Not Available""
   )
 ))"),123.0)</f>
        <v>123</v>
      </c>
      <c r="G241" s="42">
        <f>IFERROR(__xludf.DUMMYFUNCTION("IF(E241="""","""",IFERROR(GOOGLEFINANCE(""NSE:""&amp;UPPER(TRIM(E241)),""price""),""Not Available""))"),109.35)</f>
        <v>109.35</v>
      </c>
      <c r="H241" s="53">
        <f t="shared" si="1"/>
        <v>52</v>
      </c>
      <c r="I241" s="58">
        <f t="shared" si="2"/>
        <v>-0.1109756098</v>
      </c>
      <c r="J241" s="60">
        <f t="shared" si="3"/>
        <v>-11097.56098</v>
      </c>
      <c r="K241" s="42"/>
      <c r="L241" s="42"/>
      <c r="M241" s="68">
        <f t="shared" si="4"/>
        <v>-1</v>
      </c>
      <c r="N241" s="68">
        <f t="shared" si="5"/>
        <v>-1</v>
      </c>
      <c r="O241" s="68">
        <v>-0.00707317073171</v>
      </c>
      <c r="P241" s="23">
        <v>46240</v>
      </c>
      <c r="R241" s="68">
        <v>0.7176</v>
      </c>
      <c r="S241" s="23">
        <v>46203</v>
      </c>
      <c r="T241" s="23">
        <v>46237</v>
      </c>
      <c r="U241" s="39">
        <v>123</v>
      </c>
      <c r="V241" s="39">
        <v>127.084</v>
      </c>
      <c r="W241" t="inlineStr">
        <is>
          <t>Below 75 DMA</t>
        </is>
      </c>
    </row>
    <row r="242">
      <c r="A242" s="23">
        <v>46237.0</v>
      </c>
      <c r="B242" s="25" t="str">
        <f t="shared" si="6"/>
        <v>Monday</v>
      </c>
      <c r="C242" s="25" t="s">
        <v>347</v>
      </c>
      <c r="D242" s="31">
        <f>IFERROR(__xludf.DUMMYFUNCTION("GOOGLEFINANCE(""NSE:""&amp;UPPER(TRIM(E242)),""marketcap"")/10000000"),6293.25)</f>
        <v>6293.25</v>
      </c>
      <c r="E242" s="7" t="s">
        <v>533</v>
      </c>
      <c r="F242" s="39">
        <f>IFERROR(__xludf.DUMMYFUNCTION("IF(OR(E242="""",A242=""""),"""",
 IF(
   DATE(VALUE(RIGHT(A242,4)),VALUE(MID(A242,4,2)),VALUE(LEFT(A242,2)))&gt;=TODAY(),
   IFERROR(
     GOOGLEFINANCE(""NSE:""&amp;UPPER(TRIM(E242)),""price""),
     ""Not Available""
   ),
   IFERROR(
     INDEX(
       GOOGLE"&amp;"FINANCE(
         ""NSE:""&amp;UPPER(TRIM(E242)),
         ""close"",
         DATE(VALUE(RIGHT(A242,4)),VALUE(MID(A242,4,2)),VALUE(LEFT(A242,2))),
         DATE(VALUE(RIGHT(A242,4)),VALUE(MID(A242,4,2)),VALUE(LEFT(A242,2)))+1
       ),
       2,2
     ),
   "&amp;"  ""Not Available""
   )
 ))"),500.25)</f>
        <v>500.25</v>
      </c>
      <c r="G242" s="42">
        <f>IFERROR(__xludf.DUMMYFUNCTION("IF(E242="""","""",IFERROR(GOOGLEFINANCE(""NSE:""&amp;UPPER(TRIM(E242)),""price""),""Not Available""))"),468.75)</f>
        <v>468.75</v>
      </c>
      <c r="H242" s="53">
        <f t="shared" si="1"/>
        <v>52</v>
      </c>
      <c r="I242" s="58">
        <f t="shared" si="2"/>
        <v>-0.06296851574</v>
      </c>
      <c r="J242" s="60">
        <f t="shared" si="3"/>
        <v>-6296.851574</v>
      </c>
      <c r="K242" s="42"/>
      <c r="L242" s="42"/>
      <c r="M242" s="68">
        <f t="shared" si="4"/>
        <v>-1</v>
      </c>
      <c r="N242" s="68">
        <f t="shared" si="5"/>
        <v>-1</v>
      </c>
      <c r="O242" s="68">
        <v>0.00889555222389</v>
      </c>
      <c r="P242" s="23">
        <v>46238</v>
      </c>
      <c r="R242" s="68">
        <v>0.7112</v>
      </c>
      <c r="S242" s="23">
        <v>46203</v>
      </c>
      <c r="T242" s="23">
        <v>46237</v>
      </c>
      <c r="U242" s="39">
        <v>500.25</v>
      </c>
      <c r="V242" s="39">
        <v>519.516666667</v>
      </c>
      <c r="W242" t="inlineStr">
        <is>
          <t>Below 75 DMA</t>
        </is>
      </c>
    </row>
    <row r="243">
      <c r="A243" s="23">
        <v>46237.0</v>
      </c>
      <c r="B243" s="25" t="str">
        <f t="shared" si="6"/>
        <v>Monday</v>
      </c>
      <c r="C243" s="25" t="s">
        <v>347</v>
      </c>
      <c r="D243" s="31">
        <f>IFERROR(__xludf.DUMMYFUNCTION("GOOGLEFINANCE(""NSE:""&amp;UPPER(TRIM(E243)),""marketcap"")/10000000"),682.549608)</f>
        <v>682.549608</v>
      </c>
      <c r="E243" s="7" t="s">
        <v>534</v>
      </c>
      <c r="F243" s="39">
        <f>IFERROR(__xludf.DUMMYFUNCTION("IF(OR(E243="""",A243=""""),"""",
 IF(
   DATE(VALUE(RIGHT(A243,4)),VALUE(MID(A243,4,2)),VALUE(LEFT(A243,2)))&gt;=TODAY(),
   IFERROR(
     GOOGLEFINANCE(""NSE:""&amp;UPPER(TRIM(E243)),""price""),
     ""Not Available""
   ),
   IFERROR(
     INDEX(
       GOOGLE"&amp;"FINANCE(
         ""NSE:""&amp;UPPER(TRIM(E243)),
         ""close"",
         DATE(VALUE(RIGHT(A243,4)),VALUE(MID(A243,4,2)),VALUE(LEFT(A243,2))),
         DATE(VALUE(RIGHT(A243,4)),VALUE(MID(A243,4,2)),VALUE(LEFT(A243,2)))+1
       ),
       2,2
     ),
   "&amp;"  ""Not Available""
   )
 ))"),182.74)</f>
        <v>182.74</v>
      </c>
      <c r="G243" s="42">
        <f>IFERROR(__xludf.DUMMYFUNCTION("IF(E243="""","""",IFERROR(GOOGLEFINANCE(""NSE:""&amp;UPPER(TRIM(E243)),""price""),""Not Available""))"),170.58)</f>
        <v>170.58</v>
      </c>
      <c r="H243" s="53">
        <f t="shared" si="1"/>
        <v>52</v>
      </c>
      <c r="I243" s="58">
        <f t="shared" si="2"/>
        <v>-0.06654262887</v>
      </c>
      <c r="J243" s="60">
        <f t="shared" si="3"/>
        <v>-6654.262887</v>
      </c>
      <c r="K243" s="42"/>
      <c r="L243" s="42"/>
      <c r="M243" s="68">
        <f t="shared" si="4"/>
        <v>-1</v>
      </c>
      <c r="N243" s="68">
        <f t="shared" si="5"/>
        <v>-1</v>
      </c>
      <c r="O243" s="68">
        <v>0.022217357995</v>
      </c>
      <c r="P243" s="23">
        <v>46258</v>
      </c>
      <c r="R243" s="68">
        <v>0.7494</v>
      </c>
      <c r="S243" s="23">
        <v>46203</v>
      </c>
      <c r="T243" s="23">
        <v>46237</v>
      </c>
      <c r="U243" s="39">
        <v>182.74</v>
      </c>
      <c r="V243" s="39">
        <v>192.639866667</v>
      </c>
      <c r="W243" t="inlineStr">
        <is>
          <t>Below 75 DMA</t>
        </is>
      </c>
    </row>
    <row r="244">
      <c r="A244" s="23">
        <v>46237.0</v>
      </c>
      <c r="B244" s="25" t="str">
        <f t="shared" si="6"/>
        <v>Monday</v>
      </c>
      <c r="C244" s="25" t="s">
        <v>347</v>
      </c>
      <c r="D244" s="31">
        <f>IFERROR(__xludf.DUMMYFUNCTION("GOOGLEFINANCE(""NSE:""&amp;UPPER(TRIM(E244)),""marketcap"")/10000000"),706.2530191)</f>
        <v>706.2530191</v>
      </c>
      <c r="E244" s="7" t="s">
        <v>535</v>
      </c>
      <c r="F244" s="39">
        <f>IFERROR(__xludf.DUMMYFUNCTION("IF(OR(E244="""",A244=""""),"""",
 IF(
   DATE(VALUE(RIGHT(A244,4)),VALUE(MID(A244,4,2)),VALUE(LEFT(A244,2)))&gt;=TODAY(),
   IFERROR(
     GOOGLEFINANCE(""NSE:""&amp;UPPER(TRIM(E244)),""price""),
     ""Not Available""
   ),
   IFERROR(
     INDEX(
       GOOGLE"&amp;"FINANCE(
         ""NSE:""&amp;UPPER(TRIM(E244)),
         ""close"",
         DATE(VALUE(RIGHT(A244,4)),VALUE(MID(A244,4,2)),VALUE(LEFT(A244,2))),
         DATE(VALUE(RIGHT(A244,4)),VALUE(MID(A244,4,2)),VALUE(LEFT(A244,2)))+1
       ),
       2,2
     ),
   "&amp;"  ""Not Available""
   )
 ))"),111.23)</f>
        <v>111.23</v>
      </c>
      <c r="G244" s="42">
        <f>IFERROR(__xludf.DUMMYFUNCTION("IF(E244="""","""",IFERROR(GOOGLEFINANCE(""NSE:""&amp;UPPER(TRIM(E244)),""price""),""Not Available""))"),131.62)</f>
        <v>131.62</v>
      </c>
      <c r="H244" s="53">
        <f t="shared" si="1"/>
        <v>52</v>
      </c>
      <c r="I244" s="58">
        <f t="shared" si="2"/>
        <v>0.1833138542</v>
      </c>
      <c r="J244" s="60">
        <f t="shared" si="3"/>
        <v>18331.38542</v>
      </c>
      <c r="K244" s="62">
        <v>142.0</v>
      </c>
      <c r="L244" s="62">
        <v>45.0</v>
      </c>
      <c r="M244" s="68">
        <f t="shared" si="4"/>
        <v>0.2766340016</v>
      </c>
      <c r="N244" s="68">
        <f t="shared" si="5"/>
        <v>-0.5954328868</v>
      </c>
      <c r="O244" s="68">
        <v>0.299020048548</v>
      </c>
      <c r="P244" s="23">
        <v>46275</v>
      </c>
      <c r="Q244" s="68">
        <v>0.192229174523</v>
      </c>
      <c r="R244" s="68">
        <v>0.3036</v>
      </c>
      <c r="S244" s="23">
        <v>46203</v>
      </c>
      <c r="T244" s="23">
        <v>46237</v>
      </c>
      <c r="U244" s="39">
        <v>111.23</v>
      </c>
      <c r="V244" s="39">
        <v>107.3756</v>
      </c>
      <c r="W244" t="inlineStr">
        <is>
          <t>Above 75 DMA</t>
        </is>
      </c>
    </row>
    <row r="245">
      <c r="A245" s="23">
        <v>46237.0</v>
      </c>
      <c r="B245" s="25" t="str">
        <f t="shared" si="6"/>
        <v>Monday</v>
      </c>
      <c r="C245" s="25" t="s">
        <v>347</v>
      </c>
      <c r="D245" s="31">
        <f>IFERROR(__xludf.DUMMYFUNCTION("GOOGLEFINANCE(""NSE:""&amp;UPPER(TRIM(E245)),""marketcap"")/10000000"),118266.2862)</f>
        <v>118266.2862</v>
      </c>
      <c r="E245" s="7" t="s">
        <v>170</v>
      </c>
      <c r="F245" s="39">
        <f>IFERROR(__xludf.DUMMYFUNCTION("IF(OR(E245="""",A245=""""),"""",
 IF(
   DATE(VALUE(RIGHT(A245,4)),VALUE(MID(A245,4,2)),VALUE(LEFT(A245,2)))&gt;=TODAY(),
   IFERROR(
     GOOGLEFINANCE(""NSE:""&amp;UPPER(TRIM(E245)),""price""),
     ""Not Available""
   ),
   IFERROR(
     INDEX(
       GOOGLE"&amp;"FINANCE(
         ""NSE:""&amp;UPPER(TRIM(E245)),
         ""close"",
         DATE(VALUE(RIGHT(A245,4)),VALUE(MID(A245,4,2)),VALUE(LEFT(A245,2))),
         DATE(VALUE(RIGHT(A245,4)),VALUE(MID(A245,4,2)),VALUE(LEFT(A245,2)))+1
       ),
       2,2
     ),
   "&amp;"  ""Not Available""
   )
 ))"),5531.0)</f>
        <v>5531</v>
      </c>
      <c r="G245" s="42">
        <f>IFERROR(__xludf.DUMMYFUNCTION("IF(E245="""","""",IFERROR(GOOGLEFINANCE(""NSE:""&amp;UPPER(TRIM(E245)),""price""),""Not Available""))"),4910.0)</f>
        <v>4910</v>
      </c>
      <c r="H245" s="53">
        <f t="shared" si="1"/>
        <v>52</v>
      </c>
      <c r="I245" s="58">
        <f t="shared" si="2"/>
        <v>-0.1122762611</v>
      </c>
      <c r="J245" s="60">
        <f t="shared" si="3"/>
        <v>-11227.62611</v>
      </c>
      <c r="K245" s="42"/>
      <c r="L245" s="42"/>
      <c r="M245" s="68">
        <f t="shared" si="4"/>
        <v>-1</v>
      </c>
      <c r="N245" s="68">
        <f t="shared" si="5"/>
        <v>-1</v>
      </c>
      <c r="O245" s="68">
        <v>0.028656662448</v>
      </c>
      <c r="P245" s="23">
        <v>46247</v>
      </c>
      <c r="R245" s="68">
        <v>0.5055</v>
      </c>
      <c r="S245" s="23">
        <v>46203</v>
      </c>
      <c r="T245" s="23">
        <v>46237</v>
      </c>
      <c r="U245" s="39">
        <v>5531</v>
      </c>
      <c r="V245" s="39">
        <v>5394.31333333</v>
      </c>
      <c r="W245" t="inlineStr">
        <is>
          <t>Above 75 DMA</t>
        </is>
      </c>
    </row>
    <row r="246">
      <c r="A246" s="23">
        <v>46237.0</v>
      </c>
      <c r="B246" s="25" t="str">
        <f t="shared" si="6"/>
        <v>Monday</v>
      </c>
      <c r="C246" s="25" t="s">
        <v>347</v>
      </c>
      <c r="D246" s="31">
        <f>IFERROR(__xludf.DUMMYFUNCTION("GOOGLEFINANCE(""NSE:""&amp;UPPER(TRIM(E246)),""marketcap"")/10000000"),125.3758)</f>
        <v>125.3758</v>
      </c>
      <c r="E246" s="7" t="s">
        <v>536</v>
      </c>
      <c r="F246" s="39">
        <f>IFERROR(__xludf.DUMMYFUNCTION("IF(OR(E246="""",A246=""""),"""",
 IF(
   DATE(VALUE(RIGHT(A246,4)),VALUE(MID(A246,4,2)),VALUE(LEFT(A246,2)))&gt;=TODAY(),
   IFERROR(
     GOOGLEFINANCE(""NSE:""&amp;UPPER(TRIM(E246)),""price""),
     ""Not Available""
   ),
   IFERROR(
     INDEX(
       GOOGLE"&amp;"FINANCE(
         ""NSE:""&amp;UPPER(TRIM(E246)),
         ""close"",
         DATE(VALUE(RIGHT(A246,4)),VALUE(MID(A246,4,2)),VALUE(LEFT(A246,2))),
         DATE(VALUE(RIGHT(A246,4)),VALUE(MID(A246,4,2)),VALUE(LEFT(A246,2)))+1
       ),
       2,2
     ),
   "&amp;"  ""Not Available""
   )
 ))"),135.49)</f>
        <v>135.49</v>
      </c>
      <c r="G246" s="42">
        <f>IFERROR(__xludf.DUMMYFUNCTION("IF(E246="""","""",IFERROR(GOOGLEFINANCE(""NSE:""&amp;UPPER(TRIM(E246)),""price""),""Not Available""))"),116.41)</f>
        <v>116.41</v>
      </c>
      <c r="H246" s="53">
        <f t="shared" si="1"/>
        <v>52</v>
      </c>
      <c r="I246" s="58">
        <f t="shared" si="2"/>
        <v>-0.1408222009</v>
      </c>
      <c r="J246" s="60">
        <f t="shared" si="3"/>
        <v>-14082.22009</v>
      </c>
      <c r="K246" s="42"/>
      <c r="L246" s="42"/>
      <c r="M246" s="68">
        <f t="shared" si="4"/>
        <v>-1</v>
      </c>
      <c r="N246" s="68">
        <f t="shared" si="5"/>
        <v>-1</v>
      </c>
      <c r="O246" s="68">
        <v>0.0952099785962</v>
      </c>
      <c r="P246" s="23">
        <v>46248</v>
      </c>
      <c r="R246" s="68">
        <v>0.7493</v>
      </c>
      <c r="S246" s="23">
        <v>46203</v>
      </c>
      <c r="T246" s="23">
        <v>46237</v>
      </c>
      <c r="U246" s="39">
        <v>135.49</v>
      </c>
      <c r="V246" s="39">
        <v>129.196133333</v>
      </c>
      <c r="W246" t="inlineStr">
        <is>
          <t>Above 75 DMA</t>
        </is>
      </c>
    </row>
    <row r="247">
      <c r="A247" s="23">
        <v>46237.0</v>
      </c>
      <c r="B247" s="25" t="str">
        <f t="shared" si="6"/>
        <v>Monday</v>
      </c>
      <c r="C247" s="25" t="s">
        <v>347</v>
      </c>
      <c r="D247" s="31">
        <f>IFERROR(__xludf.DUMMYFUNCTION("GOOGLEFINANCE(""NSE:""&amp;UPPER(TRIM(E247)),""marketcap"")/10000000"),1975.1115112)</f>
        <v>1975.111511</v>
      </c>
      <c r="E247" s="7" t="s">
        <v>511</v>
      </c>
      <c r="F247" s="39">
        <f>IFERROR(__xludf.DUMMYFUNCTION("IF(OR(E247="""",A247=""""),"""",
 IF(
   DATE(VALUE(RIGHT(A247,4)),VALUE(MID(A247,4,2)),VALUE(LEFT(A247,2)))&gt;=TODAY(),
   IFERROR(
     GOOGLEFINANCE(""NSE:""&amp;UPPER(TRIM(E247)),""price""),
     ""Not Available""
   ),
   IFERROR(
     INDEX(
       GOOGLE"&amp;"FINANCE(
         ""NSE:""&amp;UPPER(TRIM(E247)),
         ""close"",
         DATE(VALUE(RIGHT(A247,4)),VALUE(MID(A247,4,2)),VALUE(LEFT(A247,2))),
         DATE(VALUE(RIGHT(A247,4)),VALUE(MID(A247,4,2)),VALUE(LEFT(A247,2)))+1
       ),
       2,2
     ),
   "&amp;"  ""Not Available""
   )
 ))"),285.75)</f>
        <v>285.75</v>
      </c>
      <c r="G247" s="42">
        <f>IFERROR(__xludf.DUMMYFUNCTION("IF(E247="""","""",IFERROR(GOOGLEFINANCE(""NSE:""&amp;UPPER(TRIM(E247)),""price""),""Not Available""))"),202.01)</f>
        <v>202.01</v>
      </c>
      <c r="H247" s="53">
        <f t="shared" si="1"/>
        <v>52</v>
      </c>
      <c r="I247" s="58">
        <f t="shared" si="2"/>
        <v>-0.2930533683</v>
      </c>
      <c r="J247" s="60">
        <f t="shared" si="3"/>
        <v>-29305.33683</v>
      </c>
      <c r="K247" s="42"/>
      <c r="L247" s="42"/>
      <c r="M247" s="68">
        <f t="shared" si="4"/>
        <v>-1</v>
      </c>
      <c r="N247" s="68">
        <f t="shared" si="5"/>
        <v>-1</v>
      </c>
      <c r="O247" s="68">
        <v>0.00997375328084</v>
      </c>
      <c r="P247" s="23">
        <v>46238</v>
      </c>
    </row>
    <row r="248">
      <c r="A248" s="23">
        <v>46237.0</v>
      </c>
      <c r="B248" s="25" t="str">
        <f t="shared" si="6"/>
        <v>Monday</v>
      </c>
      <c r="C248" s="25" t="s">
        <v>347</v>
      </c>
      <c r="D248" s="31">
        <f>IFERROR(__xludf.DUMMYFUNCTION("GOOGLEFINANCE(""NSE:""&amp;UPPER(TRIM(E248)),""marketcap"")/10000000"),742.9830813)</f>
        <v>742.9830813</v>
      </c>
      <c r="E248" s="7" t="s">
        <v>537</v>
      </c>
      <c r="F248" s="39">
        <f>IFERROR(__xludf.DUMMYFUNCTION("IF(OR(E248="""",A248=""""),"""",
 IF(
   DATE(VALUE(RIGHT(A248,4)),VALUE(MID(A248,4,2)),VALUE(LEFT(A248,2)))&gt;=TODAY(),
   IFERROR(
     GOOGLEFINANCE(""NSE:""&amp;UPPER(TRIM(E248)),""price""),
     ""Not Available""
   ),
   IFERROR(
     INDEX(
       GOOGLE"&amp;"FINANCE(
         ""NSE:""&amp;UPPER(TRIM(E248)),
         ""close"",
         DATE(VALUE(RIGHT(A248,4)),VALUE(MID(A248,4,2)),VALUE(LEFT(A248,2))),
         DATE(VALUE(RIGHT(A248,4)),VALUE(MID(A248,4,2)),VALUE(LEFT(A248,2)))+1
       ),
       2,2
     ),
   "&amp;"  ""Not Available""
   )
 ))"),148.1)</f>
        <v>148.1</v>
      </c>
      <c r="G248" s="42">
        <f>IFERROR(__xludf.DUMMYFUNCTION("IF(E248="""","""",IFERROR(GOOGLEFINANCE(""NSE:""&amp;UPPER(TRIM(E248)),""price""),""Not Available""))"),137.97)</f>
        <v>137.97</v>
      </c>
      <c r="H248" s="53">
        <f t="shared" si="1"/>
        <v>52</v>
      </c>
      <c r="I248" s="58">
        <f t="shared" si="2"/>
        <v>-0.06839972991</v>
      </c>
      <c r="J248" s="60">
        <f t="shared" si="3"/>
        <v>-6839.972991</v>
      </c>
      <c r="K248" s="42"/>
      <c r="L248" s="42"/>
      <c r="M248" s="68">
        <f t="shared" si="4"/>
        <v>-1</v>
      </c>
      <c r="N248" s="68">
        <f t="shared" si="5"/>
        <v>-1</v>
      </c>
      <c r="O248" s="68">
        <v>0.0629979743417</v>
      </c>
      <c r="P248" s="23">
        <v>46241</v>
      </c>
      <c r="R248" s="68">
        <v>0.4241</v>
      </c>
      <c r="S248" s="23">
        <v>46203</v>
      </c>
      <c r="T248" s="23">
        <v>46237</v>
      </c>
      <c r="U248" s="39">
        <v>148.1</v>
      </c>
      <c r="V248" s="39">
        <v>150.012266667</v>
      </c>
      <c r="W248" t="inlineStr">
        <is>
          <t>Below 75 DMA</t>
        </is>
      </c>
    </row>
    <row r="249">
      <c r="A249" s="23">
        <v>46237.0</v>
      </c>
      <c r="B249" s="25" t="str">
        <f t="shared" si="6"/>
        <v>Monday</v>
      </c>
      <c r="C249" s="25" t="s">
        <v>347</v>
      </c>
      <c r="D249" s="31">
        <f>IFERROR(__xludf.DUMMYFUNCTION("GOOGLEFINANCE(""NSE:""&amp;UPPER(TRIM(E249)),""marketcap"")/10000000"),8665.1974765)</f>
        <v>8665.197477</v>
      </c>
      <c r="E249" s="7" t="s">
        <v>500</v>
      </c>
      <c r="F249" s="39">
        <f>IFERROR(__xludf.DUMMYFUNCTION("IF(OR(E249="""",A249=""""),"""",
 IF(
   DATE(VALUE(RIGHT(A249,4)),VALUE(MID(A249,4,2)),VALUE(LEFT(A249,2)))&gt;=TODAY(),
   IFERROR(
     GOOGLEFINANCE(""NSE:""&amp;UPPER(TRIM(E249)),""price""),
     ""Not Available""
   ),
   IFERROR(
     INDEX(
       GOOGLE"&amp;"FINANCE(
         ""NSE:""&amp;UPPER(TRIM(E249)),
         ""close"",
         DATE(VALUE(RIGHT(A249,4)),VALUE(MID(A249,4,2)),VALUE(LEFT(A249,2))),
         DATE(VALUE(RIGHT(A249,4)),VALUE(MID(A249,4,2)),VALUE(LEFT(A249,2)))+1
       ),
       2,2
     ),
   "&amp;"  ""Not Available""
   )
 ))"),657.75)</f>
        <v>657.75</v>
      </c>
      <c r="G249" s="42">
        <f>IFERROR(__xludf.DUMMYFUNCTION("IF(E249="""","""",IFERROR(GOOGLEFINANCE(""NSE:""&amp;UPPER(TRIM(E249)),""price""),""Not Available""))"),604.7)</f>
        <v>604.7</v>
      </c>
      <c r="H249" s="53">
        <f t="shared" si="1"/>
        <v>52</v>
      </c>
      <c r="I249" s="58">
        <f t="shared" si="2"/>
        <v>-0.08065374382</v>
      </c>
      <c r="J249" s="60">
        <f t="shared" si="3"/>
        <v>-8065.374382</v>
      </c>
      <c r="K249" s="42"/>
      <c r="L249" s="42"/>
      <c r="M249" s="68">
        <f t="shared" si="4"/>
        <v>-1</v>
      </c>
      <c r="N249" s="68">
        <f t="shared" si="5"/>
        <v>-1</v>
      </c>
      <c r="O249" s="68">
        <v>0.054503990878</v>
      </c>
      <c r="P249" s="23">
        <v>46240</v>
      </c>
      <c r="R249" s="68">
        <v>0.6788</v>
      </c>
      <c r="S249" s="23">
        <v>46203</v>
      </c>
      <c r="T249" s="23">
        <v>46237</v>
      </c>
      <c r="U249" s="39">
        <v>657.75</v>
      </c>
      <c r="V249" s="39">
        <v>642.014</v>
      </c>
      <c r="W249" t="inlineStr">
        <is>
          <t>Above 75 DMA</t>
        </is>
      </c>
    </row>
    <row r="250">
      <c r="A250" s="23">
        <v>46237.0</v>
      </c>
      <c r="B250" s="25" t="str">
        <f t="shared" si="6"/>
        <v>Monday</v>
      </c>
      <c r="C250" s="25" t="s">
        <v>347</v>
      </c>
      <c r="D250" s="31">
        <f>IFERROR(__xludf.DUMMYFUNCTION("GOOGLEFINANCE(""NSE:""&amp;UPPER(TRIM(E250)),""marketcap"")/10000000"),88.2747599)</f>
        <v>88.2747599</v>
      </c>
      <c r="E250" s="7" t="s">
        <v>513</v>
      </c>
      <c r="F250" s="39">
        <f>IFERROR(__xludf.DUMMYFUNCTION("IF(OR(E250="""",A250=""""),"""",
 IF(
   DATE(VALUE(RIGHT(A250,4)),VALUE(MID(A250,4,2)),VALUE(LEFT(A250,2)))&gt;=TODAY(),
   IFERROR(
     GOOGLEFINANCE(""NSE:""&amp;UPPER(TRIM(E250)),""price""),
     ""Not Available""
   ),
   IFERROR(
     INDEX(
       GOOGLE"&amp;"FINANCE(
         ""NSE:""&amp;UPPER(TRIM(E250)),
         ""close"",
         DATE(VALUE(RIGHT(A250,4)),VALUE(MID(A250,4,2)),VALUE(LEFT(A250,2))),
         DATE(VALUE(RIGHT(A250,4)),VALUE(MID(A250,4,2)),VALUE(LEFT(A250,2)))+1
       ),
       2,2
     ),
   "&amp;"  ""Not Available""
   )
 ))"),124.83)</f>
        <v>124.83</v>
      </c>
      <c r="G250" s="42">
        <f>IFERROR(__xludf.DUMMYFUNCTION("IF(E250="""","""",IFERROR(GOOGLEFINANCE(""NSE:""&amp;UPPER(TRIM(E250)),""price""),""Not Available""))"),117.02)</f>
        <v>117.02</v>
      </c>
      <c r="H250" s="53">
        <f t="shared" si="1"/>
        <v>52</v>
      </c>
      <c r="I250" s="58">
        <f t="shared" si="2"/>
        <v>-0.06256508852</v>
      </c>
      <c r="J250" s="60">
        <f t="shared" si="3"/>
        <v>-6256.508852</v>
      </c>
      <c r="K250" s="42"/>
      <c r="L250" s="42"/>
      <c r="M250" s="68">
        <f t="shared" si="4"/>
        <v>-1</v>
      </c>
      <c r="N250" s="68">
        <f t="shared" si="5"/>
        <v>-1</v>
      </c>
      <c r="O250" s="68">
        <v>0.0574381158375</v>
      </c>
      <c r="P250" s="23">
        <v>46244</v>
      </c>
      <c r="R250" s="68">
        <v>0.6768</v>
      </c>
      <c r="S250" s="23">
        <v>46203</v>
      </c>
      <c r="T250" s="23">
        <v>46237</v>
      </c>
      <c r="U250" s="39">
        <v>124.83</v>
      </c>
      <c r="V250" s="39">
        <v>126.4996</v>
      </c>
      <c r="W250" t="inlineStr">
        <is>
          <t>Below 75 DMA</t>
        </is>
      </c>
    </row>
    <row r="251">
      <c r="A251" s="23">
        <v>46237.0</v>
      </c>
      <c r="B251" s="25" t="str">
        <f t="shared" si="6"/>
        <v>Monday</v>
      </c>
      <c r="C251" s="25" t="s">
        <v>347</v>
      </c>
      <c r="D251" s="31">
        <f>IFERROR(__xludf.DUMMYFUNCTION("GOOGLEFINANCE(""NSE:""&amp;UPPER(TRIM(E251)),""marketcap"")/10000000"),7031.6868768)</f>
        <v>7031.686877</v>
      </c>
      <c r="E251" s="7" t="s">
        <v>538</v>
      </c>
      <c r="F251" s="39">
        <f>IFERROR(__xludf.DUMMYFUNCTION("IF(OR(E251="""",A251=""""),"""",
 IF(
   DATE(VALUE(RIGHT(A251,4)),VALUE(MID(A251,4,2)),VALUE(LEFT(A251,2)))&gt;=TODAY(),
   IFERROR(
     GOOGLEFINANCE(""NSE:""&amp;UPPER(TRIM(E251)),""price""),
     ""Not Available""
   ),
   IFERROR(
     INDEX(
       GOOGLE"&amp;"FINANCE(
         ""NSE:""&amp;UPPER(TRIM(E251)),
         ""close"",
         DATE(VALUE(RIGHT(A251,4)),VALUE(MID(A251,4,2)),VALUE(LEFT(A251,2))),
         DATE(VALUE(RIGHT(A251,4)),VALUE(MID(A251,4,2)),VALUE(LEFT(A251,2)))+1
       ),
       2,2
     ),
   "&amp;"  ""Not Available""
   )
 ))"),878.2)</f>
        <v>878.2</v>
      </c>
      <c r="G251" s="42">
        <f>IFERROR(__xludf.DUMMYFUNCTION("IF(E251="""","""",IFERROR(GOOGLEFINANCE(""NSE:""&amp;UPPER(TRIM(E251)),""price""),""Not Available""))"),1037.8)</f>
        <v>1037.8</v>
      </c>
      <c r="H251" s="53">
        <f t="shared" si="1"/>
        <v>52</v>
      </c>
      <c r="I251" s="58">
        <f t="shared" si="2"/>
        <v>0.1817353678</v>
      </c>
      <c r="J251" s="60">
        <f t="shared" si="3"/>
        <v>18173.53678</v>
      </c>
      <c r="K251" s="62">
        <v>768.0</v>
      </c>
      <c r="L251" s="62">
        <v>0.0</v>
      </c>
      <c r="M251" s="68">
        <f t="shared" si="4"/>
        <v>-0.1254839444</v>
      </c>
      <c r="N251" s="68">
        <f t="shared" si="5"/>
        <v>-1</v>
      </c>
      <c r="O251" s="68">
        <v>0.364153951264</v>
      </c>
      <c r="P251" s="23">
        <v>46274</v>
      </c>
      <c r="R251" s="68">
        <v>0.7458</v>
      </c>
      <c r="S251" s="23">
        <v>46203</v>
      </c>
      <c r="T251" s="23">
        <v>46237</v>
      </c>
      <c r="U251" s="39">
        <v>878.2</v>
      </c>
      <c r="V251" s="39">
        <v>770.202</v>
      </c>
      <c r="W251" t="inlineStr">
        <is>
          <t>Above 75 DMA</t>
        </is>
      </c>
    </row>
    <row r="252">
      <c r="A252" s="23">
        <v>46237.0</v>
      </c>
      <c r="B252" s="25" t="str">
        <f t="shared" si="6"/>
        <v>Monday</v>
      </c>
      <c r="C252" s="25" t="s">
        <v>347</v>
      </c>
      <c r="D252" s="31">
        <f>IFERROR(__xludf.DUMMYFUNCTION("GOOGLEFINANCE(""NSE:""&amp;UPPER(TRIM(E252)),""marketcap"")/10000000"),14823.1038281)</f>
        <v>14823.10383</v>
      </c>
      <c r="E252" s="7" t="s">
        <v>507</v>
      </c>
      <c r="F252" s="39">
        <f>IFERROR(__xludf.DUMMYFUNCTION("IF(OR(E252="""",A252=""""),"""",
 IF(
   DATE(VALUE(RIGHT(A252,4)),VALUE(MID(A252,4,2)),VALUE(LEFT(A252,2)))&gt;=TODAY(),
   IFERROR(
     GOOGLEFINANCE(""NSE:""&amp;UPPER(TRIM(E252)),""price""),
     ""Not Available""
   ),
   IFERROR(
     INDEX(
       GOOGLE"&amp;"FINANCE(
         ""NSE:""&amp;UPPER(TRIM(E252)),
         ""close"",
         DATE(VALUE(RIGHT(A252,4)),VALUE(MID(A252,4,2)),VALUE(LEFT(A252,2))),
         DATE(VALUE(RIGHT(A252,4)),VALUE(MID(A252,4,2)),VALUE(LEFT(A252,2)))+1
       ),
       2,2
     ),
   "&amp;"  ""Not Available""
   )
 ))"),397.35)</f>
        <v>397.35</v>
      </c>
      <c r="G252" s="42">
        <f>IFERROR(__xludf.DUMMYFUNCTION("IF(E252="""","""",IFERROR(GOOGLEFINANCE(""NSE:""&amp;UPPER(TRIM(E252)),""price""),""Not Available""))"),398.9)</f>
        <v>398.9</v>
      </c>
      <c r="H252" s="53">
        <f t="shared" si="1"/>
        <v>52</v>
      </c>
      <c r="I252" s="58">
        <f t="shared" si="2"/>
        <v>0.003900843085</v>
      </c>
      <c r="J252" s="60">
        <f t="shared" si="3"/>
        <v>390.0843085</v>
      </c>
      <c r="K252" s="42"/>
      <c r="L252" s="42"/>
      <c r="M252" s="68">
        <f t="shared" si="4"/>
        <v>-1</v>
      </c>
      <c r="N252" s="68">
        <f t="shared" si="5"/>
        <v>-1</v>
      </c>
      <c r="O252" s="68">
        <v>0.0770101925255</v>
      </c>
      <c r="P252" s="23">
        <v>46274</v>
      </c>
      <c r="R252" s="68">
        <v>0.4998</v>
      </c>
      <c r="S252" s="23">
        <v>46203</v>
      </c>
      <c r="T252" s="23">
        <v>46237</v>
      </c>
      <c r="U252" s="39">
        <v>397.35</v>
      </c>
      <c r="V252" s="39">
        <v>372.602133333</v>
      </c>
      <c r="W252" t="inlineStr">
        <is>
          <t>Above 75 DMA</t>
        </is>
      </c>
    </row>
    <row r="253">
      <c r="A253" s="23">
        <v>46237.0</v>
      </c>
      <c r="B253" s="25" t="str">
        <f t="shared" si="6"/>
        <v>Monday</v>
      </c>
      <c r="C253" s="25" t="s">
        <v>347</v>
      </c>
      <c r="D253" s="31">
        <f>IFERROR(__xludf.DUMMYFUNCTION("GOOGLEFINANCE(""NSE:""&amp;UPPER(TRIM(E253)),""marketcap"")/10000000"),15735.1769416)</f>
        <v>15735.17694</v>
      </c>
      <c r="E253" s="7" t="s">
        <v>514</v>
      </c>
      <c r="F253" s="39">
        <f>IFERROR(__xludf.DUMMYFUNCTION("IF(OR(E253="""",A253=""""),"""",
 IF(
   DATE(VALUE(RIGHT(A253,4)),VALUE(MID(A253,4,2)),VALUE(LEFT(A253,2)))&gt;=TODAY(),
   IFERROR(
     GOOGLEFINANCE(""NSE:""&amp;UPPER(TRIM(E253)),""price""),
     ""Not Available""
   ),
   IFERROR(
     INDEX(
       GOOGLE"&amp;"FINANCE(
         ""NSE:""&amp;UPPER(TRIM(E253)),
         ""close"",
         DATE(VALUE(RIGHT(A253,4)),VALUE(MID(A253,4,2)),VALUE(LEFT(A253,2))),
         DATE(VALUE(RIGHT(A253,4)),VALUE(MID(A253,4,2)),VALUE(LEFT(A253,2)))+1
       ),
       2,2
     ),
   "&amp;"  ""Not Available""
   )
 ))"),579.9)</f>
        <v>579.9</v>
      </c>
      <c r="G253" s="42">
        <f>IFERROR(__xludf.DUMMYFUNCTION("IF(E253="""","""",IFERROR(GOOGLEFINANCE(""NSE:""&amp;UPPER(TRIM(E253)),""price""),""Not Available""))"),555.4)</f>
        <v>555.4</v>
      </c>
      <c r="H253" s="53">
        <f t="shared" si="1"/>
        <v>52</v>
      </c>
      <c r="I253" s="58">
        <f t="shared" si="2"/>
        <v>-0.04224866356</v>
      </c>
      <c r="J253" s="60">
        <f t="shared" si="3"/>
        <v>-4224.866356</v>
      </c>
      <c r="K253" s="42"/>
      <c r="L253" s="42"/>
      <c r="M253" s="68">
        <f t="shared" si="4"/>
        <v>-1</v>
      </c>
      <c r="N253" s="68">
        <f t="shared" si="5"/>
        <v>-1</v>
      </c>
      <c r="O253" s="68">
        <v>0.0354371443352</v>
      </c>
      <c r="P253" s="23">
        <v>46240</v>
      </c>
      <c r="R253" s="68">
        <v>0.5003</v>
      </c>
      <c r="S253" s="23">
        <v>46203</v>
      </c>
      <c r="T253" s="23">
        <v>46237</v>
      </c>
      <c r="U253" s="39">
        <v>579.9</v>
      </c>
      <c r="V253" s="39">
        <v>620.221333333</v>
      </c>
      <c r="W253" t="inlineStr">
        <is>
          <t>Below 75 DMA</t>
        </is>
      </c>
    </row>
    <row r="254">
      <c r="A254" s="23">
        <v>46237.0</v>
      </c>
      <c r="B254" s="25" t="str">
        <f t="shared" si="6"/>
        <v>Monday</v>
      </c>
      <c r="C254" s="25" t="s">
        <v>347</v>
      </c>
      <c r="D254" s="31">
        <f>IFERROR(__xludf.DUMMYFUNCTION("GOOGLEFINANCE(""NSE:""&amp;UPPER(TRIM(E254)),""marketcap"")/10000000"),1139.0466875)</f>
        <v>1139.046688</v>
      </c>
      <c r="E254" s="7" t="s">
        <v>368</v>
      </c>
      <c r="F254" s="39">
        <f>IFERROR(__xludf.DUMMYFUNCTION("IF(OR(E254="""",A254=""""),"""",
 IF(
   DATE(VALUE(RIGHT(A254,4)),VALUE(MID(A254,4,2)),VALUE(LEFT(A254,2)))&gt;=TODAY(),
   IFERROR(
     GOOGLEFINANCE(""NSE:""&amp;UPPER(TRIM(E254)),""price""),
     ""Not Available""
   ),
   IFERROR(
     INDEX(
       GOOGLE"&amp;"FINANCE(
         ""NSE:""&amp;UPPER(TRIM(E254)),
         ""close"",
         DATE(VALUE(RIGHT(A254,4)),VALUE(MID(A254,4,2)),VALUE(LEFT(A254,2))),
         DATE(VALUE(RIGHT(A254,4)),VALUE(MID(A254,4,2)),VALUE(LEFT(A254,2)))+1
       ),
       2,2
     ),
   "&amp;"  ""Not Available""
   )
 ))"),202.77)</f>
        <v>202.77</v>
      </c>
      <c r="G254" s="42">
        <f>IFERROR(__xludf.DUMMYFUNCTION("IF(E254="""","""",IFERROR(GOOGLEFINANCE(""NSE:""&amp;UPPER(TRIM(E254)),""price""),""Not Available""))"),165.6)</f>
        <v>165.6</v>
      </c>
      <c r="H254" s="53">
        <f t="shared" si="1"/>
        <v>52</v>
      </c>
      <c r="I254" s="58">
        <f t="shared" si="2"/>
        <v>-0.1833111407</v>
      </c>
      <c r="J254" s="60">
        <f t="shared" si="3"/>
        <v>-18331.11407</v>
      </c>
      <c r="K254" s="42"/>
      <c r="L254" s="42"/>
      <c r="M254" s="68">
        <f t="shared" si="4"/>
        <v>-1</v>
      </c>
      <c r="N254" s="68">
        <f t="shared" si="5"/>
        <v>-1</v>
      </c>
      <c r="O254" s="68">
        <v>0.0286531538196</v>
      </c>
      <c r="P254" s="23">
        <v>46239</v>
      </c>
      <c r="R254" s="68">
        <v>0.4127</v>
      </c>
      <c r="S254" s="23">
        <v>46203</v>
      </c>
      <c r="T254" s="23">
        <v>46237</v>
      </c>
      <c r="U254" s="39">
        <v>202.77</v>
      </c>
      <c r="V254" s="39">
        <v>215.4456</v>
      </c>
      <c r="W254" t="inlineStr">
        <is>
          <t>Below 75 DMA</t>
        </is>
      </c>
    </row>
    <row r="255">
      <c r="A255" s="23">
        <v>46237.0</v>
      </c>
      <c r="B255" s="25" t="str">
        <f t="shared" si="6"/>
        <v>Monday</v>
      </c>
      <c r="C255" s="25" t="s">
        <v>347</v>
      </c>
      <c r="D255" s="31">
        <f>IFERROR(__xludf.DUMMYFUNCTION("GOOGLEFINANCE(""NSE:""&amp;UPPER(TRIM(E255)),""marketcap"")/10000000"),482.2279375)</f>
        <v>482.2279375</v>
      </c>
      <c r="E255" s="7" t="s">
        <v>510</v>
      </c>
      <c r="F255" s="39">
        <f>IFERROR(__xludf.DUMMYFUNCTION("IF(OR(E255="""",A255=""""),"""",
 IF(
   DATE(VALUE(RIGHT(A255,4)),VALUE(MID(A255,4,2)),VALUE(LEFT(A255,2)))&gt;=TODAY(),
   IFERROR(
     GOOGLEFINANCE(""NSE:""&amp;UPPER(TRIM(E255)),""price""),
     ""Not Available""
   ),
   IFERROR(
     INDEX(
       GOOGLE"&amp;"FINANCE(
         ""NSE:""&amp;UPPER(TRIM(E255)),
         ""close"",
         DATE(VALUE(RIGHT(A255,4)),VALUE(MID(A255,4,2)),VALUE(LEFT(A255,2))),
         DATE(VALUE(RIGHT(A255,4)),VALUE(MID(A255,4,2)),VALUE(LEFT(A255,2)))+1
       ),
       2,2
     ),
   "&amp;"  ""Not Available""
   )
 ))"),101.23)</f>
        <v>101.23</v>
      </c>
      <c r="G255" s="42">
        <f>IFERROR(__xludf.DUMMYFUNCTION("IF(E255="""","""",IFERROR(GOOGLEFINANCE(""NSE:""&amp;UPPER(TRIM(E255)),""price""),""Not Available""))"),92.34)</f>
        <v>92.34</v>
      </c>
      <c r="H255" s="53">
        <f t="shared" si="1"/>
        <v>52</v>
      </c>
      <c r="I255" s="58">
        <f t="shared" si="2"/>
        <v>-0.08781981626</v>
      </c>
      <c r="J255" s="60">
        <f t="shared" si="3"/>
        <v>-8781.981626</v>
      </c>
      <c r="K255" s="42"/>
      <c r="L255" s="42"/>
      <c r="M255" s="68">
        <f t="shared" si="4"/>
        <v>-1</v>
      </c>
      <c r="N255" s="68">
        <f t="shared" si="5"/>
        <v>-1</v>
      </c>
      <c r="O255" s="68">
        <v>0.0273634298133</v>
      </c>
      <c r="P255" s="23">
        <v>46239</v>
      </c>
      <c r="R255" s="68">
        <v>0.7212</v>
      </c>
      <c r="S255" s="23">
        <v>46203</v>
      </c>
      <c r="T255" s="23">
        <v>46237</v>
      </c>
      <c r="U255" s="39">
        <v>101.23</v>
      </c>
      <c r="V255" s="39">
        <v>101.449333333</v>
      </c>
      <c r="W255" t="inlineStr">
        <is>
          <t>Below 75 DMA</t>
        </is>
      </c>
    </row>
    <row r="256">
      <c r="A256" s="23">
        <v>46237.0</v>
      </c>
      <c r="B256" s="25" t="str">
        <f t="shared" si="6"/>
        <v>Monday</v>
      </c>
      <c r="C256" s="25" t="s">
        <v>347</v>
      </c>
      <c r="D256" s="31">
        <f>IFERROR(__xludf.DUMMYFUNCTION("GOOGLEFINANCE(""NSE:""&amp;UPPER(TRIM(E256)),""marketcap"")/10000000"),15813.1142844)</f>
        <v>15813.11428</v>
      </c>
      <c r="E256" s="7" t="s">
        <v>504</v>
      </c>
      <c r="F256" s="39">
        <f>IFERROR(__xludf.DUMMYFUNCTION("IF(OR(E256="""",A256=""""),"""",
 IF(
   DATE(VALUE(RIGHT(A256,4)),VALUE(MID(A256,4,2)),VALUE(LEFT(A256,2)))&gt;=TODAY(),
   IFERROR(
     GOOGLEFINANCE(""NSE:""&amp;UPPER(TRIM(E256)),""price""),
     ""Not Available""
   ),
   IFERROR(
     INDEX(
       GOOGLE"&amp;"FINANCE(
         ""NSE:""&amp;UPPER(TRIM(E256)),
         ""close"",
         DATE(VALUE(RIGHT(A256,4)),VALUE(MID(A256,4,2)),VALUE(LEFT(A256,2))),
         DATE(VALUE(RIGHT(A256,4)),VALUE(MID(A256,4,2)),VALUE(LEFT(A256,2)))+1
       ),
       2,2
     ),
   "&amp;"  ""Not Available""
   )
 ))"),1344.6)</f>
        <v>1344.6</v>
      </c>
      <c r="G256" s="42">
        <f>IFERROR(__xludf.DUMMYFUNCTION("IF(E256="""","""",IFERROR(GOOGLEFINANCE(""NSE:""&amp;UPPER(TRIM(E256)),""price""),""Not Available""))"),1200.6)</f>
        <v>1200.6</v>
      </c>
      <c r="H256" s="53">
        <f t="shared" si="1"/>
        <v>52</v>
      </c>
      <c r="I256" s="58">
        <f t="shared" si="2"/>
        <v>-0.1070950469</v>
      </c>
      <c r="J256" s="60">
        <f t="shared" si="3"/>
        <v>-10709.50469</v>
      </c>
      <c r="K256" s="42"/>
      <c r="L256" s="42"/>
      <c r="M256" s="68">
        <f t="shared" si="4"/>
        <v>-1</v>
      </c>
      <c r="N256" s="68">
        <f t="shared" si="5"/>
        <v>-1</v>
      </c>
      <c r="O256" s="68">
        <v>0.0939312806783</v>
      </c>
      <c r="P256" s="23">
        <v>46241</v>
      </c>
      <c r="R256" s="68">
        <v>0.8619</v>
      </c>
      <c r="S256" s="23">
        <v>46203</v>
      </c>
      <c r="T256" s="23">
        <v>46237</v>
      </c>
      <c r="U256" s="39">
        <v>1344.6</v>
      </c>
      <c r="V256" s="39">
        <v>1263.964</v>
      </c>
      <c r="W256" t="inlineStr">
        <is>
          <t>Above 75 DMA</t>
        </is>
      </c>
    </row>
    <row r="257">
      <c r="A257" s="23">
        <v>46237.0</v>
      </c>
      <c r="B257" s="25" t="str">
        <f t="shared" si="6"/>
        <v>Monday</v>
      </c>
      <c r="C257" s="25" t="s">
        <v>347</v>
      </c>
      <c r="D257" s="31">
        <f>IFERROR(__xludf.DUMMYFUNCTION("GOOGLEFINANCE(""NSE:""&amp;UPPER(TRIM(E257)),""marketcap"")/10000000"),209.1062928)</f>
        <v>209.1062928</v>
      </c>
      <c r="E257" s="7" t="s">
        <v>539</v>
      </c>
      <c r="F257" s="39">
        <f>IFERROR(__xludf.DUMMYFUNCTION("IF(OR(E257="""",A257=""""),"""",
 IF(
   DATE(VALUE(RIGHT(A257,4)),VALUE(MID(A257,4,2)),VALUE(LEFT(A257,2)))&gt;=TODAY(),
   IFERROR(
     GOOGLEFINANCE(""NSE:""&amp;UPPER(TRIM(E257)),""price""),
     ""Not Available""
   ),
   IFERROR(
     INDEX(
       GOOGLE"&amp;"FINANCE(
         ""NSE:""&amp;UPPER(TRIM(E257)),
         ""close"",
         DATE(VALUE(RIGHT(A257,4)),VALUE(MID(A257,4,2)),VALUE(LEFT(A257,2))),
         DATE(VALUE(RIGHT(A257,4)),VALUE(MID(A257,4,2)),VALUE(LEFT(A257,2)))+1
       ),
       2,2
     ),
   "&amp;"  ""Not Available""
   )
 ))"),110.83)</f>
        <v>110.83</v>
      </c>
      <c r="G257" s="42">
        <f>IFERROR(__xludf.DUMMYFUNCTION("IF(E257="""","""",IFERROR(GOOGLEFINANCE(""NSE:""&amp;UPPER(TRIM(E257)),""price""),""Not Available""))"),98.78)</f>
        <v>98.78</v>
      </c>
      <c r="H257" s="53">
        <f t="shared" si="1"/>
        <v>52</v>
      </c>
      <c r="I257" s="58">
        <f t="shared" si="2"/>
        <v>-0.1087250744</v>
      </c>
      <c r="J257" s="60">
        <f t="shared" si="3"/>
        <v>-10872.50744</v>
      </c>
      <c r="K257" s="42"/>
      <c r="L257" s="42"/>
      <c r="M257" s="68">
        <f t="shared" si="4"/>
        <v>-1</v>
      </c>
      <c r="N257" s="68">
        <f t="shared" si="5"/>
        <v>-1</v>
      </c>
      <c r="O257" s="68">
        <v>0.0375349634575</v>
      </c>
      <c r="P257" s="23">
        <v>46246</v>
      </c>
      <c r="R257" s="68">
        <v>0.5069</v>
      </c>
      <c r="S257" s="23">
        <v>46203</v>
      </c>
      <c r="T257" s="23">
        <v>46237</v>
      </c>
      <c r="U257" s="39">
        <v>110.83</v>
      </c>
      <c r="V257" s="39">
        <v>109.440666667</v>
      </c>
      <c r="W257" t="inlineStr">
        <is>
          <t>Above 75 DMA</t>
        </is>
      </c>
    </row>
    <row r="258">
      <c r="A258" s="23">
        <v>46237.0</v>
      </c>
      <c r="B258" s="25" t="str">
        <f t="shared" si="6"/>
        <v>Monday</v>
      </c>
      <c r="C258" s="25" t="s">
        <v>347</v>
      </c>
      <c r="D258" s="31">
        <f>IFERROR(__xludf.DUMMYFUNCTION("GOOGLEFINANCE(""NSE:""&amp;UPPER(TRIM(E258)),""marketcap"")/10000000"),52731.233226)</f>
        <v>52731.23323</v>
      </c>
      <c r="E258" s="7" t="s">
        <v>494</v>
      </c>
      <c r="F258" s="39">
        <f>IFERROR(__xludf.DUMMYFUNCTION("IF(OR(E258="""",A258=""""),"""",
 IF(
   DATE(VALUE(RIGHT(A258,4)),VALUE(MID(A258,4,2)),VALUE(LEFT(A258,2)))&gt;=TODAY(),
   IFERROR(
     GOOGLEFINANCE(""NSE:""&amp;UPPER(TRIM(E258)),""price""),
     ""Not Available""
   ),
   IFERROR(
     INDEX(
       GOOGLE"&amp;"FINANCE(
         ""NSE:""&amp;UPPER(TRIM(E258)),
         ""close"",
         DATE(VALUE(RIGHT(A258,4)),VALUE(MID(A258,4,2)),VALUE(LEFT(A258,2))),
         DATE(VALUE(RIGHT(A258,4)),VALUE(MID(A258,4,2)),VALUE(LEFT(A258,2)))+1
       ),
       2,2
     ),
   "&amp;"  ""Not Available""
   )
 ))"),6980.5)</f>
        <v>6980.5</v>
      </c>
      <c r="G258" s="42">
        <f>IFERROR(__xludf.DUMMYFUNCTION("IF(E258="""","""",IFERROR(GOOGLEFINANCE(""NSE:""&amp;UPPER(TRIM(E258)),""price""),""Not Available""))"),6183.0)</f>
        <v>6183</v>
      </c>
      <c r="H258" s="53">
        <f t="shared" si="1"/>
        <v>52</v>
      </c>
      <c r="I258" s="58">
        <f t="shared" si="2"/>
        <v>-0.1142468305</v>
      </c>
      <c r="J258" s="60">
        <f t="shared" si="3"/>
        <v>-11424.68305</v>
      </c>
      <c r="K258" s="42"/>
      <c r="L258" s="42"/>
      <c r="M258" s="68">
        <f t="shared" si="4"/>
        <v>-1</v>
      </c>
      <c r="N258" s="68">
        <f t="shared" si="5"/>
        <v>-1</v>
      </c>
      <c r="O258" s="68">
        <v>0.0485638564573</v>
      </c>
      <c r="P258" s="23">
        <v>46238</v>
      </c>
      <c r="R258" s="68">
        <v>0.75</v>
      </c>
      <c r="S258" s="23">
        <v>46203</v>
      </c>
      <c r="T258" s="23">
        <v>46237</v>
      </c>
      <c r="U258" s="39">
        <v>6980.5</v>
      </c>
      <c r="V258" s="39">
        <v>7141.24666667</v>
      </c>
      <c r="W258" t="inlineStr">
        <is>
          <t>Below 75 DMA</t>
        </is>
      </c>
    </row>
    <row r="259">
      <c r="A259" s="23">
        <v>46237.0</v>
      </c>
      <c r="B259" s="25" t="str">
        <f t="shared" si="6"/>
        <v>Monday</v>
      </c>
      <c r="C259" s="25" t="s">
        <v>347</v>
      </c>
      <c r="D259" s="31">
        <f>IFERROR(__xludf.DUMMYFUNCTION("GOOGLEFINANCE(""NSE:""&amp;UPPER(TRIM(E259)),""marketcap"")/10000000"),115306.4270502)</f>
        <v>115306.4271</v>
      </c>
      <c r="E259" s="7" t="s">
        <v>512</v>
      </c>
      <c r="F259" s="39">
        <f>IFERROR(__xludf.DUMMYFUNCTION("IF(OR(E259="""",A259=""""),"""",
 IF(
   DATE(VALUE(RIGHT(A259,4)),VALUE(MID(A259,4,2)),VALUE(LEFT(A259,2)))&gt;=TODAY(),
   IFERROR(
     GOOGLEFINANCE(""NSE:""&amp;UPPER(TRIM(E259)),""price""),
     ""Not Available""
   ),
   IFERROR(
     INDEX(
       GOOGLE"&amp;"FINANCE(
         ""NSE:""&amp;UPPER(TRIM(E259)),
         ""close"",
         DATE(VALUE(RIGHT(A259,4)),VALUE(MID(A259,4,2)),VALUE(LEFT(A259,2))),
         DATE(VALUE(RIGHT(A259,4)),VALUE(MID(A259,4,2)),VALUE(LEFT(A259,2)))+1
       ),
       2,2
     ),
   "&amp;"  ""Not Available""
   )
 ))"),1569.8)</f>
        <v>1569.8</v>
      </c>
      <c r="G259" s="42">
        <f>IFERROR(__xludf.DUMMYFUNCTION("IF(E259="""","""",IFERROR(GOOGLEFINANCE(""NSE:""&amp;UPPER(TRIM(E259)),""price""),""Not Available""))"),1699.5)</f>
        <v>1699.5</v>
      </c>
      <c r="H259" s="53">
        <f t="shared" si="1"/>
        <v>52</v>
      </c>
      <c r="I259" s="58">
        <f t="shared" si="2"/>
        <v>0.08262199006</v>
      </c>
      <c r="J259" s="60">
        <f t="shared" si="3"/>
        <v>8262.199006</v>
      </c>
      <c r="K259" s="42"/>
      <c r="L259" s="42"/>
      <c r="M259" s="68">
        <f t="shared" si="4"/>
        <v>-1</v>
      </c>
      <c r="N259" s="68">
        <f t="shared" si="5"/>
        <v>-1</v>
      </c>
      <c r="O259" s="68">
        <v>0.117976812333</v>
      </c>
      <c r="P259" s="23">
        <v>46251</v>
      </c>
      <c r="R259" s="68">
        <v>0.85</v>
      </c>
      <c r="S259" s="23">
        <v>46203</v>
      </c>
      <c r="T259" s="23">
        <v>46237</v>
      </c>
      <c r="U259" s="39">
        <v>1569.8</v>
      </c>
      <c r="V259" s="39">
        <v>1551.2</v>
      </c>
      <c r="W259" t="inlineStr">
        <is>
          <t>Above 75 DMA</t>
        </is>
      </c>
    </row>
    <row r="260">
      <c r="A260" s="23">
        <v>46237.0</v>
      </c>
      <c r="B260" s="25" t="str">
        <f t="shared" si="6"/>
        <v>Monday</v>
      </c>
      <c r="C260" s="25" t="s">
        <v>347</v>
      </c>
      <c r="D260" s="31">
        <f>IFERROR(__xludf.DUMMYFUNCTION("GOOGLEFINANCE(""NSE:""&amp;UPPER(TRIM(E260)),""marketcap"")/10000000"),1857.4599169)</f>
        <v>1857.459917</v>
      </c>
      <c r="E260" s="7" t="s">
        <v>540</v>
      </c>
      <c r="F260" s="39">
        <f>IFERROR(__xludf.DUMMYFUNCTION("IF(OR(E260="""",A260=""""),"""",
 IF(
   DATE(VALUE(RIGHT(A260,4)),VALUE(MID(A260,4,2)),VALUE(LEFT(A260,2)))&gt;=TODAY(),
   IFERROR(
     GOOGLEFINANCE(""NSE:""&amp;UPPER(TRIM(E260)),""price""),
     ""Not Available""
   ),
   IFERROR(
     INDEX(
       GOOGLE"&amp;"FINANCE(
         ""NSE:""&amp;UPPER(TRIM(E260)),
         ""close"",
         DATE(VALUE(RIGHT(A260,4)),VALUE(MID(A260,4,2)),VALUE(LEFT(A260,2))),
         DATE(VALUE(RIGHT(A260,4)),VALUE(MID(A260,4,2)),VALUE(LEFT(A260,2)))+1
       ),
       2,2
     ),
   "&amp;"  ""Not Available""
   )
 ))"),252.1)</f>
        <v>252.1</v>
      </c>
      <c r="G260" s="42">
        <f>IFERROR(__xludf.DUMMYFUNCTION("IF(E260="""","""",IFERROR(GOOGLEFINANCE(""NSE:""&amp;UPPER(TRIM(E260)),""price""),""Not Available""))"),356.65)</f>
        <v>356.65</v>
      </c>
      <c r="H260" s="53">
        <f t="shared" si="1"/>
        <v>52</v>
      </c>
      <c r="I260" s="58">
        <f t="shared" si="2"/>
        <v>0.4147163824</v>
      </c>
      <c r="J260" s="60">
        <f t="shared" si="3"/>
        <v>41471.63824</v>
      </c>
      <c r="K260" s="62">
        <v>337.0</v>
      </c>
      <c r="L260" s="62">
        <v>200.0</v>
      </c>
      <c r="M260" s="68">
        <f t="shared" si="4"/>
        <v>0.3367711226</v>
      </c>
      <c r="N260" s="68">
        <f t="shared" si="5"/>
        <v>-0.2066640222</v>
      </c>
      <c r="O260" s="68">
        <v>0.428004760016</v>
      </c>
      <c r="P260" s="23">
        <v>46286</v>
      </c>
      <c r="R260" s="68">
        <v>0.491</v>
      </c>
      <c r="S260" s="23">
        <v>46203</v>
      </c>
      <c r="T260" s="23">
        <v>46237</v>
      </c>
      <c r="U260" s="39">
        <v>252.1</v>
      </c>
      <c r="V260" s="39">
        <v>276.443066667</v>
      </c>
      <c r="W260" t="inlineStr">
        <is>
          <t>Below 75 DMA</t>
        </is>
      </c>
    </row>
    <row r="261">
      <c r="A261" s="23">
        <v>46237.0</v>
      </c>
      <c r="B261" s="25" t="str">
        <f t="shared" si="6"/>
        <v>Monday</v>
      </c>
      <c r="C261" s="25" t="s">
        <v>156</v>
      </c>
      <c r="D261" s="31" t="str">
        <f>IFERROR(__xludf.DUMMYFUNCTION("GOOGLEFINANCE(""NSE:""&amp;UPPER(TRIM(E261)),""marketcap"")/10000000"),"#N/A")</f>
        <v>#N/A</v>
      </c>
      <c r="E261" s="7" t="s">
        <v>541</v>
      </c>
      <c r="F261" s="39" t="str">
        <f>IFERROR(__xludf.DUMMYFUNCTION("IF(OR(E261="""",A261=""""),"""",
 IF(
   DATE(VALUE(RIGHT(A261,4)),VALUE(MID(A261,4,2)),VALUE(LEFT(A261,2)))&gt;=TODAY(),
   IFERROR(
     GOOGLEFINANCE(""NSE:""&amp;UPPER(TRIM(E261)),""price""),
     ""Not Available""
   ),
   IFERROR(
     INDEX(
       GOOGLE"&amp;"FINANCE(
         ""NSE:""&amp;UPPER(TRIM(E261)),
         ""close"",
         DATE(VALUE(RIGHT(A261,4)),VALUE(MID(A261,4,2)),VALUE(LEFT(A261,2))),
         DATE(VALUE(RIGHT(A261,4)),VALUE(MID(A261,4,2)),VALUE(LEFT(A261,2)))+1
       ),
       2,2
     ),
   "&amp;"  ""Not Available""
   )
 ))"),"Not Available")</f>
        <v>Not Available</v>
      </c>
      <c r="G261" s="42" t="str">
        <f>IFERROR(__xludf.DUMMYFUNCTION("IF(E261="""","""",IFERROR(GOOGLEFINANCE(""NSE:""&amp;UPPER(TRIM(E261)),""price""),""Not Available""))"),"Not Available")</f>
        <v>Not Available</v>
      </c>
      <c r="H261" s="53">
        <f t="shared" si="1"/>
        <v>52</v>
      </c>
      <c r="I261" s="58" t="str">
        <f t="shared" si="2"/>
        <v>#VALUE!</v>
      </c>
      <c r="J261" s="60" t="str">
        <f t="shared" si="3"/>
        <v>#VALUE!</v>
      </c>
      <c r="K261" s="42"/>
      <c r="L261" s="42"/>
      <c r="M261" s="68" t="str">
        <f t="shared" si="4"/>
        <v>#VALUE!</v>
      </c>
      <c r="N261" s="68" t="str">
        <f t="shared" si="5"/>
        <v>#VALUE!</v>
      </c>
    </row>
    <row r="262">
      <c r="A262" s="23">
        <v>46237.0</v>
      </c>
      <c r="B262" s="25" t="str">
        <f t="shared" si="6"/>
        <v>Monday</v>
      </c>
      <c r="C262" s="25" t="s">
        <v>156</v>
      </c>
      <c r="D262" s="31" t="str">
        <f>IFERROR(__xludf.DUMMYFUNCTION("GOOGLEFINANCE(""NSE:""&amp;UPPER(TRIM(E262)),""marketcap"")/10000000"),"#N/A")</f>
        <v>#N/A</v>
      </c>
      <c r="E262" s="7" t="s">
        <v>542</v>
      </c>
      <c r="F262" s="39" t="str">
        <f>IFERROR(__xludf.DUMMYFUNCTION("IF(OR(E262="""",A262=""""),"""",
 IF(
   DATE(VALUE(RIGHT(A262,4)),VALUE(MID(A262,4,2)),VALUE(LEFT(A262,2)))&gt;=TODAY(),
   IFERROR(
     GOOGLEFINANCE(""NSE:""&amp;UPPER(TRIM(E262)),""price""),
     ""Not Available""
   ),
   IFERROR(
     INDEX(
       GOOGLE"&amp;"FINANCE(
         ""NSE:""&amp;UPPER(TRIM(E262)),
         ""close"",
         DATE(VALUE(RIGHT(A262,4)),VALUE(MID(A262,4,2)),VALUE(LEFT(A262,2))),
         DATE(VALUE(RIGHT(A262,4)),VALUE(MID(A262,4,2)),VALUE(LEFT(A262,2)))+1
       ),
       2,2
     ),
   "&amp;"  ""Not Available""
   )
 ))"),"Not Available")</f>
        <v>Not Available</v>
      </c>
      <c r="G262" s="42" t="str">
        <f>IFERROR(__xludf.DUMMYFUNCTION("IF(E262="""","""",IFERROR(GOOGLEFINANCE(""NSE:""&amp;UPPER(TRIM(E262)),""price""),""Not Available""))"),"Not Available")</f>
        <v>Not Available</v>
      </c>
      <c r="H262" s="53">
        <f t="shared" si="1"/>
        <v>52</v>
      </c>
      <c r="I262" s="58" t="str">
        <f t="shared" si="2"/>
        <v>#VALUE!</v>
      </c>
      <c r="J262" s="60" t="str">
        <f t="shared" si="3"/>
        <v>#VALUE!</v>
      </c>
      <c r="K262" s="42"/>
      <c r="L262" s="42"/>
      <c r="M262" s="68" t="str">
        <f t="shared" si="4"/>
        <v>#VALUE!</v>
      </c>
      <c r="N262" s="68" t="str">
        <f t="shared" si="5"/>
        <v>#VALUE!</v>
      </c>
    </row>
    <row r="263">
      <c r="A263" s="23">
        <v>46237.0</v>
      </c>
      <c r="B263" s="25" t="str">
        <f t="shared" si="6"/>
        <v>Monday</v>
      </c>
      <c r="C263" s="25" t="s">
        <v>156</v>
      </c>
      <c r="D263" s="31" t="str">
        <f>IFERROR(__xludf.DUMMYFUNCTION("GOOGLEFINANCE(""NSE:""&amp;UPPER(TRIM(E263)),""marketcap"")/10000000"),"#N/A")</f>
        <v>#N/A</v>
      </c>
      <c r="E263" s="7" t="s">
        <v>543</v>
      </c>
      <c r="F263" s="39" t="str">
        <f>IFERROR(__xludf.DUMMYFUNCTION("IF(OR(E263="""",A263=""""),"""",
 IF(
   DATE(VALUE(RIGHT(A263,4)),VALUE(MID(A263,4,2)),VALUE(LEFT(A263,2)))&gt;=TODAY(),
   IFERROR(
     GOOGLEFINANCE(""NSE:""&amp;UPPER(TRIM(E263)),""price""),
     ""Not Available""
   ),
   IFERROR(
     INDEX(
       GOOGLE"&amp;"FINANCE(
         ""NSE:""&amp;UPPER(TRIM(E263)),
         ""close"",
         DATE(VALUE(RIGHT(A263,4)),VALUE(MID(A263,4,2)),VALUE(LEFT(A263,2))),
         DATE(VALUE(RIGHT(A263,4)),VALUE(MID(A263,4,2)),VALUE(LEFT(A263,2)))+1
       ),
       2,2
     ),
   "&amp;"  ""Not Available""
   )
 ))"),"Not Available")</f>
        <v>Not Available</v>
      </c>
      <c r="G263" s="42" t="str">
        <f>IFERROR(__xludf.DUMMYFUNCTION("IF(E263="""","""",IFERROR(GOOGLEFINANCE(""NSE:""&amp;UPPER(TRIM(E263)),""price""),""Not Available""))"),"Not Available")</f>
        <v>Not Available</v>
      </c>
      <c r="H263" s="53">
        <f t="shared" si="1"/>
        <v>52</v>
      </c>
      <c r="I263" s="58" t="str">
        <f t="shared" si="2"/>
        <v>#VALUE!</v>
      </c>
      <c r="J263" s="60" t="str">
        <f t="shared" si="3"/>
        <v>#VALUE!</v>
      </c>
      <c r="K263" s="42"/>
      <c r="L263" s="42"/>
      <c r="M263" s="68" t="str">
        <f t="shared" si="4"/>
        <v>#VALUE!</v>
      </c>
      <c r="N263" s="68" t="str">
        <f t="shared" si="5"/>
        <v>#VALUE!</v>
      </c>
    </row>
    <row r="264">
      <c r="A264" s="23">
        <v>46237.0</v>
      </c>
      <c r="B264" s="25" t="str">
        <f t="shared" si="6"/>
        <v>Monday</v>
      </c>
      <c r="C264" s="25" t="s">
        <v>156</v>
      </c>
      <c r="D264" s="31" t="str">
        <f>IFERROR(__xludf.DUMMYFUNCTION("GOOGLEFINANCE(""NSE:""&amp;UPPER(TRIM(E264)),""marketcap"")/10000000"),"#N/A")</f>
        <v>#N/A</v>
      </c>
      <c r="E264" s="7" t="s">
        <v>544</v>
      </c>
      <c r="F264" s="39" t="str">
        <f>IFERROR(__xludf.DUMMYFUNCTION("IF(OR(E264="""",A264=""""),"""",
 IF(
   DATE(VALUE(RIGHT(A264,4)),VALUE(MID(A264,4,2)),VALUE(LEFT(A264,2)))&gt;=TODAY(),
   IFERROR(
     GOOGLEFINANCE(""NSE:""&amp;UPPER(TRIM(E264)),""price""),
     ""Not Available""
   ),
   IFERROR(
     INDEX(
       GOOGLE"&amp;"FINANCE(
         ""NSE:""&amp;UPPER(TRIM(E264)),
         ""close"",
         DATE(VALUE(RIGHT(A264,4)),VALUE(MID(A264,4,2)),VALUE(LEFT(A264,2))),
         DATE(VALUE(RIGHT(A264,4)),VALUE(MID(A264,4,2)),VALUE(LEFT(A264,2)))+1
       ),
       2,2
     ),
   "&amp;"  ""Not Available""
   )
 ))"),"Not Available")</f>
        <v>Not Available</v>
      </c>
      <c r="G264" s="42" t="str">
        <f>IFERROR(__xludf.DUMMYFUNCTION("IF(E264="""","""",IFERROR(GOOGLEFINANCE(""NSE:""&amp;UPPER(TRIM(E264)),""price""),""Not Available""))"),"Not Available")</f>
        <v>Not Available</v>
      </c>
      <c r="H264" s="53">
        <f t="shared" si="1"/>
        <v>52</v>
      </c>
      <c r="I264" s="58" t="str">
        <f t="shared" si="2"/>
        <v>#VALUE!</v>
      </c>
      <c r="J264" s="60" t="str">
        <f t="shared" si="3"/>
        <v>#VALUE!</v>
      </c>
      <c r="K264" s="42"/>
      <c r="L264" s="42"/>
      <c r="M264" s="68" t="str">
        <f t="shared" si="4"/>
        <v>#VALUE!</v>
      </c>
      <c r="N264" s="68" t="str">
        <f t="shared" si="5"/>
        <v>#VALUE!</v>
      </c>
    </row>
    <row r="265">
      <c r="A265" s="23">
        <v>46237.0</v>
      </c>
      <c r="B265" s="25" t="str">
        <f t="shared" si="6"/>
        <v>Monday</v>
      </c>
      <c r="C265" s="25" t="s">
        <v>156</v>
      </c>
      <c r="D265" s="31">
        <f>IFERROR(__xludf.DUMMYFUNCTION("GOOGLEFINANCE(""NSE:""&amp;UPPER(TRIM(E265)),""marketcap"")/10000000"),2639.5064242)</f>
        <v>2639.506424</v>
      </c>
      <c r="E265" s="7" t="s">
        <v>545</v>
      </c>
      <c r="F265" s="39">
        <f>IFERROR(__xludf.DUMMYFUNCTION("IF(OR(E265="""",A265=""""),"""",
 IF(
   DATE(VALUE(RIGHT(A265,4)),VALUE(MID(A265,4,2)),VALUE(LEFT(A265,2)))&gt;=TODAY(),
   IFERROR(
     GOOGLEFINANCE(""NSE:""&amp;UPPER(TRIM(E265)),""price""),
     ""Not Available""
   ),
   IFERROR(
     INDEX(
       GOOGLE"&amp;"FINANCE(
         ""NSE:""&amp;UPPER(TRIM(E265)),
         ""close"",
         DATE(VALUE(RIGHT(A265,4)),VALUE(MID(A265,4,2)),VALUE(LEFT(A265,2))),
         DATE(VALUE(RIGHT(A265,4)),VALUE(MID(A265,4,2)),VALUE(LEFT(A265,2)))+1
       ),
       2,2
     ),
   "&amp;"  ""Not Available""
   )
 ))"),193.96)</f>
        <v>193.96</v>
      </c>
      <c r="G265" s="42">
        <f>IFERROR(__xludf.DUMMYFUNCTION("IF(E265="""","""",IFERROR(GOOGLEFINANCE(""NSE:""&amp;UPPER(TRIM(E265)),""price""),""Not Available""))"),178.41)</f>
        <v>178.41</v>
      </c>
      <c r="H265" s="53">
        <f t="shared" si="1"/>
        <v>52</v>
      </c>
      <c r="I265" s="58">
        <f t="shared" si="2"/>
        <v>-0.08017116931</v>
      </c>
      <c r="J265" s="60">
        <f t="shared" si="3"/>
        <v>-8017.116931</v>
      </c>
      <c r="K265" s="42"/>
      <c r="L265" s="42"/>
      <c r="M265" s="68">
        <f t="shared" si="4"/>
        <v>-1</v>
      </c>
      <c r="N265" s="68">
        <f t="shared" si="5"/>
        <v>-1</v>
      </c>
      <c r="O265" s="68">
        <v>0.0904310167045</v>
      </c>
      <c r="P265" s="23">
        <v>46261</v>
      </c>
      <c r="R265" s="68">
        <v>0.5608</v>
      </c>
      <c r="S265" s="23">
        <v>46203</v>
      </c>
      <c r="T265" s="23">
        <v>46237</v>
      </c>
      <c r="U265" s="39">
        <v>193.96</v>
      </c>
      <c r="V265" s="39">
        <v>189.688</v>
      </c>
      <c r="W265" t="inlineStr">
        <is>
          <t>Above 75 DMA</t>
        </is>
      </c>
    </row>
    <row r="266">
      <c r="A266" s="23">
        <v>46237.0</v>
      </c>
      <c r="B266" s="25" t="str">
        <f t="shared" si="6"/>
        <v>Monday</v>
      </c>
      <c r="C266" s="25" t="s">
        <v>156</v>
      </c>
      <c r="D266" s="31" t="str">
        <f>IFERROR(__xludf.DUMMYFUNCTION("GOOGLEFINANCE(""NSE:""&amp;UPPER(TRIM(E266)),""marketcap"")/10000000"),"#N/A")</f>
        <v>#N/A</v>
      </c>
      <c r="E266" s="7" t="s">
        <v>546</v>
      </c>
      <c r="F266" s="39" t="str">
        <f>IFERROR(__xludf.DUMMYFUNCTION("IF(OR(E266="""",A266=""""),"""",
 IF(
   DATE(VALUE(RIGHT(A266,4)),VALUE(MID(A266,4,2)),VALUE(LEFT(A266,2)))&gt;=TODAY(),
   IFERROR(
     GOOGLEFINANCE(""NSE:""&amp;UPPER(TRIM(E266)),""price""),
     ""Not Available""
   ),
   IFERROR(
     INDEX(
       GOOGLE"&amp;"FINANCE(
         ""NSE:""&amp;UPPER(TRIM(E266)),
         ""close"",
         DATE(VALUE(RIGHT(A266,4)),VALUE(MID(A266,4,2)),VALUE(LEFT(A266,2))),
         DATE(VALUE(RIGHT(A266,4)),VALUE(MID(A266,4,2)),VALUE(LEFT(A266,2)))+1
       ),
       2,2
     ),
   "&amp;"  ""Not Available""
   )
 ))"),"Not Available")</f>
        <v>Not Available</v>
      </c>
      <c r="G266" s="42" t="str">
        <f>IFERROR(__xludf.DUMMYFUNCTION("IF(E266="""","""",IFERROR(GOOGLEFINANCE(""NSE:""&amp;UPPER(TRIM(E266)),""price""),""Not Available""))"),"Not Available")</f>
        <v>Not Available</v>
      </c>
      <c r="H266" s="53">
        <f t="shared" si="1"/>
        <v>52</v>
      </c>
      <c r="I266" s="58" t="str">
        <f t="shared" si="2"/>
        <v>#VALUE!</v>
      </c>
      <c r="J266" s="60" t="str">
        <f t="shared" si="3"/>
        <v>#VALUE!</v>
      </c>
      <c r="K266" s="42"/>
      <c r="L266" s="42"/>
      <c r="M266" s="68" t="str">
        <f t="shared" si="4"/>
        <v>#VALUE!</v>
      </c>
      <c r="N266" s="68" t="str">
        <f t="shared" si="5"/>
        <v>#VALUE!</v>
      </c>
    </row>
    <row r="267">
      <c r="A267" s="23">
        <v>46237.0</v>
      </c>
      <c r="B267" s="25" t="str">
        <f t="shared" si="6"/>
        <v>Monday</v>
      </c>
      <c r="C267" s="25" t="s">
        <v>156</v>
      </c>
      <c r="D267" s="31" t="str">
        <f>IFERROR(__xludf.DUMMYFUNCTION("GOOGLEFINANCE(""NSE:""&amp;UPPER(TRIM(E267)),""marketcap"")/10000000"),"#N/A")</f>
        <v>#N/A</v>
      </c>
      <c r="E267" s="7" t="s">
        <v>547</v>
      </c>
      <c r="F267" s="39" t="str">
        <f>IFERROR(__xludf.DUMMYFUNCTION("IF(OR(E267="""",A267=""""),"""",
 IF(
   DATE(VALUE(RIGHT(A267,4)),VALUE(MID(A267,4,2)),VALUE(LEFT(A267,2)))&gt;=TODAY(),
   IFERROR(
     GOOGLEFINANCE(""NSE:""&amp;UPPER(TRIM(E267)),""price""),
     ""Not Available""
   ),
   IFERROR(
     INDEX(
       GOOGLE"&amp;"FINANCE(
         ""NSE:""&amp;UPPER(TRIM(E267)),
         ""close"",
         DATE(VALUE(RIGHT(A267,4)),VALUE(MID(A267,4,2)),VALUE(LEFT(A267,2))),
         DATE(VALUE(RIGHT(A267,4)),VALUE(MID(A267,4,2)),VALUE(LEFT(A267,2)))+1
       ),
       2,2
     ),
   "&amp;"  ""Not Available""
   )
 ))"),"Not Available")</f>
        <v>Not Available</v>
      </c>
      <c r="G267" s="42" t="str">
        <f>IFERROR(__xludf.DUMMYFUNCTION("IF(E267="""","""",IFERROR(GOOGLEFINANCE(""NSE:""&amp;UPPER(TRIM(E267)),""price""),""Not Available""))"),"Not Available")</f>
        <v>Not Available</v>
      </c>
      <c r="H267" s="53">
        <f t="shared" si="1"/>
        <v>52</v>
      </c>
      <c r="I267" s="58" t="str">
        <f t="shared" si="2"/>
        <v>#VALUE!</v>
      </c>
      <c r="J267" s="60" t="str">
        <f t="shared" si="3"/>
        <v>#VALUE!</v>
      </c>
      <c r="K267" s="42"/>
      <c r="L267" s="42"/>
      <c r="M267" s="68" t="str">
        <f t="shared" si="4"/>
        <v>#VALUE!</v>
      </c>
      <c r="N267" s="68" t="str">
        <f t="shared" si="5"/>
        <v>#VALUE!</v>
      </c>
    </row>
    <row r="268">
      <c r="A268" s="23">
        <v>46237.0</v>
      </c>
      <c r="B268" s="25" t="str">
        <f t="shared" si="6"/>
        <v>Monday</v>
      </c>
      <c r="C268" s="25" t="s">
        <v>156</v>
      </c>
      <c r="D268" s="31">
        <f>IFERROR(__xludf.DUMMYFUNCTION("GOOGLEFINANCE(""NSE:""&amp;UPPER(TRIM(E268)),""marketcap"")/10000000"),2285.9308552)</f>
        <v>2285.930855</v>
      </c>
      <c r="E268" s="7" t="s">
        <v>483</v>
      </c>
      <c r="F268" s="39">
        <f>IFERROR(__xludf.DUMMYFUNCTION("IF(OR(E268="""",A268=""""),"""",
 IF(
   DATE(VALUE(RIGHT(A268,4)),VALUE(MID(A268,4,2)),VALUE(LEFT(A268,2)))&gt;=TODAY(),
   IFERROR(
     GOOGLEFINANCE(""NSE:""&amp;UPPER(TRIM(E268)),""price""),
     ""Not Available""
   ),
   IFERROR(
     INDEX(
       GOOGLE"&amp;"FINANCE(
         ""NSE:""&amp;UPPER(TRIM(E268)),
         ""close"",
         DATE(VALUE(RIGHT(A268,4)),VALUE(MID(A268,4,2)),VALUE(LEFT(A268,2))),
         DATE(VALUE(RIGHT(A268,4)),VALUE(MID(A268,4,2)),VALUE(LEFT(A268,2)))+1
       ),
       2,2
     ),
   "&amp;"  ""Not Available""
   )
 ))"),587.85)</f>
        <v>587.85</v>
      </c>
      <c r="G268" s="42">
        <f>IFERROR(__xludf.DUMMYFUNCTION("IF(E268="""","""",IFERROR(GOOGLEFINANCE(""NSE:""&amp;UPPER(TRIM(E268)),""price""),""Not Available""))"),491.4)</f>
        <v>491.4</v>
      </c>
      <c r="H268" s="53">
        <f t="shared" si="1"/>
        <v>52</v>
      </c>
      <c r="I268" s="58">
        <f t="shared" si="2"/>
        <v>-0.1640724675</v>
      </c>
      <c r="J268" s="60">
        <f t="shared" si="3"/>
        <v>-16407.24675</v>
      </c>
      <c r="K268" s="42"/>
      <c r="L268" s="42"/>
      <c r="M268" s="68">
        <f t="shared" si="4"/>
        <v>-1</v>
      </c>
      <c r="N268" s="68">
        <f t="shared" si="5"/>
        <v>-1</v>
      </c>
      <c r="O268" s="68">
        <v>0.136259249809</v>
      </c>
      <c r="P268" s="23">
        <v>46259</v>
      </c>
      <c r="Q268" s="68">
        <v>0.184273045363</v>
      </c>
      <c r="R268" s="68">
        <v>0.7173</v>
      </c>
      <c r="S268" s="23">
        <v>46203</v>
      </c>
      <c r="T268" s="23">
        <v>46237</v>
      </c>
      <c r="U268" s="39">
        <v>587.85</v>
      </c>
      <c r="V268" s="39">
        <v>445.209333333</v>
      </c>
      <c r="W268" t="inlineStr">
        <is>
          <t>Above 75 DMA</t>
        </is>
      </c>
    </row>
    <row r="269">
      <c r="A269" s="23">
        <v>46237.0</v>
      </c>
      <c r="B269" s="25" t="str">
        <f t="shared" si="6"/>
        <v>Monday</v>
      </c>
      <c r="C269" s="25" t="s">
        <v>156</v>
      </c>
      <c r="D269" s="31">
        <f>IFERROR(__xludf.DUMMYFUNCTION("GOOGLEFINANCE(""NSE:""&amp;UPPER(TRIM(E269)),""marketcap"")/10000000"),5658.0488199)</f>
        <v>5658.04882</v>
      </c>
      <c r="E269" s="7" t="s">
        <v>303</v>
      </c>
      <c r="F269" s="39">
        <f>IFERROR(__xludf.DUMMYFUNCTION("IF(OR(E269="""",A269=""""),"""",
 IF(
   DATE(VALUE(RIGHT(A269,4)),VALUE(MID(A269,4,2)),VALUE(LEFT(A269,2)))&gt;=TODAY(),
   IFERROR(
     GOOGLEFINANCE(""NSE:""&amp;UPPER(TRIM(E269)),""price""),
     ""Not Available""
   ),
   IFERROR(
     INDEX(
       GOOGLE"&amp;"FINANCE(
         ""NSE:""&amp;UPPER(TRIM(E269)),
         ""close"",
         DATE(VALUE(RIGHT(A269,4)),VALUE(MID(A269,4,2)),VALUE(LEFT(A269,2))),
         DATE(VALUE(RIGHT(A269,4)),VALUE(MID(A269,4,2)),VALUE(LEFT(A269,2)))+1
       ),
       2,2
     ),
   "&amp;"  ""Not Available""
   )
 ))"),21.81)</f>
        <v>21.81</v>
      </c>
      <c r="G269" s="42">
        <f>IFERROR(__xludf.DUMMYFUNCTION("IF(E269="""","""",IFERROR(GOOGLEFINANCE(""NSE:""&amp;UPPER(TRIM(E269)),""price""),""Not Available""))"),21.6)</f>
        <v>21.6</v>
      </c>
      <c r="H269" s="53">
        <f t="shared" si="1"/>
        <v>52</v>
      </c>
      <c r="I269" s="58">
        <f t="shared" si="2"/>
        <v>-0.009628610729</v>
      </c>
      <c r="J269" s="60">
        <f t="shared" si="3"/>
        <v>-962.8610729</v>
      </c>
      <c r="K269" s="42"/>
      <c r="L269" s="42"/>
      <c r="M269" s="68">
        <f t="shared" si="4"/>
        <v>-1</v>
      </c>
      <c r="N269" s="68">
        <f t="shared" si="5"/>
        <v>-1</v>
      </c>
      <c r="O269" s="68">
        <v>0.193489225126</v>
      </c>
      <c r="P269" s="23">
        <v>46261</v>
      </c>
      <c r="Q269" s="68">
        <v>0.241618115862</v>
      </c>
      <c r="R269" s="68">
        <v>0.1617</v>
      </c>
      <c r="S269" s="23">
        <v>46203</v>
      </c>
      <c r="T269" s="23">
        <v>46237</v>
      </c>
      <c r="U269" s="39">
        <v>21.81</v>
      </c>
      <c r="V269" s="39">
        <v>22.8989333333</v>
      </c>
      <c r="W269" t="inlineStr">
        <is>
          <t>Below 75 DMA</t>
        </is>
      </c>
    </row>
    <row r="270">
      <c r="A270" s="23">
        <v>46237.0</v>
      </c>
      <c r="B270" s="25" t="str">
        <f t="shared" si="6"/>
        <v>Monday</v>
      </c>
      <c r="C270" s="25" t="s">
        <v>156</v>
      </c>
      <c r="D270" s="31">
        <f>IFERROR(__xludf.DUMMYFUNCTION("GOOGLEFINANCE(""NSE:""&amp;UPPER(TRIM(E270)),""marketcap"")/10000000"),2015.1656826)</f>
        <v>2015.165683</v>
      </c>
      <c r="E270" s="7" t="s">
        <v>484</v>
      </c>
      <c r="F270" s="39">
        <f>IFERROR(__xludf.DUMMYFUNCTION("IF(OR(E270="""",A270=""""),"""",
 IF(
   DATE(VALUE(RIGHT(A270,4)),VALUE(MID(A270,4,2)),VALUE(LEFT(A270,2)))&gt;=TODAY(),
   IFERROR(
     GOOGLEFINANCE(""NSE:""&amp;UPPER(TRIM(E270)),""price""),
     ""Not Available""
   ),
   IFERROR(
     INDEX(
       GOOGLE"&amp;"FINANCE(
         ""NSE:""&amp;UPPER(TRIM(E270)),
         ""close"",
         DATE(VALUE(RIGHT(A270,4)),VALUE(MID(A270,4,2)),VALUE(LEFT(A270,2))),
         DATE(VALUE(RIGHT(A270,4)),VALUE(MID(A270,4,2)),VALUE(LEFT(A270,2)))+1
       ),
       2,2
     ),
   "&amp;"  ""Not Available""
   )
 ))"),152.97)</f>
        <v>152.97</v>
      </c>
      <c r="G270" s="42">
        <f>IFERROR(__xludf.DUMMYFUNCTION("IF(E270="""","""",IFERROR(GOOGLEFINANCE(""NSE:""&amp;UPPER(TRIM(E270)),""price""),""Not Available""))"),156.31)</f>
        <v>156.31</v>
      </c>
      <c r="H270" s="53">
        <f t="shared" si="1"/>
        <v>52</v>
      </c>
      <c r="I270" s="58">
        <f t="shared" si="2"/>
        <v>0.0218343466</v>
      </c>
      <c r="J270" s="60">
        <f t="shared" si="3"/>
        <v>2183.43466</v>
      </c>
      <c r="K270" s="42"/>
      <c r="L270" s="42"/>
      <c r="M270" s="68">
        <f t="shared" si="4"/>
        <v>-1</v>
      </c>
      <c r="N270" s="68">
        <f t="shared" si="5"/>
        <v>-1</v>
      </c>
      <c r="O270" s="68">
        <v>0.179316205792</v>
      </c>
      <c r="P270" s="23">
        <v>46258</v>
      </c>
      <c r="R270" s="68">
        <v>0.4439</v>
      </c>
      <c r="S270" s="23">
        <v>46203</v>
      </c>
      <c r="T270" s="23">
        <v>46237</v>
      </c>
      <c r="U270" s="39">
        <v>152.97</v>
      </c>
      <c r="V270" s="39">
        <v>167.657333333</v>
      </c>
      <c r="W270" t="inlineStr">
        <is>
          <t>Below 75 DMA</t>
        </is>
      </c>
    </row>
    <row r="271">
      <c r="A271" s="23">
        <v>46237.0</v>
      </c>
      <c r="B271" s="25" t="str">
        <f t="shared" si="6"/>
        <v>Monday</v>
      </c>
      <c r="C271" s="25" t="s">
        <v>156</v>
      </c>
      <c r="D271" s="31">
        <f>IFERROR(__xludf.DUMMYFUNCTION("GOOGLEFINANCE(""NSE:""&amp;UPPER(TRIM(E271)),""marketcap"")/10000000"),14631.5)</f>
        <v>14631.5</v>
      </c>
      <c r="E271" s="7" t="s">
        <v>102</v>
      </c>
      <c r="F271" s="39">
        <f>IFERROR(__xludf.DUMMYFUNCTION("IF(OR(E271="""",A271=""""),"""",
 IF(
   DATE(VALUE(RIGHT(A271,4)),VALUE(MID(A271,4,2)),VALUE(LEFT(A271,2)))&gt;=TODAY(),
   IFERROR(
     GOOGLEFINANCE(""NSE:""&amp;UPPER(TRIM(E271)),""price""),
     ""Not Available""
   ),
   IFERROR(
     INDEX(
       GOOGLE"&amp;"FINANCE(
         ""NSE:""&amp;UPPER(TRIM(E271)),
         ""close"",
         DATE(VALUE(RIGHT(A271,4)),VALUE(MID(A271,4,2)),VALUE(LEFT(A271,2))),
         DATE(VALUE(RIGHT(A271,4)),VALUE(MID(A271,4,2)),VALUE(LEFT(A271,2)))+1
       ),
       2,2
     ),
   "&amp;"  ""Not Available""
   )
 ))"),415.3)</f>
        <v>415.3</v>
      </c>
      <c r="G271" s="42">
        <f>IFERROR(__xludf.DUMMYFUNCTION("IF(E271="""","""",IFERROR(GOOGLEFINANCE(""NSE:""&amp;UPPER(TRIM(E271)),""price""),""Not Available""))"),424.2)</f>
        <v>424.2</v>
      </c>
      <c r="H271" s="53">
        <f t="shared" si="1"/>
        <v>52</v>
      </c>
      <c r="I271" s="58">
        <f t="shared" si="2"/>
        <v>0.02143029136</v>
      </c>
      <c r="J271" s="60">
        <f t="shared" si="3"/>
        <v>2143.029136</v>
      </c>
      <c r="K271" s="42"/>
      <c r="L271" s="42"/>
      <c r="M271" s="68">
        <f t="shared" si="4"/>
        <v>-1</v>
      </c>
      <c r="N271" s="68">
        <f t="shared" si="5"/>
        <v>-1</v>
      </c>
      <c r="O271" s="68">
        <v>0.181555502047</v>
      </c>
      <c r="P271" s="23">
        <v>46258</v>
      </c>
      <c r="Q271" s="68">
        <v>0.177359386547</v>
      </c>
      <c r="R271" s="68">
        <v>0.5101</v>
      </c>
      <c r="S271" s="23">
        <v>46203</v>
      </c>
      <c r="T271" s="23">
        <v>46237</v>
      </c>
      <c r="U271" s="39">
        <v>415.3</v>
      </c>
      <c r="V271" s="39">
        <v>395.786666667</v>
      </c>
      <c r="W271" t="inlineStr">
        <is>
          <t>Above 75 DMA</t>
        </is>
      </c>
    </row>
    <row r="272">
      <c r="A272" s="23">
        <v>46237.0</v>
      </c>
      <c r="B272" s="25" t="str">
        <f t="shared" si="6"/>
        <v>Monday</v>
      </c>
      <c r="C272" s="25" t="s">
        <v>156</v>
      </c>
      <c r="D272" s="31">
        <f>IFERROR(__xludf.DUMMYFUNCTION("GOOGLEFINANCE(""NSE:""&amp;UPPER(TRIM(E272)),""marketcap"")/10000000"),113454.96984)</f>
        <v>113454.9698</v>
      </c>
      <c r="E272" s="7" t="s">
        <v>548</v>
      </c>
      <c r="F272" s="39">
        <f>IFERROR(__xludf.DUMMYFUNCTION("IF(OR(E272="""",A272=""""),"""",
 IF(
   DATE(VALUE(RIGHT(A272,4)),VALUE(MID(A272,4,2)),VALUE(LEFT(A272,2)))&gt;=TODAY(),
   IFERROR(
     GOOGLEFINANCE(""NSE:""&amp;UPPER(TRIM(E272)),""price""),
     ""Not Available""
   ),
   IFERROR(
     INDEX(
       GOOGLE"&amp;"FINANCE(
         ""NSE:""&amp;UPPER(TRIM(E272)),
         ""close"",
         DATE(VALUE(RIGHT(A272,4)),VALUE(MID(A272,4,2)),VALUE(LEFT(A272,2))),
         DATE(VALUE(RIGHT(A272,4)),VALUE(MID(A272,4,2)),VALUE(LEFT(A272,2)))+1
       ),
       2,2
     ),
   "&amp;"  ""Not Available""
   )
 ))"),2890.9)</f>
        <v>2890.9</v>
      </c>
      <c r="G272" s="42">
        <f>IFERROR(__xludf.DUMMYFUNCTION("IF(E272="""","""",IFERROR(GOOGLEFINANCE(""NSE:""&amp;UPPER(TRIM(E272)),""price""),""Not Available""))"),2826.0)</f>
        <v>2826</v>
      </c>
      <c r="H272" s="53">
        <f t="shared" si="1"/>
        <v>52</v>
      </c>
      <c r="I272" s="58">
        <f t="shared" si="2"/>
        <v>-0.02244975613</v>
      </c>
      <c r="J272" s="60">
        <f t="shared" si="3"/>
        <v>-2244.975613</v>
      </c>
      <c r="K272" s="42"/>
      <c r="L272" s="42"/>
      <c r="M272" s="68">
        <f t="shared" si="4"/>
        <v>-1</v>
      </c>
      <c r="N272" s="68">
        <f t="shared" si="5"/>
        <v>-1</v>
      </c>
      <c r="O272" s="68">
        <v>0.123006676122</v>
      </c>
      <c r="P272" s="23">
        <v>46261</v>
      </c>
      <c r="R272" s="68">
        <v>0.7335</v>
      </c>
      <c r="S272" s="23">
        <v>46203</v>
      </c>
      <c r="T272" s="23">
        <v>46237</v>
      </c>
      <c r="U272" s="39">
        <v>2890.9</v>
      </c>
      <c r="V272" s="39">
        <v>3216.13733333</v>
      </c>
      <c r="W272" t="inlineStr">
        <is>
          <t>Below 75 DMA</t>
        </is>
      </c>
    </row>
    <row r="273">
      <c r="A273" s="23">
        <v>46237.0</v>
      </c>
      <c r="B273" s="25" t="str">
        <f t="shared" si="6"/>
        <v>Monday</v>
      </c>
      <c r="C273" s="25" t="s">
        <v>156</v>
      </c>
      <c r="D273" s="31">
        <f>IFERROR(__xludf.DUMMYFUNCTION("GOOGLEFINANCE(""NSE:""&amp;UPPER(TRIM(E273)),""marketcap"")/10000000"),12545.9246884)</f>
        <v>12545.92469</v>
      </c>
      <c r="E273" s="7" t="s">
        <v>486</v>
      </c>
      <c r="F273" s="39">
        <f>IFERROR(__xludf.DUMMYFUNCTION("IF(OR(E273="""",A273=""""),"""",
 IF(
   DATE(VALUE(RIGHT(A273,4)),VALUE(MID(A273,4,2)),VALUE(LEFT(A273,2)))&gt;=TODAY(),
   IFERROR(
     GOOGLEFINANCE(""NSE:""&amp;UPPER(TRIM(E273)),""price""),
     ""Not Available""
   ),
   IFERROR(
     INDEX(
       GOOGLE"&amp;"FINANCE(
         ""NSE:""&amp;UPPER(TRIM(E273)),
         ""close"",
         DATE(VALUE(RIGHT(A273,4)),VALUE(MID(A273,4,2)),VALUE(LEFT(A273,2))),
         DATE(VALUE(RIGHT(A273,4)),VALUE(MID(A273,4,2)),VALUE(LEFT(A273,2)))+1
       ),
       2,2
     ),
   "&amp;"  ""Not Available""
   )
 ))"),43.37)</f>
        <v>43.37</v>
      </c>
      <c r="G273" s="42">
        <f>IFERROR(__xludf.DUMMYFUNCTION("IF(E273="""","""",IFERROR(GOOGLEFINANCE(""NSE:""&amp;UPPER(TRIM(E273)),""price""),""Not Available""))"),42.81)</f>
        <v>42.81</v>
      </c>
      <c r="H273" s="53">
        <f t="shared" si="1"/>
        <v>52</v>
      </c>
      <c r="I273" s="58">
        <f t="shared" si="2"/>
        <v>-0.01291215126</v>
      </c>
      <c r="J273" s="60">
        <f t="shared" si="3"/>
        <v>-1291.215126</v>
      </c>
      <c r="K273" s="42"/>
      <c r="L273" s="42"/>
      <c r="M273" s="68">
        <f t="shared" si="4"/>
        <v>-1</v>
      </c>
      <c r="N273" s="68">
        <f t="shared" si="5"/>
        <v>-1</v>
      </c>
      <c r="O273" s="68">
        <v>0.139036200138</v>
      </c>
      <c r="P273" s="23">
        <v>46262</v>
      </c>
      <c r="Q273" s="68">
        <v>0.0305581665752</v>
      </c>
      <c r="R273" s="68">
        <v>0.6079</v>
      </c>
      <c r="S273" s="23">
        <v>46203</v>
      </c>
      <c r="T273" s="23">
        <v>46237</v>
      </c>
      <c r="U273" s="39">
        <v>43.37</v>
      </c>
      <c r="V273" s="39">
        <v>44.2869333333</v>
      </c>
      <c r="W273" t="inlineStr">
        <is>
          <t>Below 75 DMA</t>
        </is>
      </c>
    </row>
    <row r="274">
      <c r="A274" s="23">
        <v>46234.0</v>
      </c>
      <c r="B274" s="25" t="str">
        <f t="shared" si="6"/>
        <v>Friday</v>
      </c>
      <c r="C274" s="25" t="s">
        <v>347</v>
      </c>
      <c r="D274" s="31">
        <f>IFERROR(__xludf.DUMMYFUNCTION("GOOGLEFINANCE(""NSE:""&amp;UPPER(TRIM(E274)),""marketcap"")/10000000"),14631.5)</f>
        <v>14631.5</v>
      </c>
      <c r="E274" s="7" t="s">
        <v>102</v>
      </c>
      <c r="F274" s="39">
        <f>IFERROR(__xludf.DUMMYFUNCTION("IF(OR(E274="""",A274=""""),"""",
 IF(
   DATE(VALUE(RIGHT(A274,4)),VALUE(MID(A274,4,2)),VALUE(LEFT(A274,2)))&gt;=TODAY(),
   IFERROR(
     GOOGLEFINANCE(""NSE:""&amp;UPPER(TRIM(E274)),""price""),
     ""Not Available""
   ),
   IFERROR(
     INDEX(
       GOOGLE"&amp;"FINANCE(
         ""NSE:""&amp;UPPER(TRIM(E274)),
         ""close"",
         DATE(VALUE(RIGHT(A274,4)),VALUE(MID(A274,4,2)),VALUE(LEFT(A274,2))),
         DATE(VALUE(RIGHT(A274,4)),VALUE(MID(A274,4,2)),VALUE(LEFT(A274,2)))+1
       ),
       2,2
     ),
   "&amp;"  ""Not Available""
   )
 ))"),410.35)</f>
        <v>410.35</v>
      </c>
      <c r="G274" s="42">
        <f>IFERROR(__xludf.DUMMYFUNCTION("IF(E274="""","""",IFERROR(GOOGLEFINANCE(""NSE:""&amp;UPPER(TRIM(E274)),""price""),""Not Available""))"),424.2)</f>
        <v>424.2</v>
      </c>
      <c r="H274" s="53">
        <f t="shared" si="1"/>
        <v>55</v>
      </c>
      <c r="I274" s="58">
        <f t="shared" si="2"/>
        <v>0.0337516754</v>
      </c>
      <c r="J274" s="60">
        <f t="shared" si="3"/>
        <v>3375.16754</v>
      </c>
      <c r="K274" s="42"/>
      <c r="L274" s="42"/>
      <c r="M274" s="68">
        <f t="shared" si="4"/>
        <v>-1</v>
      </c>
      <c r="N274" s="68">
        <f t="shared" si="5"/>
        <v>-1</v>
      </c>
      <c r="O274" s="68">
        <v>0.195808456196</v>
      </c>
      <c r="P274" s="23">
        <v>46258</v>
      </c>
      <c r="Q274" s="68">
        <v>0.177359386547</v>
      </c>
      <c r="R274" s="68">
        <v>0.5101</v>
      </c>
      <c r="S274" s="23">
        <v>46203</v>
      </c>
      <c r="T274" s="23">
        <v>46234</v>
      </c>
      <c r="U274" s="39">
        <v>410.35</v>
      </c>
      <c r="V274" s="39">
        <v>395.741333333</v>
      </c>
      <c r="W274" t="inlineStr">
        <is>
          <t>Above 75 DMA</t>
        </is>
      </c>
    </row>
    <row r="275">
      <c r="A275" s="23">
        <v>46234.0</v>
      </c>
      <c r="B275" s="25" t="str">
        <f t="shared" si="6"/>
        <v>Friday</v>
      </c>
      <c r="C275" s="25" t="s">
        <v>347</v>
      </c>
      <c r="D275" s="31">
        <f>IFERROR(__xludf.DUMMYFUNCTION("GOOGLEFINANCE(""NSE:""&amp;UPPER(TRIM(E275)),""marketcap"")/10000000"),1239.0942055)</f>
        <v>1239.094206</v>
      </c>
      <c r="E275" s="7" t="s">
        <v>549</v>
      </c>
      <c r="F275" s="39">
        <f>IFERROR(__xludf.DUMMYFUNCTION("IF(OR(E275="""",A275=""""),"""",
 IF(
   DATE(VALUE(RIGHT(A275,4)),VALUE(MID(A275,4,2)),VALUE(LEFT(A275,2)))&gt;=TODAY(),
   IFERROR(
     GOOGLEFINANCE(""NSE:""&amp;UPPER(TRIM(E275)),""price""),
     ""Not Available""
   ),
   IFERROR(
     INDEX(
       GOOGLE"&amp;"FINANCE(
         ""NSE:""&amp;UPPER(TRIM(E275)),
         ""close"",
         DATE(VALUE(RIGHT(A275,4)),VALUE(MID(A275,4,2)),VALUE(LEFT(A275,2))),
         DATE(VALUE(RIGHT(A275,4)),VALUE(MID(A275,4,2)),VALUE(LEFT(A275,2)))+1
       ),
       2,2
     ),
   "&amp;"  ""Not Available""
   )
 ))"),515.45)</f>
        <v>515.45</v>
      </c>
      <c r="G275" s="42">
        <f>IFERROR(__xludf.DUMMYFUNCTION("IF(E275="""","""",IFERROR(GOOGLEFINANCE(""NSE:""&amp;UPPER(TRIM(E275)),""price""),""Not Available""))"),447.0)</f>
        <v>447</v>
      </c>
      <c r="H275" s="53">
        <f t="shared" si="1"/>
        <v>55</v>
      </c>
      <c r="I275" s="58">
        <f t="shared" si="2"/>
        <v>-0.1327965855</v>
      </c>
      <c r="J275" s="60">
        <f t="shared" si="3"/>
        <v>-13279.65855</v>
      </c>
      <c r="K275" s="42"/>
      <c r="L275" s="42"/>
      <c r="M275" s="68">
        <f t="shared" si="4"/>
        <v>-1</v>
      </c>
      <c r="N275" s="68">
        <f t="shared" si="5"/>
        <v>-1</v>
      </c>
      <c r="O275" s="68">
        <v>0.157338248133</v>
      </c>
      <c r="P275" s="23">
        <v>46239</v>
      </c>
      <c r="R275" s="68">
        <v>0.427</v>
      </c>
      <c r="S275" s="23">
        <v>46203</v>
      </c>
      <c r="T275" s="23">
        <v>46234</v>
      </c>
      <c r="U275" s="39">
        <v>515.45</v>
      </c>
      <c r="V275" s="39">
        <v>481.082</v>
      </c>
      <c r="W275" t="inlineStr">
        <is>
          <t>Above 75 DMA</t>
        </is>
      </c>
    </row>
    <row r="276">
      <c r="A276" s="23">
        <v>46234.0</v>
      </c>
      <c r="B276" s="25" t="str">
        <f t="shared" si="6"/>
        <v>Friday</v>
      </c>
      <c r="C276" s="25" t="s">
        <v>347</v>
      </c>
      <c r="D276" s="31">
        <f>IFERROR(__xludf.DUMMYFUNCTION("GOOGLEFINANCE(""NSE:""&amp;UPPER(TRIM(E276)),""marketcap"")/10000000"),4846.20344)</f>
        <v>4846.20344</v>
      </c>
      <c r="E276" s="7" t="s">
        <v>520</v>
      </c>
      <c r="F276" s="39">
        <f>IFERROR(__xludf.DUMMYFUNCTION("IF(OR(E276="""",A276=""""),"""",
 IF(
   DATE(VALUE(RIGHT(A276,4)),VALUE(MID(A276,4,2)),VALUE(LEFT(A276,2)))&gt;=TODAY(),
   IFERROR(
     GOOGLEFINANCE(""NSE:""&amp;UPPER(TRIM(E276)),""price""),
     ""Not Available""
   ),
   IFERROR(
     INDEX(
       GOOGLE"&amp;"FINANCE(
         ""NSE:""&amp;UPPER(TRIM(E276)),
         ""close"",
         DATE(VALUE(RIGHT(A276,4)),VALUE(MID(A276,4,2)),VALUE(LEFT(A276,2))),
         DATE(VALUE(RIGHT(A276,4)),VALUE(MID(A276,4,2)),VALUE(LEFT(A276,2)))+1
       ),
       2,2
     ),
   "&amp;"  ""Not Available""
   )
 ))"),104.27)</f>
        <v>104.27</v>
      </c>
      <c r="G276" s="42">
        <f>IFERROR(__xludf.DUMMYFUNCTION("IF(E276="""","""",IFERROR(GOOGLEFINANCE(""NSE:""&amp;UPPER(TRIM(E276)),""price""),""Not Available""))"),104.0)</f>
        <v>104</v>
      </c>
      <c r="H276" s="53">
        <f t="shared" si="1"/>
        <v>55</v>
      </c>
      <c r="I276" s="58">
        <f t="shared" si="2"/>
        <v>-0.002589431284</v>
      </c>
      <c r="J276" s="60">
        <f t="shared" si="3"/>
        <v>-258.9431284</v>
      </c>
      <c r="K276" s="42"/>
      <c r="L276" s="42"/>
      <c r="M276" s="68">
        <f t="shared" si="4"/>
        <v>-1</v>
      </c>
      <c r="N276" s="68">
        <f t="shared" si="5"/>
        <v>-1</v>
      </c>
      <c r="O276" s="68">
        <v>0.159202071545</v>
      </c>
      <c r="P276" s="23">
        <v>46258</v>
      </c>
      <c r="R276" s="68">
        <v>0.6477</v>
      </c>
      <c r="S276" s="23">
        <v>46203</v>
      </c>
      <c r="T276" s="23">
        <v>46234</v>
      </c>
      <c r="U276" s="39">
        <v>104.27</v>
      </c>
      <c r="V276" s="39">
        <v>101.4604</v>
      </c>
      <c r="W276" t="inlineStr">
        <is>
          <t>Above 75 DMA</t>
        </is>
      </c>
    </row>
    <row r="277">
      <c r="A277" s="23">
        <v>46234.0</v>
      </c>
      <c r="B277" s="25" t="str">
        <f t="shared" si="6"/>
        <v>Friday</v>
      </c>
      <c r="C277" s="25" t="s">
        <v>347</v>
      </c>
      <c r="D277" s="31">
        <f>IFERROR(__xludf.DUMMYFUNCTION("GOOGLEFINANCE(""NSE:""&amp;UPPER(TRIM(E277)),""marketcap"")/10000000"),15472.5529422)</f>
        <v>15472.55294</v>
      </c>
      <c r="E277" s="7" t="s">
        <v>139</v>
      </c>
      <c r="F277" s="39">
        <f>IFERROR(__xludf.DUMMYFUNCTION("IF(OR(E277="""",A277=""""),"""",
 IF(
   DATE(VALUE(RIGHT(A277,4)),VALUE(MID(A277,4,2)),VALUE(LEFT(A277,2)))&gt;=TODAY(),
   IFERROR(
     GOOGLEFINANCE(""NSE:""&amp;UPPER(TRIM(E277)),""price""),
     ""Not Available""
   ),
   IFERROR(
     INDEX(
       GOOGLE"&amp;"FINANCE(
         ""NSE:""&amp;UPPER(TRIM(E277)),
         ""close"",
         DATE(VALUE(RIGHT(A277,4)),VALUE(MID(A277,4,2)),VALUE(LEFT(A277,2))),
         DATE(VALUE(RIGHT(A277,4)),VALUE(MID(A277,4,2)),VALUE(LEFT(A277,2)))+1
       ),
       2,2
     ),
   "&amp;"  ""Not Available""
   )
 ))"),1807.9)</f>
        <v>1807.9</v>
      </c>
      <c r="G277" s="42">
        <f>IFERROR(__xludf.DUMMYFUNCTION("IF(E277="""","""",IFERROR(GOOGLEFINANCE(""NSE:""&amp;UPPER(TRIM(E277)),""price""),""Not Available""))"),2313.3)</f>
        <v>2313.3</v>
      </c>
      <c r="H277" s="53">
        <f t="shared" si="1"/>
        <v>55</v>
      </c>
      <c r="I277" s="58">
        <f t="shared" si="2"/>
        <v>0.2795508601</v>
      </c>
      <c r="J277" s="60">
        <f t="shared" si="3"/>
        <v>27955.08601</v>
      </c>
      <c r="K277" s="7">
        <v>1439.0</v>
      </c>
      <c r="L277" s="7">
        <v>1136.0</v>
      </c>
      <c r="M277" s="68">
        <f t="shared" si="4"/>
        <v>-0.2040488965</v>
      </c>
      <c r="N277" s="68">
        <f t="shared" si="5"/>
        <v>-0.3716466619</v>
      </c>
      <c r="O277" s="68">
        <v>0.448088942973</v>
      </c>
      <c r="P277" s="23">
        <v>46283</v>
      </c>
      <c r="Q277" s="68">
        <v>0.195415283547</v>
      </c>
      <c r="R277" s="68">
        <v>0.4439</v>
      </c>
      <c r="S277" s="23">
        <v>46203</v>
      </c>
      <c r="T277" s="23">
        <v>46234</v>
      </c>
      <c r="U277" s="39">
        <v>1807.9</v>
      </c>
      <c r="V277" s="39">
        <v>1512.82266667</v>
      </c>
      <c r="W277" t="inlineStr">
        <is>
          <t>Above 75 DMA</t>
        </is>
      </c>
    </row>
    <row r="278">
      <c r="A278" s="23">
        <v>46234.0</v>
      </c>
      <c r="B278" s="25" t="str">
        <f t="shared" si="6"/>
        <v>Friday</v>
      </c>
      <c r="C278" s="25" t="s">
        <v>347</v>
      </c>
      <c r="D278" s="31">
        <f>IFERROR(__xludf.DUMMYFUNCTION("GOOGLEFINANCE(""NSE:""&amp;UPPER(TRIM(E278)),""marketcap"")/10000000"),316.8613617)</f>
        <v>316.8613617</v>
      </c>
      <c r="E278" s="7" t="s">
        <v>550</v>
      </c>
      <c r="F278" s="39">
        <f>IFERROR(__xludf.DUMMYFUNCTION("IF(OR(E278="""",A278=""""),"""",
 IF(
   DATE(VALUE(RIGHT(A278,4)),VALUE(MID(A278,4,2)),VALUE(LEFT(A278,2)))&gt;=TODAY(),
   IFERROR(
     GOOGLEFINANCE(""NSE:""&amp;UPPER(TRIM(E278)),""price""),
     ""Not Available""
   ),
   IFERROR(
     INDEX(
       GOOGLE"&amp;"FINANCE(
         ""NSE:""&amp;UPPER(TRIM(E278)),
         ""close"",
         DATE(VALUE(RIGHT(A278,4)),VALUE(MID(A278,4,2)),VALUE(LEFT(A278,2))),
         DATE(VALUE(RIGHT(A278,4)),VALUE(MID(A278,4,2)),VALUE(LEFT(A278,2)))+1
       ),
       2,2
     ),
   "&amp;"  ""Not Available""
   )
 ))"),247.11)</f>
        <v>247.11</v>
      </c>
      <c r="G278" s="42">
        <f>IFERROR(__xludf.DUMMYFUNCTION("IF(E278="""","""",IFERROR(GOOGLEFINANCE(""NSE:""&amp;UPPER(TRIM(E278)),""price""),""Not Available""))"),254.75)</f>
        <v>254.75</v>
      </c>
      <c r="H278" s="53">
        <f t="shared" si="1"/>
        <v>55</v>
      </c>
      <c r="I278" s="58">
        <f t="shared" si="2"/>
        <v>0.0309174052</v>
      </c>
      <c r="J278" s="60">
        <f t="shared" si="3"/>
        <v>3091.74052</v>
      </c>
      <c r="K278" s="42"/>
      <c r="L278" s="42"/>
      <c r="M278" s="68">
        <f t="shared" si="4"/>
        <v>-1</v>
      </c>
      <c r="N278" s="68">
        <f t="shared" si="5"/>
        <v>-1</v>
      </c>
      <c r="O278" s="68">
        <v>0.290923070697</v>
      </c>
      <c r="P278" s="23">
        <v>46251</v>
      </c>
      <c r="R278" s="68">
        <v>0.7369</v>
      </c>
      <c r="S278" s="23">
        <v>46203</v>
      </c>
      <c r="T278" s="23">
        <v>46234</v>
      </c>
      <c r="U278" s="39">
        <v>247.11</v>
      </c>
      <c r="V278" s="39">
        <v>236.840133333</v>
      </c>
      <c r="W278" t="inlineStr">
        <is>
          <t>Above 75 DMA</t>
        </is>
      </c>
    </row>
    <row r="279">
      <c r="A279" s="23">
        <v>46234.0</v>
      </c>
      <c r="B279" s="25" t="str">
        <f t="shared" si="6"/>
        <v>Friday</v>
      </c>
      <c r="C279" s="25" t="s">
        <v>347</v>
      </c>
      <c r="D279" s="31">
        <f>IFERROR(__xludf.DUMMYFUNCTION("GOOGLEFINANCE(""NSE:""&amp;UPPER(TRIM(E279)),""marketcap"")/10000000"),12331.627195)</f>
        <v>12331.6272</v>
      </c>
      <c r="E279" s="7" t="s">
        <v>523</v>
      </c>
      <c r="F279" s="39">
        <f>IFERROR(__xludf.DUMMYFUNCTION("IF(OR(E279="""",A279=""""),"""",
 IF(
   DATE(VALUE(RIGHT(A279,4)),VALUE(MID(A279,4,2)),VALUE(LEFT(A279,2)))&gt;=TODAY(),
   IFERROR(
     GOOGLEFINANCE(""NSE:""&amp;UPPER(TRIM(E279)),""price""),
     ""Not Available""
   ),
   IFERROR(
     INDEX(
       GOOGLE"&amp;"FINANCE(
         ""NSE:""&amp;UPPER(TRIM(E279)),
         ""close"",
         DATE(VALUE(RIGHT(A279,4)),VALUE(MID(A279,4,2)),VALUE(LEFT(A279,2))),
         DATE(VALUE(RIGHT(A279,4)),VALUE(MID(A279,4,2)),VALUE(LEFT(A279,2)))+1
       ),
       2,2
     ),
   "&amp;"  ""Not Available""
   )
 ))"),292.65)</f>
        <v>292.65</v>
      </c>
      <c r="G279" s="42">
        <f>IFERROR(__xludf.DUMMYFUNCTION("IF(E279="""","""",IFERROR(GOOGLEFINANCE(""NSE:""&amp;UPPER(TRIM(E279)),""price""),""Not Available""))"),285.5)</f>
        <v>285.5</v>
      </c>
      <c r="H279" s="53">
        <f t="shared" si="1"/>
        <v>55</v>
      </c>
      <c r="I279" s="58">
        <f t="shared" si="2"/>
        <v>-0.02443191526</v>
      </c>
      <c r="J279" s="60">
        <f t="shared" si="3"/>
        <v>-2443.191526</v>
      </c>
      <c r="K279" s="42"/>
      <c r="L279" s="42"/>
      <c r="M279" s="68">
        <f t="shared" si="4"/>
        <v>-1</v>
      </c>
      <c r="N279" s="68">
        <f t="shared" si="5"/>
        <v>-1</v>
      </c>
      <c r="O279" s="68">
        <v>0.0346830685119</v>
      </c>
      <c r="P279" s="23">
        <v>46237</v>
      </c>
      <c r="R279" s="68">
        <v>0.8289</v>
      </c>
      <c r="S279" s="23">
        <v>46203</v>
      </c>
      <c r="T279" s="23">
        <v>46234</v>
      </c>
      <c r="U279" s="39">
        <v>292.65</v>
      </c>
      <c r="V279" s="39">
        <v>266.611466667</v>
      </c>
      <c r="W279" t="inlineStr">
        <is>
          <t>Above 75 DMA</t>
        </is>
      </c>
    </row>
    <row r="280">
      <c r="A280" s="23">
        <v>46234.0</v>
      </c>
      <c r="B280" s="25" t="str">
        <f t="shared" si="6"/>
        <v>Friday</v>
      </c>
      <c r="C280" s="25" t="s">
        <v>347</v>
      </c>
      <c r="D280" s="31">
        <f>IFERROR(__xludf.DUMMYFUNCTION("GOOGLEFINANCE(""NSE:""&amp;UPPER(TRIM(E280)),""marketcap"")/10000000"),20672.6464925)</f>
        <v>20672.64649</v>
      </c>
      <c r="E280" s="7" t="s">
        <v>518</v>
      </c>
      <c r="F280" s="39">
        <f>IFERROR(__xludf.DUMMYFUNCTION("IF(OR(E280="""",A280=""""),"""",
 IF(
   DATE(VALUE(RIGHT(A280,4)),VALUE(MID(A280,4,2)),VALUE(LEFT(A280,2)))&gt;=TODAY(),
   IFERROR(
     GOOGLEFINANCE(""NSE:""&amp;UPPER(TRIM(E280)),""price""),
     ""Not Available""
   ),
   IFERROR(
     INDEX(
       GOOGLE"&amp;"FINANCE(
         ""NSE:""&amp;UPPER(TRIM(E280)),
         ""close"",
         DATE(VALUE(RIGHT(A280,4)),VALUE(MID(A280,4,2)),VALUE(LEFT(A280,2))),
         DATE(VALUE(RIGHT(A280,4)),VALUE(MID(A280,4,2)),VALUE(LEFT(A280,2)))+1
       ),
       2,2
     ),
   "&amp;"  ""Not Available""
   )
 ))"),365.55)</f>
        <v>365.55</v>
      </c>
      <c r="G280" s="42">
        <f>IFERROR(__xludf.DUMMYFUNCTION("IF(E280="""","""",IFERROR(GOOGLEFINANCE(""NSE:""&amp;UPPER(TRIM(E280)),""price""),""Not Available""))"),340.15)</f>
        <v>340.15</v>
      </c>
      <c r="H280" s="53">
        <f t="shared" si="1"/>
        <v>55</v>
      </c>
      <c r="I280" s="58">
        <f t="shared" si="2"/>
        <v>-0.06948433867</v>
      </c>
      <c r="J280" s="60">
        <f t="shared" si="3"/>
        <v>-6948.433867</v>
      </c>
      <c r="K280" s="42"/>
      <c r="L280" s="42"/>
      <c r="M280" s="68">
        <f t="shared" si="4"/>
        <v>-1</v>
      </c>
      <c r="N280" s="68">
        <f t="shared" si="5"/>
        <v>-1</v>
      </c>
      <c r="O280" s="68">
        <v>0.123512515388</v>
      </c>
      <c r="P280" s="23">
        <v>46237</v>
      </c>
      <c r="T280" s="23">
        <v>46234</v>
      </c>
      <c r="U280" s="39">
        <v>365.55</v>
      </c>
      <c r="V280" s="39">
        <v>390.195333333</v>
      </c>
      <c r="W280" t="inlineStr">
        <is>
          <t>Below 75 DMA</t>
        </is>
      </c>
    </row>
    <row r="281">
      <c r="A281" s="23">
        <v>46234.0</v>
      </c>
      <c r="B281" s="25" t="str">
        <f t="shared" si="6"/>
        <v>Friday</v>
      </c>
      <c r="C281" s="25" t="s">
        <v>347</v>
      </c>
      <c r="D281" s="31">
        <f>IFERROR(__xludf.DUMMYFUNCTION("GOOGLEFINANCE(""NSE:""&amp;UPPER(TRIM(E281)),""marketcap"")/10000000"),2334.7520426)</f>
        <v>2334.752043</v>
      </c>
      <c r="E281" s="7" t="s">
        <v>519</v>
      </c>
      <c r="F281" s="39">
        <f>IFERROR(__xludf.DUMMYFUNCTION("IF(OR(E281="""",A281=""""),"""",
 IF(
   DATE(VALUE(RIGHT(A281,4)),VALUE(MID(A281,4,2)),VALUE(LEFT(A281,2)))&gt;=TODAY(),
   IFERROR(
     GOOGLEFINANCE(""NSE:""&amp;UPPER(TRIM(E281)),""price""),
     ""Not Available""
   ),
   IFERROR(
     INDEX(
       GOOGLE"&amp;"FINANCE(
         ""NSE:""&amp;UPPER(TRIM(E281)),
         ""close"",
         DATE(VALUE(RIGHT(A281,4)),VALUE(MID(A281,4,2)),VALUE(LEFT(A281,2))),
         DATE(VALUE(RIGHT(A281,4)),VALUE(MID(A281,4,2)),VALUE(LEFT(A281,2)))+1
       ),
       2,2
     ),
   "&amp;"  ""Not Available""
   )
 ))"),420.45)</f>
        <v>420.45</v>
      </c>
      <c r="G281" s="42">
        <f>IFERROR(__xludf.DUMMYFUNCTION("IF(E281="""","""",IFERROR(GOOGLEFINANCE(""NSE:""&amp;UPPER(TRIM(E281)),""price""),""Not Available""))"),411.1)</f>
        <v>411.1</v>
      </c>
      <c r="H281" s="53">
        <f t="shared" si="1"/>
        <v>55</v>
      </c>
      <c r="I281" s="58">
        <f t="shared" si="2"/>
        <v>-0.02223807825</v>
      </c>
      <c r="J281" s="60">
        <f t="shared" si="3"/>
        <v>-2223.807825</v>
      </c>
      <c r="K281" s="42"/>
      <c r="L281" s="42"/>
      <c r="M281" s="68">
        <f t="shared" si="4"/>
        <v>-1</v>
      </c>
      <c r="N281" s="68">
        <f t="shared" si="5"/>
        <v>-1</v>
      </c>
      <c r="O281" s="68">
        <v>0.0893090736116</v>
      </c>
      <c r="P281" s="23">
        <v>46244</v>
      </c>
      <c r="R281" s="68">
        <v>0.6519</v>
      </c>
      <c r="S281" s="23">
        <v>46203</v>
      </c>
      <c r="T281" s="23">
        <v>46234</v>
      </c>
      <c r="U281" s="39">
        <v>420.45</v>
      </c>
      <c r="V281" s="39">
        <v>415.881333333</v>
      </c>
      <c r="W281" t="inlineStr">
        <is>
          <t>Above 75 DMA</t>
        </is>
      </c>
    </row>
    <row r="282">
      <c r="A282" s="23">
        <v>46234.0</v>
      </c>
      <c r="B282" s="25" t="str">
        <f t="shared" si="6"/>
        <v>Friday</v>
      </c>
      <c r="C282" s="25" t="s">
        <v>347</v>
      </c>
      <c r="D282" s="31">
        <f>IFERROR(__xludf.DUMMYFUNCTION("GOOGLEFINANCE(""NSE:""&amp;UPPER(TRIM(E282)),""marketcap"")/10000000"),3268.3485636)</f>
        <v>3268.348564</v>
      </c>
      <c r="E282" s="7" t="s">
        <v>551</v>
      </c>
      <c r="F282" s="39">
        <f>IFERROR(__xludf.DUMMYFUNCTION("IF(OR(E282="""",A282=""""),"""",
 IF(
   DATE(VALUE(RIGHT(A282,4)),VALUE(MID(A282,4,2)),VALUE(LEFT(A282,2)))&gt;=TODAY(),
   IFERROR(
     GOOGLEFINANCE(""NSE:""&amp;UPPER(TRIM(E282)),""price""),
     ""Not Available""
   ),
   IFERROR(
     INDEX(
       GOOGLE"&amp;"FINANCE(
         ""NSE:""&amp;UPPER(TRIM(E282)),
         ""close"",
         DATE(VALUE(RIGHT(A282,4)),VALUE(MID(A282,4,2)),VALUE(LEFT(A282,2))),
         DATE(VALUE(RIGHT(A282,4)),VALUE(MID(A282,4,2)),VALUE(LEFT(A282,2)))+1
       ),
       2,2
     ),
   "&amp;"  ""Not Available""
   )
 ))"),1985.9)</f>
        <v>1985.9</v>
      </c>
      <c r="G282" s="42">
        <f>IFERROR(__xludf.DUMMYFUNCTION("IF(E282="""","""",IFERROR(GOOGLEFINANCE(""NSE:""&amp;UPPER(TRIM(E282)),""price""),""Not Available""))"),2757.9)</f>
        <v>2757.9</v>
      </c>
      <c r="H282" s="53">
        <f t="shared" si="1"/>
        <v>55</v>
      </c>
      <c r="I282" s="58">
        <f t="shared" si="2"/>
        <v>0.3887406214</v>
      </c>
      <c r="J282" s="60">
        <f t="shared" si="3"/>
        <v>38874.06214</v>
      </c>
      <c r="K282" s="7">
        <v>2168.0</v>
      </c>
      <c r="L282" s="7">
        <v>742.0</v>
      </c>
      <c r="M282" s="68">
        <f t="shared" si="4"/>
        <v>0.09169646004</v>
      </c>
      <c r="N282" s="68">
        <f t="shared" si="5"/>
        <v>-0.6263658795</v>
      </c>
      <c r="O282" s="68">
        <v>0.486781811773</v>
      </c>
      <c r="P282" s="23">
        <v>46272</v>
      </c>
      <c r="Q282" s="68">
        <v>0.0814461861284</v>
      </c>
      <c r="R282" s="68">
        <v>0.4354</v>
      </c>
      <c r="S282" s="23">
        <v>46203</v>
      </c>
      <c r="T282" s="23">
        <v>46234</v>
      </c>
      <c r="U282" s="39">
        <v>1985.9</v>
      </c>
      <c r="V282" s="39">
        <v>1835.784</v>
      </c>
      <c r="W282" t="inlineStr">
        <is>
          <t>Above 75 DMA</t>
        </is>
      </c>
    </row>
    <row r="283">
      <c r="A283" s="23">
        <v>46234.0</v>
      </c>
      <c r="B283" s="25" t="str">
        <f t="shared" si="6"/>
        <v>Friday</v>
      </c>
      <c r="C283" s="25" t="s">
        <v>347</v>
      </c>
      <c r="D283" s="31">
        <f>IFERROR(__xludf.DUMMYFUNCTION("GOOGLEFINANCE(""NSE:""&amp;UPPER(TRIM(E283)),""marketcap"")/10000000"),6376.0045582)</f>
        <v>6376.004558</v>
      </c>
      <c r="E283" s="7" t="s">
        <v>525</v>
      </c>
      <c r="F283" s="39">
        <f>IFERROR(__xludf.DUMMYFUNCTION("IF(OR(E283="""",A283=""""),"""",
 IF(
   DATE(VALUE(RIGHT(A283,4)),VALUE(MID(A283,4,2)),VALUE(LEFT(A283,2)))&gt;=TODAY(),
   IFERROR(
     GOOGLEFINANCE(""NSE:""&amp;UPPER(TRIM(E283)),""price""),
     ""Not Available""
   ),
   IFERROR(
     INDEX(
       GOOGLE"&amp;"FINANCE(
         ""NSE:""&amp;UPPER(TRIM(E283)),
         ""close"",
         DATE(VALUE(RIGHT(A283,4)),VALUE(MID(A283,4,2)),VALUE(LEFT(A283,2))),
         DATE(VALUE(RIGHT(A283,4)),VALUE(MID(A283,4,2)),VALUE(LEFT(A283,2)))+1
       ),
       2,2
     ),
   "&amp;"  ""Not Available""
   )
 ))"),586.15)</f>
        <v>586.15</v>
      </c>
      <c r="G283" s="42">
        <f>IFERROR(__xludf.DUMMYFUNCTION("IF(E283="""","""",IFERROR(GOOGLEFINANCE(""NSE:""&amp;UPPER(TRIM(E283)),""price""),""Not Available""))"),513.5)</f>
        <v>513.5</v>
      </c>
      <c r="H283" s="53">
        <f t="shared" si="1"/>
        <v>55</v>
      </c>
      <c r="I283" s="58">
        <f t="shared" si="2"/>
        <v>-0.1239443828</v>
      </c>
      <c r="J283" s="60">
        <f t="shared" si="3"/>
        <v>-12394.43828</v>
      </c>
      <c r="K283" s="42"/>
      <c r="L283" s="42"/>
      <c r="M283" s="68">
        <f t="shared" si="4"/>
        <v>-1</v>
      </c>
      <c r="N283" s="68">
        <f t="shared" si="5"/>
        <v>-1</v>
      </c>
      <c r="O283" s="68">
        <v>0.0446984560266</v>
      </c>
      <c r="P283" s="23">
        <v>46241</v>
      </c>
      <c r="R283" s="68">
        <v>0.6362</v>
      </c>
      <c r="S283" s="23">
        <v>46203</v>
      </c>
      <c r="T283" s="23">
        <v>46234</v>
      </c>
      <c r="U283" s="39">
        <v>586.15</v>
      </c>
      <c r="V283" s="39">
        <v>622.449333333</v>
      </c>
      <c r="W283" t="inlineStr">
        <is>
          <t>Below 75 DMA</t>
        </is>
      </c>
    </row>
    <row r="284">
      <c r="A284" s="23">
        <v>46234.0</v>
      </c>
      <c r="B284" s="25" t="str">
        <f t="shared" si="6"/>
        <v>Friday</v>
      </c>
      <c r="C284" s="25" t="s">
        <v>347</v>
      </c>
      <c r="D284" s="31">
        <f>IFERROR(__xludf.DUMMYFUNCTION("GOOGLEFINANCE(""NSE:""&amp;UPPER(TRIM(E284)),""marketcap"")/10000000"),22590.89083)</f>
        <v>22590.89083</v>
      </c>
      <c r="E284" s="7" t="s">
        <v>524</v>
      </c>
      <c r="F284" s="39">
        <f>IFERROR(__xludf.DUMMYFUNCTION("IF(OR(E284="""",A284=""""),"""",
 IF(
   DATE(VALUE(RIGHT(A284,4)),VALUE(MID(A284,4,2)),VALUE(LEFT(A284,2)))&gt;=TODAY(),
   IFERROR(
     GOOGLEFINANCE(""NSE:""&amp;UPPER(TRIM(E284)),""price""),
     ""Not Available""
   ),
   IFERROR(
     INDEX(
       GOOGLE"&amp;"FINANCE(
         ""NSE:""&amp;UPPER(TRIM(E284)),
         ""close"",
         DATE(VALUE(RIGHT(A284,4)),VALUE(MID(A284,4,2)),VALUE(LEFT(A284,2))),
         DATE(VALUE(RIGHT(A284,4)),VALUE(MID(A284,4,2)),VALUE(LEFT(A284,2)))+1
       ),
       2,2
     ),
   "&amp;"  ""Not Available""
   )
 ))"),17902.0)</f>
        <v>17902</v>
      </c>
      <c r="G284" s="42">
        <f>IFERROR(__xludf.DUMMYFUNCTION("IF(E284="""","""",IFERROR(GOOGLEFINANCE(""NSE:""&amp;UPPER(TRIM(E284)),""price""),""Not Available""))"),17158.0)</f>
        <v>17158</v>
      </c>
      <c r="H284" s="53">
        <f t="shared" si="1"/>
        <v>55</v>
      </c>
      <c r="I284" s="58">
        <f t="shared" si="2"/>
        <v>-0.04155960228</v>
      </c>
      <c r="J284" s="60">
        <f t="shared" si="3"/>
        <v>-4155.960228</v>
      </c>
      <c r="K284" s="42"/>
      <c r="L284" s="42"/>
      <c r="M284" s="68">
        <f t="shared" si="4"/>
        <v>-1</v>
      </c>
      <c r="N284" s="68">
        <f t="shared" si="5"/>
        <v>-1</v>
      </c>
      <c r="O284" s="68">
        <v>0.0863590660261</v>
      </c>
      <c r="P284" s="23">
        <v>46247</v>
      </c>
      <c r="R284" s="68">
        <v>0.6163</v>
      </c>
      <c r="S284" s="23">
        <v>46203</v>
      </c>
      <c r="T284" s="23">
        <v>46234</v>
      </c>
      <c r="U284" s="39">
        <v>17902</v>
      </c>
      <c r="V284" s="39">
        <v>19040.0266667</v>
      </c>
      <c r="W284" t="inlineStr">
        <is>
          <t>Below 75 DMA</t>
        </is>
      </c>
    </row>
    <row r="285">
      <c r="A285" s="23">
        <v>46234.0</v>
      </c>
      <c r="B285" s="25" t="str">
        <f t="shared" si="6"/>
        <v>Friday</v>
      </c>
      <c r="C285" s="25" t="s">
        <v>347</v>
      </c>
      <c r="D285" s="31">
        <f>IFERROR(__xludf.DUMMYFUNCTION("GOOGLEFINANCE(""NSE:""&amp;UPPER(TRIM(E285)),""marketcap"")/10000000"),6631.3940715)</f>
        <v>6631.394072</v>
      </c>
      <c r="E285" s="7" t="s">
        <v>530</v>
      </c>
      <c r="F285" s="39">
        <f>IFERROR(__xludf.DUMMYFUNCTION("IF(OR(E285="""",A285=""""),"""",
 IF(
   DATE(VALUE(RIGHT(A285,4)),VALUE(MID(A285,4,2)),VALUE(LEFT(A285,2)))&gt;=TODAY(),
   IFERROR(
     GOOGLEFINANCE(""NSE:""&amp;UPPER(TRIM(E285)),""price""),
     ""Not Available""
   ),
   IFERROR(
     INDEX(
       GOOGLE"&amp;"FINANCE(
         ""NSE:""&amp;UPPER(TRIM(E285)),
         ""close"",
         DATE(VALUE(RIGHT(A285,4)),VALUE(MID(A285,4,2)),VALUE(LEFT(A285,2))),
         DATE(VALUE(RIGHT(A285,4)),VALUE(MID(A285,4,2)),VALUE(LEFT(A285,2)))+1
       ),
       2,2
     ),
   "&amp;"  ""Not Available""
   )
 ))"),749.45)</f>
        <v>749.45</v>
      </c>
      <c r="G285" s="42">
        <f>IFERROR(__xludf.DUMMYFUNCTION("IF(E285="""","""",IFERROR(GOOGLEFINANCE(""NSE:""&amp;UPPER(TRIM(E285)),""price""),""Not Available""))"),1152.8)</f>
        <v>1152.8</v>
      </c>
      <c r="H285" s="53">
        <f t="shared" si="1"/>
        <v>55</v>
      </c>
      <c r="I285" s="58">
        <f t="shared" si="2"/>
        <v>0.5381946761</v>
      </c>
      <c r="J285" s="60">
        <f t="shared" si="3"/>
        <v>53819.46761</v>
      </c>
      <c r="K285" s="7">
        <v>727.0</v>
      </c>
      <c r="L285" s="7">
        <v>325.0</v>
      </c>
      <c r="M285" s="68">
        <f t="shared" si="4"/>
        <v>-0.02995530055</v>
      </c>
      <c r="N285" s="68">
        <f t="shared" si="5"/>
        <v>-0.5663486557</v>
      </c>
      <c r="O285" s="68">
        <v>0.622122890119</v>
      </c>
      <c r="P285" s="23">
        <v>46269</v>
      </c>
      <c r="Q285" s="68">
        <v>0.263191048985</v>
      </c>
      <c r="R285" s="68">
        <v>0.3361</v>
      </c>
      <c r="S285" s="23">
        <v>46203</v>
      </c>
      <c r="T285" s="23">
        <v>46234</v>
      </c>
      <c r="U285" s="39">
        <v>749.45</v>
      </c>
      <c r="V285" s="39">
        <v>685.288</v>
      </c>
      <c r="W285" t="inlineStr">
        <is>
          <t>Above 75 DMA</t>
        </is>
      </c>
    </row>
    <row r="286">
      <c r="A286" s="23">
        <v>46234.0</v>
      </c>
      <c r="B286" s="25" t="str">
        <f t="shared" si="6"/>
        <v>Friday</v>
      </c>
      <c r="C286" s="25" t="s">
        <v>347</v>
      </c>
      <c r="D286" s="31">
        <f>IFERROR(__xludf.DUMMYFUNCTION("GOOGLEFINANCE(""NSE:""&amp;UPPER(TRIM(E286)),""marketcap"")/10000000"),326868.06462)</f>
        <v>326868.0646</v>
      </c>
      <c r="E286" s="7" t="s">
        <v>529</v>
      </c>
      <c r="F286" s="39">
        <f>IFERROR(__xludf.DUMMYFUNCTION("IF(OR(E286="""",A286=""""),"""",
 IF(
   DATE(VALUE(RIGHT(A286,4)),VALUE(MID(A286,4,2)),VALUE(LEFT(A286,2)))&gt;=TODAY(),
   IFERROR(
     GOOGLEFINANCE(""NSE:""&amp;UPPER(TRIM(E286)),""price""),
     ""Not Available""
   ),
   IFERROR(
     INDEX(
       GOOGLE"&amp;"FINANCE(
         ""NSE:""&amp;UPPER(TRIM(E286)),
         ""close"",
         DATE(VALUE(RIGHT(A286,4)),VALUE(MID(A286,4,2)),VALUE(LEFT(A286,2))),
         DATE(VALUE(RIGHT(A286,4)),VALUE(MID(A286,4,2)),VALUE(LEFT(A286,2)))+1
       ),
       2,2
     ),
   "&amp;"  ""Not Available""
   )
 ))"),11903.0)</f>
        <v>11903</v>
      </c>
      <c r="G286" s="42">
        <f>IFERROR(__xludf.DUMMYFUNCTION("IF(E286="""","""",IFERROR(GOOGLEFINANCE(""NSE:""&amp;UPPER(TRIM(E286)),""price""),""Not Available""))"),11111.0)</f>
        <v>11111</v>
      </c>
      <c r="H286" s="53">
        <f t="shared" si="1"/>
        <v>55</v>
      </c>
      <c r="I286" s="58">
        <f t="shared" si="2"/>
        <v>-0.0665378476</v>
      </c>
      <c r="J286" s="60">
        <f t="shared" si="3"/>
        <v>-6653.78476</v>
      </c>
      <c r="K286" s="42"/>
      <c r="L286" s="42"/>
      <c r="M286" s="68">
        <f t="shared" si="4"/>
        <v>-1</v>
      </c>
      <c r="N286" s="68">
        <f t="shared" si="5"/>
        <v>-1</v>
      </c>
      <c r="O286" s="68">
        <v>0.0282281777703</v>
      </c>
      <c r="P286" s="23">
        <v>46239</v>
      </c>
      <c r="R286" s="68">
        <v>0.5933</v>
      </c>
      <c r="S286" s="23">
        <v>46203</v>
      </c>
      <c r="T286" s="23">
        <v>46234</v>
      </c>
      <c r="U286" s="39">
        <v>11903</v>
      </c>
      <c r="V286" s="39">
        <v>11379.4</v>
      </c>
      <c r="W286" t="inlineStr">
        <is>
          <t>Above 75 DMA</t>
        </is>
      </c>
    </row>
    <row r="287">
      <c r="A287" s="23">
        <v>46234.0</v>
      </c>
      <c r="B287" s="25" t="str">
        <f t="shared" si="6"/>
        <v>Friday</v>
      </c>
      <c r="C287" s="25" t="s">
        <v>347</v>
      </c>
      <c r="D287" s="31">
        <f>IFERROR(__xludf.DUMMYFUNCTION("GOOGLEFINANCE(""NSE:""&amp;UPPER(TRIM(E287)),""marketcap"")/10000000"),2104.801344)</f>
        <v>2104.801344</v>
      </c>
      <c r="E287" s="7" t="s">
        <v>521</v>
      </c>
      <c r="F287" s="39">
        <f>IFERROR(__xludf.DUMMYFUNCTION("IF(OR(E287="""",A287=""""),"""",
 IF(
   DATE(VALUE(RIGHT(A287,4)),VALUE(MID(A287,4,2)),VALUE(LEFT(A287,2)))&gt;=TODAY(),
   IFERROR(
     GOOGLEFINANCE(""NSE:""&amp;UPPER(TRIM(E287)),""price""),
     ""Not Available""
   ),
   IFERROR(
     INDEX(
       GOOGLE"&amp;"FINANCE(
         ""NSE:""&amp;UPPER(TRIM(E287)),
         ""close"",
         DATE(VALUE(RIGHT(A287,4)),VALUE(MID(A287,4,2)),VALUE(LEFT(A287,2))),
         DATE(VALUE(RIGHT(A287,4)),VALUE(MID(A287,4,2)),VALUE(LEFT(A287,2)))+1
       ),
       2,2
     ),
   "&amp;"  ""Not Available""
   )
 ))"),2310.6)</f>
        <v>2310.6</v>
      </c>
      <c r="G287" s="42">
        <f>IFERROR(__xludf.DUMMYFUNCTION("IF(E287="""","""",IFERROR(GOOGLEFINANCE(""NSE:""&amp;UPPER(TRIM(E287)),""price""),""Not Available""))"),1929.0)</f>
        <v>1929</v>
      </c>
      <c r="H287" s="53">
        <f t="shared" si="1"/>
        <v>55</v>
      </c>
      <c r="I287" s="58">
        <f t="shared" si="2"/>
        <v>-0.1651519086</v>
      </c>
      <c r="J287" s="60">
        <f t="shared" si="3"/>
        <v>-16515.19086</v>
      </c>
      <c r="K287" s="42"/>
      <c r="L287" s="42"/>
      <c r="M287" s="68">
        <f t="shared" si="4"/>
        <v>-1</v>
      </c>
      <c r="N287" s="68">
        <f t="shared" si="5"/>
        <v>-1</v>
      </c>
      <c r="O287" s="68">
        <v>0.0568683458842</v>
      </c>
      <c r="P287" s="23">
        <v>46241</v>
      </c>
      <c r="R287" s="68">
        <v>0.6652</v>
      </c>
      <c r="S287" s="23">
        <v>46203</v>
      </c>
      <c r="T287" s="23">
        <v>46234</v>
      </c>
      <c r="U287" s="39">
        <v>2310.6</v>
      </c>
      <c r="V287" s="39">
        <v>2139.87333333</v>
      </c>
      <c r="W287" t="inlineStr">
        <is>
          <t>Above 75 DMA</t>
        </is>
      </c>
    </row>
    <row r="288">
      <c r="A288" s="23">
        <v>46234.0</v>
      </c>
      <c r="B288" s="25" t="str">
        <f t="shared" si="6"/>
        <v>Friday</v>
      </c>
      <c r="C288" s="25" t="s">
        <v>347</v>
      </c>
      <c r="D288" s="31">
        <f>IFERROR(__xludf.DUMMYFUNCTION("GOOGLEFINANCE(""NSE:""&amp;UPPER(TRIM(E288)),""marketcap"")/10000000"),42877.5009155)</f>
        <v>42877.50092</v>
      </c>
      <c r="E288" s="7" t="s">
        <v>552</v>
      </c>
      <c r="F288" s="39">
        <f>IFERROR(__xludf.DUMMYFUNCTION("IF(OR(E288="""",A288=""""),"""",
 IF(
   DATE(VALUE(RIGHT(A288,4)),VALUE(MID(A288,4,2)),VALUE(LEFT(A288,2)))&gt;=TODAY(),
   IFERROR(
     GOOGLEFINANCE(""NSE:""&amp;UPPER(TRIM(E288)),""price""),
     ""Not Available""
   ),
   IFERROR(
     INDEX(
       GOOGLE"&amp;"FINANCE(
         ""NSE:""&amp;UPPER(TRIM(E288)),
         ""close"",
         DATE(VALUE(RIGHT(A288,4)),VALUE(MID(A288,4,2)),VALUE(LEFT(A288,2))),
         DATE(VALUE(RIGHT(A288,4)),VALUE(MID(A288,4,2)),VALUE(LEFT(A288,2)))+1
       ),
       2,2
     ),
   "&amp;"  ""Not Available""
   )
 ))"),280.75)</f>
        <v>280.75</v>
      </c>
      <c r="G288" s="42">
        <f>IFERROR(__xludf.DUMMYFUNCTION("IF(E288="""","""",IFERROR(GOOGLEFINANCE(""NSE:""&amp;UPPER(TRIM(E288)),""price""),""Not Available""))"),285.85)</f>
        <v>285.85</v>
      </c>
      <c r="H288" s="53">
        <f t="shared" si="1"/>
        <v>55</v>
      </c>
      <c r="I288" s="58">
        <f t="shared" si="2"/>
        <v>0.01816562778</v>
      </c>
      <c r="J288" s="60">
        <f t="shared" si="3"/>
        <v>1816.562778</v>
      </c>
      <c r="K288" s="42"/>
      <c r="L288" s="42"/>
      <c r="M288" s="68">
        <f t="shared" si="4"/>
        <v>-1</v>
      </c>
      <c r="N288" s="68">
        <f t="shared" si="5"/>
        <v>-1</v>
      </c>
      <c r="O288" s="68">
        <v>0.0707034728406</v>
      </c>
      <c r="P288" s="23">
        <v>46265</v>
      </c>
      <c r="R288" s="68">
        <v>0.5</v>
      </c>
      <c r="S288" s="23">
        <v>46203</v>
      </c>
      <c r="T288" s="23">
        <v>46234</v>
      </c>
      <c r="U288" s="39">
        <v>280.75</v>
      </c>
      <c r="V288" s="39">
        <v>276.2504</v>
      </c>
      <c r="W288" t="inlineStr">
        <is>
          <t>Above 75 DMA</t>
        </is>
      </c>
    </row>
    <row r="289">
      <c r="A289" s="23">
        <v>46234.0</v>
      </c>
      <c r="B289" s="25" t="str">
        <f t="shared" si="6"/>
        <v>Friday</v>
      </c>
      <c r="C289" s="25" t="s">
        <v>347</v>
      </c>
      <c r="D289" s="31">
        <f>IFERROR(__xludf.DUMMYFUNCTION("GOOGLEFINANCE(""NSE:""&amp;UPPER(TRIM(E289)),""marketcap"")/10000000"),125.3758)</f>
        <v>125.3758</v>
      </c>
      <c r="E289" s="7" t="s">
        <v>536</v>
      </c>
      <c r="F289" s="39">
        <f>IFERROR(__xludf.DUMMYFUNCTION("IF(OR(E289="""",A289=""""),"""",
 IF(
   DATE(VALUE(RIGHT(A289,4)),VALUE(MID(A289,4,2)),VALUE(LEFT(A289,2)))&gt;=TODAY(),
   IFERROR(
     GOOGLEFINANCE(""NSE:""&amp;UPPER(TRIM(E289)),""price""),
     ""Not Available""
   ),
   IFERROR(
     INDEX(
       GOOGLE"&amp;"FINANCE(
         ""NSE:""&amp;UPPER(TRIM(E289)),
         ""close"",
         DATE(VALUE(RIGHT(A289,4)),VALUE(MID(A289,4,2)),VALUE(LEFT(A289,2))),
         DATE(VALUE(RIGHT(A289,4)),VALUE(MID(A289,4,2)),VALUE(LEFT(A289,2)))+1
       ),
       2,2
     ),
   "&amp;"  ""Not Available""
   )
 ))"),131.53)</f>
        <v>131.53</v>
      </c>
      <c r="G289" s="42">
        <f>IFERROR(__xludf.DUMMYFUNCTION("IF(E289="""","""",IFERROR(GOOGLEFINANCE(""NSE:""&amp;UPPER(TRIM(E289)),""price""),""Not Available""))"),116.41)</f>
        <v>116.41</v>
      </c>
      <c r="H289" s="53">
        <f t="shared" si="1"/>
        <v>55</v>
      </c>
      <c r="I289" s="58">
        <f t="shared" si="2"/>
        <v>-0.1149547632</v>
      </c>
      <c r="J289" s="60">
        <f t="shared" si="3"/>
        <v>-11495.47632</v>
      </c>
      <c r="K289" s="42"/>
      <c r="L289" s="42"/>
      <c r="M289" s="68">
        <f t="shared" si="4"/>
        <v>-1</v>
      </c>
      <c r="N289" s="68">
        <f t="shared" si="5"/>
        <v>-1</v>
      </c>
      <c r="O289" s="68">
        <v>0.128183684331</v>
      </c>
      <c r="P289" s="23">
        <v>46248</v>
      </c>
      <c r="R289" s="68">
        <v>0.7493</v>
      </c>
      <c r="S289" s="23">
        <v>46203</v>
      </c>
      <c r="T289" s="23">
        <v>46234</v>
      </c>
      <c r="U289" s="39">
        <v>131.53</v>
      </c>
      <c r="V289" s="39">
        <v>129.390266667</v>
      </c>
      <c r="W289" t="inlineStr">
        <is>
          <t>Above 75 DMA</t>
        </is>
      </c>
    </row>
    <row r="290">
      <c r="A290" s="23">
        <v>46234.0</v>
      </c>
      <c r="B290" s="25" t="str">
        <f t="shared" si="6"/>
        <v>Friday</v>
      </c>
      <c r="C290" s="25" t="s">
        <v>347</v>
      </c>
      <c r="D290" s="31">
        <f>IFERROR(__xludf.DUMMYFUNCTION("GOOGLEFINANCE(""NSE:""&amp;UPPER(TRIM(E290)),""marketcap"")/10000000"),6293.25)</f>
        <v>6293.25</v>
      </c>
      <c r="E290" s="7" t="s">
        <v>533</v>
      </c>
      <c r="F290" s="39">
        <f>IFERROR(__xludf.DUMMYFUNCTION("IF(OR(E290="""",A290=""""),"""",
 IF(
   DATE(VALUE(RIGHT(A290,4)),VALUE(MID(A290,4,2)),VALUE(LEFT(A290,2)))&gt;=TODAY(),
   IFERROR(
     GOOGLEFINANCE(""NSE:""&amp;UPPER(TRIM(E290)),""price""),
     ""Not Available""
   ),
   IFERROR(
     INDEX(
       GOOGLE"&amp;"FINANCE(
         ""NSE:""&amp;UPPER(TRIM(E290)),
         ""close"",
         DATE(VALUE(RIGHT(A290,4)),VALUE(MID(A290,4,2)),VALUE(LEFT(A290,2))),
         DATE(VALUE(RIGHT(A290,4)),VALUE(MID(A290,4,2)),VALUE(LEFT(A290,2)))+1
       ),
       2,2
     ),
   "&amp;"  ""Not Available""
   )
 ))"),502.95)</f>
        <v>502.95</v>
      </c>
      <c r="G290" s="42">
        <f>IFERROR(__xludf.DUMMYFUNCTION("IF(E290="""","""",IFERROR(GOOGLEFINANCE(""NSE:""&amp;UPPER(TRIM(E290)),""price""),""Not Available""))"),468.75)</f>
        <v>468.75</v>
      </c>
      <c r="H290" s="53">
        <f t="shared" si="1"/>
        <v>55</v>
      </c>
      <c r="I290" s="58">
        <f t="shared" si="2"/>
        <v>-0.06799880704</v>
      </c>
      <c r="J290" s="60">
        <f t="shared" si="3"/>
        <v>-6799.880704</v>
      </c>
      <c r="K290" s="42"/>
      <c r="L290" s="42"/>
      <c r="M290" s="68">
        <f t="shared" si="4"/>
        <v>-1</v>
      </c>
      <c r="N290" s="68">
        <f t="shared" si="5"/>
        <v>-1</v>
      </c>
      <c r="O290" s="68">
        <v>0.00934486529476</v>
      </c>
      <c r="P290" s="23">
        <v>46237</v>
      </c>
      <c r="R290" s="68">
        <v>0.7112</v>
      </c>
      <c r="S290" s="23">
        <v>46203</v>
      </c>
      <c r="T290" s="23">
        <v>46234</v>
      </c>
      <c r="U290" s="39">
        <v>502.95</v>
      </c>
      <c r="V290" s="39">
        <v>520.296</v>
      </c>
      <c r="W290" t="inlineStr">
        <is>
          <t>Below 75 DMA</t>
        </is>
      </c>
    </row>
    <row r="291">
      <c r="A291" s="23">
        <v>46234.0</v>
      </c>
      <c r="B291" s="25" t="str">
        <f t="shared" si="6"/>
        <v>Friday</v>
      </c>
      <c r="C291" s="25" t="s">
        <v>335</v>
      </c>
      <c r="D291" s="31">
        <f>IFERROR(__xludf.DUMMYFUNCTION("GOOGLEFINANCE(""NSE:""&amp;UPPER(TRIM(E291)),""marketcap"")/10000000"),6667.599709)</f>
        <v>6667.599709</v>
      </c>
      <c r="E291" s="7" t="s">
        <v>553</v>
      </c>
      <c r="F291" s="39">
        <f>IFERROR(__xludf.DUMMYFUNCTION("IF(OR(E291="""",A291=""""),"""",
 IF(
   DATE(VALUE(RIGHT(A291,4)),VALUE(MID(A291,4,2)),VALUE(LEFT(A291,2)))&gt;=TODAY(),
   IFERROR(
     GOOGLEFINANCE(""NSE:""&amp;UPPER(TRIM(E291)),""price""),
     ""Not Available""
   ),
   IFERROR(
     INDEX(
       GOOGLE"&amp;"FINANCE(
         ""NSE:""&amp;UPPER(TRIM(E291)),
         ""close"",
         DATE(VALUE(RIGHT(A291,4)),VALUE(MID(A291,4,2)),VALUE(LEFT(A291,2))),
         DATE(VALUE(RIGHT(A291,4)),VALUE(MID(A291,4,2)),VALUE(LEFT(A291,2)))+1
       ),
       2,2
     ),
   "&amp;"  ""Not Available""
   )
 ))"),504.6)</f>
        <v>504.6</v>
      </c>
      <c r="G291" s="42">
        <f>IFERROR(__xludf.DUMMYFUNCTION("IF(E291="""","""",IFERROR(GOOGLEFINANCE(""NSE:""&amp;UPPER(TRIM(E291)),""price""),""Not Available""))"),486.05)</f>
        <v>486.05</v>
      </c>
      <c r="H291" s="53">
        <f t="shared" si="1"/>
        <v>55</v>
      </c>
      <c r="I291" s="58">
        <f t="shared" si="2"/>
        <v>-0.03676179152</v>
      </c>
      <c r="J291" s="60">
        <f t="shared" si="3"/>
        <v>-3676.179152</v>
      </c>
      <c r="K291" s="42"/>
      <c r="L291" s="42"/>
      <c r="M291" s="68">
        <f t="shared" si="4"/>
        <v>-1</v>
      </c>
      <c r="N291" s="68">
        <f t="shared" si="5"/>
        <v>-1</v>
      </c>
      <c r="O291" s="68">
        <v>0.108303606817</v>
      </c>
      <c r="P291" s="23">
        <v>46244</v>
      </c>
      <c r="R291" s="68">
        <v>0.4527</v>
      </c>
      <c r="S291" s="23">
        <v>46203</v>
      </c>
      <c r="T291" s="23">
        <v>46234</v>
      </c>
      <c r="U291" s="39">
        <v>504.6</v>
      </c>
      <c r="V291" s="39">
        <v>456.69</v>
      </c>
      <c r="W291" t="inlineStr">
        <is>
          <t>Above 75 DMA</t>
        </is>
      </c>
    </row>
    <row r="292">
      <c r="A292" s="23">
        <v>46234.0</v>
      </c>
      <c r="B292" s="25" t="str">
        <f t="shared" si="6"/>
        <v>Friday</v>
      </c>
      <c r="C292" s="25" t="s">
        <v>335</v>
      </c>
      <c r="D292" s="31">
        <f>IFERROR(__xludf.DUMMYFUNCTION("GOOGLEFINANCE(""NSE:""&amp;UPPER(TRIM(E292)),""marketcap"")/10000000"),31418.1855)</f>
        <v>31418.1855</v>
      </c>
      <c r="E292" s="7" t="s">
        <v>554</v>
      </c>
      <c r="F292" s="39">
        <f>IFERROR(__xludf.DUMMYFUNCTION("IF(OR(E292="""",A292=""""),"""",
 IF(
   DATE(VALUE(RIGHT(A292,4)),VALUE(MID(A292,4,2)),VALUE(LEFT(A292,2)))&gt;=TODAY(),
   IFERROR(
     GOOGLEFINANCE(""NSE:""&amp;UPPER(TRIM(E292)),""price""),
     ""Not Available""
   ),
   IFERROR(
     INDEX(
       GOOGLE"&amp;"FINANCE(
         ""NSE:""&amp;UPPER(TRIM(E292)),
         ""close"",
         DATE(VALUE(RIGHT(A292,4)),VALUE(MID(A292,4,2)),VALUE(LEFT(A292,2))),
         DATE(VALUE(RIGHT(A292,4)),VALUE(MID(A292,4,2)),VALUE(LEFT(A292,2)))+1
       ),
       2,2
     ),
   "&amp;"  ""Not Available""
   )
 ))"),342.45)</f>
        <v>342.45</v>
      </c>
      <c r="G292" s="42">
        <f>IFERROR(__xludf.DUMMYFUNCTION("IF(E292="""","""",IFERROR(GOOGLEFINANCE(""NSE:""&amp;UPPER(TRIM(E292)),""price""),""Not Available""))"),325.0)</f>
        <v>325</v>
      </c>
      <c r="H292" s="53">
        <f t="shared" si="1"/>
        <v>55</v>
      </c>
      <c r="I292" s="58">
        <f t="shared" si="2"/>
        <v>-0.05095634399</v>
      </c>
      <c r="J292" s="60">
        <f t="shared" si="3"/>
        <v>-5095.634399</v>
      </c>
      <c r="K292" s="42"/>
      <c r="L292" s="42"/>
      <c r="M292" s="68">
        <f t="shared" si="4"/>
        <v>-1</v>
      </c>
      <c r="N292" s="68">
        <f t="shared" si="5"/>
        <v>-1</v>
      </c>
      <c r="O292" s="68">
        <v>0.0473061760841</v>
      </c>
      <c r="P292" s="23">
        <v>46260</v>
      </c>
      <c r="R292" s="68">
        <v>0.0207</v>
      </c>
      <c r="S292" s="23">
        <v>46203</v>
      </c>
      <c r="T292" s="23">
        <v>46234</v>
      </c>
      <c r="U292" s="39">
        <v>342.45</v>
      </c>
      <c r="V292" s="39">
        <v>298.872666667</v>
      </c>
      <c r="W292" t="inlineStr">
        <is>
          <t>Above 75 DMA</t>
        </is>
      </c>
    </row>
    <row r="293">
      <c r="A293" s="23">
        <v>46233.0</v>
      </c>
      <c r="B293" s="25" t="str">
        <f t="shared" si="6"/>
        <v>Thursday</v>
      </c>
      <c r="C293" s="25" t="s">
        <v>335</v>
      </c>
      <c r="D293" s="31">
        <f>IFERROR(__xludf.DUMMYFUNCTION("GOOGLEFINANCE(""NSE:""&amp;UPPER(TRIM(E293)),""marketcap"")/10000000"),31418.1855)</f>
        <v>31418.1855</v>
      </c>
      <c r="E293" s="7" t="s">
        <v>554</v>
      </c>
      <c r="F293" s="39">
        <f>IFERROR(__xludf.DUMMYFUNCTION("IF(OR(E293="""",A293=""""),"""",
 IF(
   DATE(VALUE(RIGHT(A293,4)),VALUE(MID(A293,4,2)),VALUE(LEFT(A293,2)))&gt;=TODAY(),
   IFERROR(
     GOOGLEFINANCE(""NSE:""&amp;UPPER(TRIM(E293)),""price""),
     ""Not Available""
   ),
   IFERROR(
     INDEX(
       GOOGLE"&amp;"FINANCE(
         ""NSE:""&amp;UPPER(TRIM(E293)),
         ""close"",
         DATE(VALUE(RIGHT(A293,4)),VALUE(MID(A293,4,2)),VALUE(LEFT(A293,2))),
         DATE(VALUE(RIGHT(A293,4)),VALUE(MID(A293,4,2)),VALUE(LEFT(A293,2)))+1
       ),
       2,2
     ),
   "&amp;"  ""Not Available""
   )
 ))"),340.3)</f>
        <v>340.3</v>
      </c>
      <c r="G293" s="42">
        <f>IFERROR(__xludf.DUMMYFUNCTION("IF(E293="""","""",IFERROR(GOOGLEFINANCE(""NSE:""&amp;UPPER(TRIM(E293)),""price""),""Not Available""))"),325.0)</f>
        <v>325</v>
      </c>
      <c r="H293" s="53">
        <f t="shared" si="1"/>
        <v>56</v>
      </c>
      <c r="I293" s="58">
        <f t="shared" si="2"/>
        <v>-0.04496032912</v>
      </c>
      <c r="J293" s="60">
        <f t="shared" si="3"/>
        <v>-4496.032912</v>
      </c>
      <c r="K293" s="42"/>
      <c r="L293" s="42"/>
      <c r="M293" s="68">
        <f t="shared" si="4"/>
        <v>-1</v>
      </c>
      <c r="N293" s="68">
        <f t="shared" si="5"/>
        <v>-1</v>
      </c>
      <c r="O293" s="68">
        <v>0.0539230091096</v>
      </c>
      <c r="P293" s="23">
        <v>46260</v>
      </c>
      <c r="R293" s="68">
        <v>0.0207</v>
      </c>
      <c r="S293" s="23">
        <v>46203</v>
      </c>
      <c r="T293" s="23">
        <v>46233</v>
      </c>
      <c r="U293" s="39">
        <v>340.3</v>
      </c>
      <c r="V293" s="39">
        <v>298.046666667</v>
      </c>
      <c r="W293" t="inlineStr">
        <is>
          <t>Above 75 DMA</t>
        </is>
      </c>
    </row>
    <row r="294">
      <c r="A294" s="23">
        <v>46232.0</v>
      </c>
      <c r="B294" s="25" t="str">
        <f t="shared" si="6"/>
        <v>Wednesday</v>
      </c>
      <c r="C294" s="25" t="s">
        <v>335</v>
      </c>
      <c r="D294" s="31">
        <f>IFERROR(__xludf.DUMMYFUNCTION("GOOGLEFINANCE(""NSE:""&amp;UPPER(TRIM(E294)),""marketcap"")/10000000"),48074.2448605)</f>
        <v>48074.24486</v>
      </c>
      <c r="E294" s="7" t="s">
        <v>298</v>
      </c>
      <c r="F294" s="39">
        <f>IFERROR(__xludf.DUMMYFUNCTION("IF(OR(E294="""",A294=""""),"""",
 IF(
   DATE(VALUE(RIGHT(A294,4)),VALUE(MID(A294,4,2)),VALUE(LEFT(A294,2)))&gt;=TODAY(),
   IFERROR(
     GOOGLEFINANCE(""NSE:""&amp;UPPER(TRIM(E294)),""price""),
     ""Not Available""
   ),
   IFERROR(
     INDEX(
       GOOGLE"&amp;"FINANCE(
         ""NSE:""&amp;UPPER(TRIM(E294)),
         ""close"",
         DATE(VALUE(RIGHT(A294,4)),VALUE(MID(A294,4,2)),VALUE(LEFT(A294,2))),
         DATE(VALUE(RIGHT(A294,4)),VALUE(MID(A294,4,2)),VALUE(LEFT(A294,2)))+1
       ),
       2,2
     ),
   "&amp;"  ""Not Available""
   )
 ))"),2543.7)</f>
        <v>2543.7</v>
      </c>
      <c r="G294" s="42">
        <f>IFERROR(__xludf.DUMMYFUNCTION("IF(E294="""","""",IFERROR(GOOGLEFINANCE(""NSE:""&amp;UPPER(TRIM(E294)),""price""),""Not Available""))"),2912.7)</f>
        <v>2912.7</v>
      </c>
      <c r="H294" s="53">
        <f t="shared" si="1"/>
        <v>57</v>
      </c>
      <c r="I294" s="58">
        <f t="shared" si="2"/>
        <v>0.1450642764</v>
      </c>
      <c r="J294" s="60">
        <f t="shared" si="3"/>
        <v>14506.42764</v>
      </c>
      <c r="K294" s="42"/>
      <c r="L294" s="42"/>
      <c r="M294" s="68">
        <f t="shared" si="4"/>
        <v>-1</v>
      </c>
      <c r="N294" s="68">
        <f t="shared" si="5"/>
        <v>-1</v>
      </c>
      <c r="O294" s="68">
        <v>0.195895742422</v>
      </c>
      <c r="P294" s="23">
        <v>46272</v>
      </c>
      <c r="R294" s="68">
        <v>0.5177</v>
      </c>
      <c r="S294" s="23">
        <v>46203</v>
      </c>
      <c r="T294" s="23">
        <v>46232</v>
      </c>
      <c r="U294" s="39">
        <v>2543.7</v>
      </c>
      <c r="V294" s="39">
        <v>2175.372</v>
      </c>
      <c r="W294" t="inlineStr">
        <is>
          <t>Above 75 DMA</t>
        </is>
      </c>
    </row>
    <row r="295">
      <c r="A295" s="23">
        <v>46232.0</v>
      </c>
      <c r="B295" s="25" t="str">
        <f t="shared" si="6"/>
        <v>Wednesday</v>
      </c>
      <c r="C295" s="25" t="s">
        <v>335</v>
      </c>
      <c r="D295" s="31">
        <f>IFERROR(__xludf.DUMMYFUNCTION("GOOGLEFINANCE(""NSE:""&amp;UPPER(TRIM(E295)),""marketcap"")/10000000"),128729.5501457)</f>
        <v>128729.5501</v>
      </c>
      <c r="E295" s="7" t="s">
        <v>555</v>
      </c>
      <c r="F295" s="39">
        <f>IFERROR(__xludf.DUMMYFUNCTION("IF(OR(E295="""",A295=""""),"""",
 IF(
   DATE(VALUE(RIGHT(A295,4)),VALUE(MID(A295,4,2)),VALUE(LEFT(A295,2)))&gt;=TODAY(),
   IFERROR(
     GOOGLEFINANCE(""NSE:""&amp;UPPER(TRIM(E295)),""price""),
     ""Not Available""
   ),
   IFERROR(
     INDEX(
       GOOGLE"&amp;"FINANCE(
         ""NSE:""&amp;UPPER(TRIM(E295)),
         ""close"",
         DATE(VALUE(RIGHT(A295,4)),VALUE(MID(A295,4,2)),VALUE(LEFT(A295,2))),
         DATE(VALUE(RIGHT(A295,4)),VALUE(MID(A295,4,2)),VALUE(LEFT(A295,2)))+1
       ),
       2,2
     ),
   "&amp;"  ""Not Available""
   )
 ))"),8935.0)</f>
        <v>8935</v>
      </c>
      <c r="G295" s="42">
        <f>IFERROR(__xludf.DUMMYFUNCTION("IF(E295="""","""",IFERROR(GOOGLEFINANCE(""NSE:""&amp;UPPER(TRIM(E295)),""price""),""Not Available""))"),8950.0)</f>
        <v>8950</v>
      </c>
      <c r="H295" s="53">
        <f t="shared" si="1"/>
        <v>57</v>
      </c>
      <c r="I295" s="58">
        <f t="shared" si="2"/>
        <v>0.00167879127</v>
      </c>
      <c r="J295" s="60">
        <f t="shared" si="3"/>
        <v>167.879127</v>
      </c>
      <c r="K295" s="42"/>
      <c r="L295" s="42"/>
      <c r="M295" s="68">
        <f t="shared" si="4"/>
        <v>-1</v>
      </c>
      <c r="N295" s="68">
        <f t="shared" si="5"/>
        <v>-1</v>
      </c>
      <c r="O295" s="68">
        <v>0.0151650811416</v>
      </c>
      <c r="P295" s="23">
        <v>46288</v>
      </c>
      <c r="R295" s="68">
        <v>0.2802</v>
      </c>
      <c r="S295" s="23">
        <v>46203</v>
      </c>
      <c r="T295" s="23">
        <v>46232</v>
      </c>
      <c r="U295" s="39">
        <v>8935</v>
      </c>
      <c r="V295" s="39">
        <v>8316.23333333</v>
      </c>
      <c r="W295" t="inlineStr">
        <is>
          <t>Above 75 DMA</t>
        </is>
      </c>
    </row>
    <row r="296">
      <c r="A296" s="23">
        <v>46231.0</v>
      </c>
      <c r="B296" s="25" t="str">
        <f t="shared" si="6"/>
        <v>Tuesday</v>
      </c>
      <c r="C296" s="25" t="s">
        <v>335</v>
      </c>
      <c r="D296" s="31">
        <f>IFERROR(__xludf.DUMMYFUNCTION("GOOGLEFINANCE(""NSE:""&amp;UPPER(TRIM(E296)),""marketcap"")/10000000"),29209.3352416)</f>
        <v>29209.33524</v>
      </c>
      <c r="E296" s="7" t="s">
        <v>380</v>
      </c>
      <c r="F296" s="39">
        <f>IFERROR(__xludf.DUMMYFUNCTION("IF(OR(E296="""",A296=""""),"""",
 IF(
   DATE(VALUE(RIGHT(A296,4)),VALUE(MID(A296,4,2)),VALUE(LEFT(A296,2)))&gt;=TODAY(),
   IFERROR(
     GOOGLEFINANCE(""NSE:""&amp;UPPER(TRIM(E296)),""price""),
     ""Not Available""
   ),
   IFERROR(
     INDEX(
       GOOGLE"&amp;"FINANCE(
         ""NSE:""&amp;UPPER(TRIM(E296)),
         ""close"",
         DATE(VALUE(RIGHT(A296,4)),VALUE(MID(A296,4,2)),VALUE(LEFT(A296,2))),
         DATE(VALUE(RIGHT(A296,4)),VALUE(MID(A296,4,2)),VALUE(LEFT(A296,2)))+1
       ),
       2,2
     ),
   "&amp;"  ""Not Available""
   )
 ))"),738.6)</f>
        <v>738.6</v>
      </c>
      <c r="G296" s="42">
        <f>IFERROR(__xludf.DUMMYFUNCTION("IF(E296="""","""",IFERROR(GOOGLEFINANCE(""NSE:""&amp;UPPER(TRIM(E296)),""price""),""Not Available""))"),719.35)</f>
        <v>719.35</v>
      </c>
      <c r="H296" s="53">
        <f t="shared" si="1"/>
        <v>58</v>
      </c>
      <c r="I296" s="58">
        <f t="shared" si="2"/>
        <v>-0.02606282155</v>
      </c>
      <c r="J296" s="60">
        <f t="shared" si="3"/>
        <v>-2606.282155</v>
      </c>
      <c r="K296" s="42"/>
      <c r="L296" s="42"/>
      <c r="M296" s="68">
        <f t="shared" si="4"/>
        <v>-1</v>
      </c>
      <c r="N296" s="68">
        <f t="shared" si="5"/>
        <v>-1</v>
      </c>
      <c r="O296" s="68">
        <v>0.206336311942</v>
      </c>
      <c r="P296" s="23">
        <v>46245</v>
      </c>
      <c r="Q296" s="68">
        <v>0.195415283547</v>
      </c>
      <c r="R296" s="68">
        <v>0.5517</v>
      </c>
      <c r="S296" s="23">
        <v>46203</v>
      </c>
      <c r="T296" s="23">
        <v>46231</v>
      </c>
      <c r="U296" s="39">
        <v>738.6</v>
      </c>
      <c r="V296" s="39">
        <v>682.303333333</v>
      </c>
      <c r="W296" t="inlineStr">
        <is>
          <t>Above 75 DMA</t>
        </is>
      </c>
    </row>
    <row r="297">
      <c r="A297" s="23">
        <v>46231.0</v>
      </c>
      <c r="B297" s="25" t="str">
        <f t="shared" si="6"/>
        <v>Tuesday</v>
      </c>
      <c r="C297" s="25" t="s">
        <v>335</v>
      </c>
      <c r="D297" s="31">
        <f>IFERROR(__xludf.DUMMYFUNCTION("GOOGLEFINANCE(""NSE:""&amp;UPPER(TRIM(E297)),""marketcap"")/10000000"),17105.2219)</f>
        <v>17105.2219</v>
      </c>
      <c r="E297" s="7" t="s">
        <v>456</v>
      </c>
      <c r="F297" s="39">
        <f>IFERROR(__xludf.DUMMYFUNCTION("IF(OR(E297="""",A297=""""),"""",
 IF(
   DATE(VALUE(RIGHT(A297,4)),VALUE(MID(A297,4,2)),VALUE(LEFT(A297,2)))&gt;=TODAY(),
   IFERROR(
     GOOGLEFINANCE(""NSE:""&amp;UPPER(TRIM(E297)),""price""),
     ""Not Available""
   ),
   IFERROR(
     INDEX(
       GOOGLE"&amp;"FINANCE(
         ""NSE:""&amp;UPPER(TRIM(E297)),
         ""close"",
         DATE(VALUE(RIGHT(A297,4)),VALUE(MID(A297,4,2)),VALUE(LEFT(A297,2))),
         DATE(VALUE(RIGHT(A297,4)),VALUE(MID(A297,4,2)),VALUE(LEFT(A297,2)))+1
       ),
       2,2
     ),
   "&amp;"  ""Not Available""
   )
 ))"),1647.4)</f>
        <v>1647.4</v>
      </c>
      <c r="G297" s="42">
        <f>IFERROR(__xludf.DUMMYFUNCTION("IF(E297="""","""",IFERROR(GOOGLEFINANCE(""NSE:""&amp;UPPER(TRIM(E297)),""price""),""Not Available""))"),1354.7)</f>
        <v>1354.7</v>
      </c>
      <c r="H297" s="53">
        <f t="shared" si="1"/>
        <v>58</v>
      </c>
      <c r="I297" s="58">
        <f t="shared" si="2"/>
        <v>-0.1776739104</v>
      </c>
      <c r="J297" s="60">
        <f t="shared" si="3"/>
        <v>-17767.39104</v>
      </c>
      <c r="K297" s="42"/>
      <c r="L297" s="42"/>
      <c r="M297" s="68">
        <f t="shared" si="4"/>
        <v>-1</v>
      </c>
      <c r="N297" s="68">
        <f t="shared" si="5"/>
        <v>-1</v>
      </c>
      <c r="O297" s="68">
        <v>0.0203957751609</v>
      </c>
      <c r="P297" s="23">
        <v>46238</v>
      </c>
      <c r="Q297" s="68">
        <v>0.119023709561</v>
      </c>
      <c r="R297" s="68">
        <v>0.4563</v>
      </c>
      <c r="S297" s="23">
        <v>46203</v>
      </c>
      <c r="T297" s="23">
        <v>46231</v>
      </c>
      <c r="U297" s="39">
        <v>1647.4</v>
      </c>
      <c r="V297" s="39">
        <v>1426.64133333</v>
      </c>
      <c r="W297" t="inlineStr">
        <is>
          <t>Above 75 DMA</t>
        </is>
      </c>
    </row>
    <row r="298">
      <c r="A298" s="23">
        <v>46231.0</v>
      </c>
      <c r="B298" s="25" t="str">
        <f t="shared" si="6"/>
        <v>Tuesday</v>
      </c>
      <c r="C298" s="25" t="s">
        <v>335</v>
      </c>
      <c r="D298" s="31">
        <f>IFERROR(__xludf.DUMMYFUNCTION("GOOGLEFINANCE(""NSE:""&amp;UPPER(TRIM(E298)),""marketcap"")/10000000"),96426.4894267)</f>
        <v>96426.48943</v>
      </c>
      <c r="E298" s="7" t="s">
        <v>556</v>
      </c>
      <c r="F298" s="39">
        <f>IFERROR(__xludf.DUMMYFUNCTION("IF(OR(E298="""",A298=""""),"""",
 IF(
   DATE(VALUE(RIGHT(A298,4)),VALUE(MID(A298,4,2)),VALUE(LEFT(A298,2)))&gt;=TODAY(),
   IFERROR(
     GOOGLEFINANCE(""NSE:""&amp;UPPER(TRIM(E298)),""price""),
     ""Not Available""
   ),
   IFERROR(
     INDEX(
       GOOGLE"&amp;"FINANCE(
         ""NSE:""&amp;UPPER(TRIM(E298)),
         ""close"",
         DATE(VALUE(RIGHT(A298,4)),VALUE(MID(A298,4,2)),VALUE(LEFT(A298,2))),
         DATE(VALUE(RIGHT(A298,4)),VALUE(MID(A298,4,2)),VALUE(LEFT(A298,2)))+1
       ),
       2,2
     ),
   "&amp;"  ""Not Available""
   )
 ))"),329.6)</f>
        <v>329.6</v>
      </c>
      <c r="G298" s="42">
        <f>IFERROR(__xludf.DUMMYFUNCTION("IF(E298="""","""",IFERROR(GOOGLEFINANCE(""NSE:""&amp;UPPER(TRIM(E298)),""price""),""Not Available""))"),336.65)</f>
        <v>336.65</v>
      </c>
      <c r="H298" s="53">
        <f t="shared" si="1"/>
        <v>58</v>
      </c>
      <c r="I298" s="58">
        <f t="shared" si="2"/>
        <v>0.02138956311</v>
      </c>
      <c r="J298" s="60">
        <f t="shared" si="3"/>
        <v>2138.956311</v>
      </c>
      <c r="K298" s="42"/>
      <c r="L298" s="42"/>
      <c r="M298" s="68">
        <f t="shared" si="4"/>
        <v>-1</v>
      </c>
      <c r="N298" s="68">
        <f t="shared" si="5"/>
        <v>-1</v>
      </c>
      <c r="O298" s="68">
        <v>0.0605279126214</v>
      </c>
      <c r="P298" s="23">
        <v>46265</v>
      </c>
      <c r="R298" s="68">
        <v>0.5208</v>
      </c>
      <c r="S298" s="23">
        <v>46203</v>
      </c>
      <c r="T298" s="23">
        <v>46231</v>
      </c>
      <c r="U298" s="39">
        <v>329.6</v>
      </c>
      <c r="V298" s="39">
        <v>285.782</v>
      </c>
      <c r="W298" t="inlineStr">
        <is>
          <t>Above 75 DMA</t>
        </is>
      </c>
    </row>
    <row r="299">
      <c r="A299" s="23">
        <v>46230.0</v>
      </c>
      <c r="B299" s="25" t="str">
        <f t="shared" si="6"/>
        <v>Monday</v>
      </c>
      <c r="C299" s="25" t="s">
        <v>335</v>
      </c>
      <c r="D299" s="31">
        <f>IFERROR(__xludf.DUMMYFUNCTION("GOOGLEFINANCE(""NSE:""&amp;UPPER(TRIM(E299)),""marketcap"")/10000000"),49944.1536225)</f>
        <v>49944.15362</v>
      </c>
      <c r="E299" s="7" t="s">
        <v>557</v>
      </c>
      <c r="F299" s="39">
        <f>IFERROR(__xludf.DUMMYFUNCTION("IF(OR(E299="""",A299=""""),"""",
 IF(
   DATE(VALUE(RIGHT(A299,4)),VALUE(MID(A299,4,2)),VALUE(LEFT(A299,2)))&gt;=TODAY(),
   IFERROR(
     GOOGLEFINANCE(""NSE:""&amp;UPPER(TRIM(E299)),""price""),
     ""Not Available""
   ),
   IFERROR(
     INDEX(
       GOOGLE"&amp;"FINANCE(
         ""NSE:""&amp;UPPER(TRIM(E299)),
         ""close"",
         DATE(VALUE(RIGHT(A299,4)),VALUE(MID(A299,4,2)),VALUE(LEFT(A299,2))),
         DATE(VALUE(RIGHT(A299,4)),VALUE(MID(A299,4,2)),VALUE(LEFT(A299,2)))+1
       ),
       2,2
     ),
   "&amp;"  ""Not Available""
   )
 ))"),790.55)</f>
        <v>790.55</v>
      </c>
      <c r="G299" s="42">
        <f>IFERROR(__xludf.DUMMYFUNCTION("IF(E299="""","""",IFERROR(GOOGLEFINANCE(""NSE:""&amp;UPPER(TRIM(E299)),""price""),""Not Available""))"),886.65)</f>
        <v>886.65</v>
      </c>
      <c r="H299" s="53">
        <f t="shared" si="1"/>
        <v>59</v>
      </c>
      <c r="I299" s="58">
        <f t="shared" si="2"/>
        <v>0.1215609386</v>
      </c>
      <c r="J299" s="60">
        <f t="shared" si="3"/>
        <v>12156.09386</v>
      </c>
      <c r="K299" s="42"/>
      <c r="L299" s="42"/>
      <c r="M299" s="68">
        <f t="shared" si="4"/>
        <v>-1</v>
      </c>
      <c r="N299" s="68">
        <f t="shared" si="5"/>
        <v>-1</v>
      </c>
      <c r="O299" s="68">
        <v>0.236544178104</v>
      </c>
      <c r="P299" s="23">
        <v>46274</v>
      </c>
      <c r="R299" s="68">
        <v>0.7142</v>
      </c>
      <c r="S299" s="23">
        <v>46203</v>
      </c>
      <c r="T299" s="23">
        <v>46230</v>
      </c>
      <c r="U299" s="39">
        <v>790.55</v>
      </c>
      <c r="V299" s="39">
        <v>765.486666667</v>
      </c>
      <c r="W299" t="inlineStr">
        <is>
          <t>Above 75 DMA</t>
        </is>
      </c>
    </row>
    <row r="300">
      <c r="A300" s="23">
        <v>46230.0</v>
      </c>
      <c r="B300" s="25" t="str">
        <f t="shared" si="6"/>
        <v>Monday</v>
      </c>
      <c r="C300" s="25" t="s">
        <v>335</v>
      </c>
      <c r="D300" s="31">
        <f>IFERROR(__xludf.DUMMYFUNCTION("GOOGLEFINANCE(""NSE:""&amp;UPPER(TRIM(E300)),""marketcap"")/10000000"),212.8143987)</f>
        <v>212.8143987</v>
      </c>
      <c r="E300" s="7" t="s">
        <v>480</v>
      </c>
      <c r="F300" s="39">
        <f>IFERROR(__xludf.DUMMYFUNCTION("IF(OR(E300="""",A300=""""),"""",
 IF(
   DATE(VALUE(RIGHT(A300,4)),VALUE(MID(A300,4,2)),VALUE(LEFT(A300,2)))&gt;=TODAY(),
   IFERROR(
     GOOGLEFINANCE(""NSE:""&amp;UPPER(TRIM(E300)),""price""),
     ""Not Available""
   ),
   IFERROR(
     INDEX(
       GOOGLE"&amp;"FINANCE(
         ""NSE:""&amp;UPPER(TRIM(E300)),
         ""close"",
         DATE(VALUE(RIGHT(A300,4)),VALUE(MID(A300,4,2)),VALUE(LEFT(A300,2))),
         DATE(VALUE(RIGHT(A300,4)),VALUE(MID(A300,4,2)),VALUE(LEFT(A300,2)))+1
       ),
       2,2
     ),
   "&amp;"  ""Not Available""
   )
 ))"),81.45)</f>
        <v>81.45</v>
      </c>
      <c r="G300" s="42">
        <f>IFERROR(__xludf.DUMMYFUNCTION("IF(E300="""","""",IFERROR(GOOGLEFINANCE(""NSE:""&amp;UPPER(TRIM(E300)),""price""),""Not Available""))"),106.53)</f>
        <v>106.53</v>
      </c>
      <c r="H300" s="53">
        <f t="shared" si="1"/>
        <v>59</v>
      </c>
      <c r="I300" s="58">
        <f t="shared" si="2"/>
        <v>0.3079189687</v>
      </c>
      <c r="J300" s="60">
        <f t="shared" si="3"/>
        <v>30791.89687</v>
      </c>
      <c r="K300" s="42"/>
      <c r="L300" s="42"/>
      <c r="M300" s="68">
        <f t="shared" si="4"/>
        <v>-1</v>
      </c>
      <c r="N300" s="68">
        <f t="shared" si="5"/>
        <v>-1</v>
      </c>
      <c r="O300" s="68">
        <v>0.531982811541</v>
      </c>
      <c r="P300" s="23">
        <v>46259</v>
      </c>
      <c r="R300" s="68">
        <v>0.6989</v>
      </c>
      <c r="S300" s="23">
        <v>46203</v>
      </c>
      <c r="T300" s="23">
        <v>46230</v>
      </c>
      <c r="U300" s="39">
        <v>81.45</v>
      </c>
      <c r="V300" s="39">
        <v>81.0162666667</v>
      </c>
      <c r="W300" t="inlineStr">
        <is>
          <t>Above 75 DMA</t>
        </is>
      </c>
    </row>
    <row r="301">
      <c r="A301" s="23">
        <v>46230.0</v>
      </c>
      <c r="B301" s="25" t="str">
        <f t="shared" si="6"/>
        <v>Monday</v>
      </c>
      <c r="C301" s="25" t="s">
        <v>335</v>
      </c>
      <c r="D301" s="31">
        <f>IFERROR(__xludf.DUMMYFUNCTION("GOOGLEFINANCE(""NSE:""&amp;UPPER(TRIM(E301)),""marketcap"")/10000000"),332.7999576)</f>
        <v>332.7999576</v>
      </c>
      <c r="E301" s="7" t="s">
        <v>481</v>
      </c>
      <c r="F301" s="39">
        <f>IFERROR(__xludf.DUMMYFUNCTION("IF(OR(E301="""",A301=""""),"""",
 IF(
   DATE(VALUE(RIGHT(A301,4)),VALUE(MID(A301,4,2)),VALUE(LEFT(A301,2)))&gt;=TODAY(),
   IFERROR(
     GOOGLEFINANCE(""NSE:""&amp;UPPER(TRIM(E301)),""price""),
     ""Not Available""
   ),
   IFERROR(
     INDEX(
       GOOGLE"&amp;"FINANCE(
         ""NSE:""&amp;UPPER(TRIM(E301)),
         ""close"",
         DATE(VALUE(RIGHT(A301,4)),VALUE(MID(A301,4,2)),VALUE(LEFT(A301,2))),
         DATE(VALUE(RIGHT(A301,4)),VALUE(MID(A301,4,2)),VALUE(LEFT(A301,2)))+1
       ),
       2,2
     ),
   "&amp;"  ""Not Available""
   )
 ))"),145.0)</f>
        <v>145</v>
      </c>
      <c r="G301" s="42">
        <f>IFERROR(__xludf.DUMMYFUNCTION("IF(E301="""","""",IFERROR(GOOGLEFINANCE(""NSE:""&amp;UPPER(TRIM(E301)),""price""),""Not Available""))"),178.18)</f>
        <v>178.18</v>
      </c>
      <c r="H301" s="53">
        <f t="shared" si="1"/>
        <v>59</v>
      </c>
      <c r="I301" s="58">
        <f t="shared" si="2"/>
        <v>0.2288275862</v>
      </c>
      <c r="J301" s="60">
        <f t="shared" si="3"/>
        <v>22882.75862</v>
      </c>
      <c r="K301" s="42"/>
      <c r="L301" s="42"/>
      <c r="M301" s="68">
        <f t="shared" si="4"/>
        <v>-1</v>
      </c>
      <c r="N301" s="68">
        <f t="shared" si="5"/>
        <v>-1</v>
      </c>
      <c r="O301" s="68">
        <v>0.369517241379</v>
      </c>
      <c r="P301" s="23">
        <v>46261</v>
      </c>
      <c r="R301" s="68">
        <v>0.5011</v>
      </c>
      <c r="S301" s="23">
        <v>46203</v>
      </c>
      <c r="T301" s="23">
        <v>46230</v>
      </c>
      <c r="U301" s="39">
        <v>145</v>
      </c>
      <c r="V301" s="39">
        <v>146.372533333</v>
      </c>
      <c r="W301" t="inlineStr">
        <is>
          <t>Below 75 DMA</t>
        </is>
      </c>
    </row>
    <row r="302">
      <c r="A302" s="23">
        <v>46230.0</v>
      </c>
      <c r="B302" s="25" t="str">
        <f t="shared" si="6"/>
        <v>Monday</v>
      </c>
      <c r="C302" s="25" t="s">
        <v>335</v>
      </c>
      <c r="D302" s="31">
        <f>IFERROR(__xludf.DUMMYFUNCTION("GOOGLEFINANCE(""NSE:""&amp;UPPER(TRIM(E302)),""marketcap"")/10000000"),2639.5064242)</f>
        <v>2639.506424</v>
      </c>
      <c r="E302" s="7" t="s">
        <v>545</v>
      </c>
      <c r="F302" s="39">
        <f>IFERROR(__xludf.DUMMYFUNCTION("IF(OR(E302="""",A302=""""),"""",
 IF(
   DATE(VALUE(RIGHT(A302,4)),VALUE(MID(A302,4,2)),VALUE(LEFT(A302,2)))&gt;=TODAY(),
   IFERROR(
     GOOGLEFINANCE(""NSE:""&amp;UPPER(TRIM(E302)),""price""),
     ""Not Available""
   ),
   IFERROR(
     INDEX(
       GOOGLE"&amp;"FINANCE(
         ""NSE:""&amp;UPPER(TRIM(E302)),
         ""close"",
         DATE(VALUE(RIGHT(A302,4)),VALUE(MID(A302,4,2)),VALUE(LEFT(A302,2))),
         DATE(VALUE(RIGHT(A302,4)),VALUE(MID(A302,4,2)),VALUE(LEFT(A302,2)))+1
       ),
       2,2
     ),
   "&amp;"  ""Not Available""
   )
 ))"),197.05)</f>
        <v>197.05</v>
      </c>
      <c r="G302" s="42">
        <f>IFERROR(__xludf.DUMMYFUNCTION("IF(E302="""","""",IFERROR(GOOGLEFINANCE(""NSE:""&amp;UPPER(TRIM(E302)),""price""),""Not Available""))"),178.41)</f>
        <v>178.41</v>
      </c>
      <c r="H302" s="53">
        <f t="shared" si="1"/>
        <v>59</v>
      </c>
      <c r="I302" s="58">
        <f t="shared" si="2"/>
        <v>-0.09459528039</v>
      </c>
      <c r="J302" s="60">
        <f t="shared" si="3"/>
        <v>-9459.528039</v>
      </c>
      <c r="K302" s="42"/>
      <c r="L302" s="42"/>
      <c r="M302" s="68">
        <f t="shared" si="4"/>
        <v>-1</v>
      </c>
      <c r="N302" s="68">
        <f t="shared" si="5"/>
        <v>-1</v>
      </c>
      <c r="O302" s="68">
        <v>0.0733316417153</v>
      </c>
      <c r="P302" s="23">
        <v>46261</v>
      </c>
      <c r="R302" s="68">
        <v>0.5608</v>
      </c>
      <c r="S302" s="23">
        <v>46203</v>
      </c>
      <c r="T302" s="23">
        <v>46230</v>
      </c>
      <c r="U302" s="39">
        <v>197.05</v>
      </c>
      <c r="V302" s="39">
        <v>189.6244</v>
      </c>
      <c r="W302" t="inlineStr">
        <is>
          <t>Above 75 DMA</t>
        </is>
      </c>
    </row>
    <row r="303">
      <c r="A303" s="23">
        <v>46230.0</v>
      </c>
      <c r="B303" s="25" t="str">
        <f t="shared" si="6"/>
        <v>Monday</v>
      </c>
      <c r="C303" s="25" t="s">
        <v>335</v>
      </c>
      <c r="D303" s="31">
        <f>IFERROR(__xludf.DUMMYFUNCTION("GOOGLEFINANCE(""NSE:""&amp;UPPER(TRIM(E303)),""marketcap"")/10000000"),2879.254945)</f>
        <v>2879.254945</v>
      </c>
      <c r="E303" s="7" t="s">
        <v>482</v>
      </c>
      <c r="F303" s="39">
        <f>IFERROR(__xludf.DUMMYFUNCTION("IF(OR(E303="""",A303=""""),"""",
 IF(
   DATE(VALUE(RIGHT(A303,4)),VALUE(MID(A303,4,2)),VALUE(LEFT(A303,2)))&gt;=TODAY(),
   IFERROR(
     GOOGLEFINANCE(""NSE:""&amp;UPPER(TRIM(E303)),""price""),
     ""Not Available""
   ),
   IFERROR(
     INDEX(
       GOOGLE"&amp;"FINANCE(
         ""NSE:""&amp;UPPER(TRIM(E303)),
         ""close"",
         DATE(VALUE(RIGHT(A303,4)),VALUE(MID(A303,4,2)),VALUE(LEFT(A303,2))),
         DATE(VALUE(RIGHT(A303,4)),VALUE(MID(A303,4,2)),VALUE(LEFT(A303,2)))+1
       ),
       2,2
     ),
   "&amp;"  ""Not Available""
   )
 ))"),162.58)</f>
        <v>162.58</v>
      </c>
      <c r="G303" s="42">
        <f>IFERROR(__xludf.DUMMYFUNCTION("IF(E303="""","""",IFERROR(GOOGLEFINANCE(""NSE:""&amp;UPPER(TRIM(E303)),""price""),""Not Available""))"),185.5)</f>
        <v>185.5</v>
      </c>
      <c r="H303" s="53">
        <f t="shared" si="1"/>
        <v>59</v>
      </c>
      <c r="I303" s="58">
        <f t="shared" si="2"/>
        <v>0.1409767499</v>
      </c>
      <c r="J303" s="60">
        <f t="shared" si="3"/>
        <v>14097.67499</v>
      </c>
      <c r="K303" s="42"/>
      <c r="L303" s="42"/>
      <c r="M303" s="68">
        <f t="shared" si="4"/>
        <v>-1</v>
      </c>
      <c r="N303" s="68">
        <f t="shared" si="5"/>
        <v>-1</v>
      </c>
      <c r="O303" s="68">
        <v>0.275679665395</v>
      </c>
      <c r="P303" s="23">
        <v>46268</v>
      </c>
      <c r="R303" s="68">
        <v>0.5657</v>
      </c>
      <c r="S303" s="23">
        <v>46203</v>
      </c>
      <c r="T303" s="23">
        <v>46230</v>
      </c>
      <c r="U303" s="39">
        <v>159.27</v>
      </c>
      <c r="V303" s="39">
        <v>154.374266667</v>
      </c>
      <c r="W303" t="inlineStr">
        <is>
          <t>Above 75 DMA</t>
        </is>
      </c>
    </row>
    <row r="304">
      <c r="A304" s="23">
        <v>46230.0</v>
      </c>
      <c r="B304" s="25" t="str">
        <f t="shared" si="6"/>
        <v>Monday</v>
      </c>
      <c r="C304" s="25" t="s">
        <v>335</v>
      </c>
      <c r="D304" s="31">
        <f>IFERROR(__xludf.DUMMYFUNCTION("GOOGLEFINANCE(""NSE:""&amp;UPPER(TRIM(E304)),""marketcap"")/10000000"),2285.9308552)</f>
        <v>2285.930855</v>
      </c>
      <c r="E304" s="7" t="s">
        <v>483</v>
      </c>
      <c r="F304" s="39">
        <f>IFERROR(__xludf.DUMMYFUNCTION("IF(OR(E304="""",A304=""""),"""",
 IF(
   DATE(VALUE(RIGHT(A304,4)),VALUE(MID(A304,4,2)),VALUE(LEFT(A304,2)))&gt;=TODAY(),
   IFERROR(
     GOOGLEFINANCE(""NSE:""&amp;UPPER(TRIM(E304)),""price""),
     ""Not Available""
   ),
   IFERROR(
     INDEX(
       GOOGLE"&amp;"FINANCE(
         ""NSE:""&amp;UPPER(TRIM(E304)),
         ""close"",
         DATE(VALUE(RIGHT(A304,4)),VALUE(MID(A304,4,2)),VALUE(LEFT(A304,2))),
         DATE(VALUE(RIGHT(A304,4)),VALUE(MID(A304,4,2)),VALUE(LEFT(A304,2)))+1
       ),
       2,2
     ),
   "&amp;"  ""Not Available""
   )
 ))"),556.6)</f>
        <v>556.6</v>
      </c>
      <c r="G304" s="42">
        <f>IFERROR(__xludf.DUMMYFUNCTION("IF(E304="""","""",IFERROR(GOOGLEFINANCE(""NSE:""&amp;UPPER(TRIM(E304)),""price""),""Not Available""))"),491.4)</f>
        <v>491.4</v>
      </c>
      <c r="H304" s="53">
        <f t="shared" si="1"/>
        <v>59</v>
      </c>
      <c r="I304" s="58">
        <f t="shared" si="2"/>
        <v>-0.1171397772</v>
      </c>
      <c r="J304" s="60">
        <f t="shared" si="3"/>
        <v>-11713.97772</v>
      </c>
      <c r="K304" s="42"/>
      <c r="L304" s="42"/>
      <c r="M304" s="68">
        <f t="shared" si="4"/>
        <v>-1</v>
      </c>
      <c r="N304" s="68">
        <f t="shared" si="5"/>
        <v>-1</v>
      </c>
      <c r="O304" s="68">
        <v>0.20005389867</v>
      </c>
      <c r="P304" s="23">
        <v>46259</v>
      </c>
      <c r="Q304" s="68">
        <v>0.184273045363</v>
      </c>
      <c r="R304" s="68">
        <v>0.7173</v>
      </c>
      <c r="S304" s="23">
        <v>46203</v>
      </c>
      <c r="T304" s="23">
        <v>46230</v>
      </c>
      <c r="U304" s="39">
        <v>556.6</v>
      </c>
      <c r="V304" s="39">
        <v>432.948</v>
      </c>
      <c r="W304" t="inlineStr">
        <is>
          <t>Above 75 DMA</t>
        </is>
      </c>
    </row>
    <row r="305">
      <c r="A305" s="23">
        <v>46230.0</v>
      </c>
      <c r="B305" s="25" t="str">
        <f t="shared" si="6"/>
        <v>Monday</v>
      </c>
      <c r="C305" s="25" t="s">
        <v>335</v>
      </c>
      <c r="D305" s="31">
        <f>IFERROR(__xludf.DUMMYFUNCTION("GOOGLEFINANCE(""NSE:""&amp;UPPER(TRIM(E305)),""marketcap"")/10000000"),5658.0488199)</f>
        <v>5658.04882</v>
      </c>
      <c r="E305" s="7" t="s">
        <v>303</v>
      </c>
      <c r="F305" s="39">
        <f>IFERROR(__xludf.DUMMYFUNCTION("IF(OR(E305="""",A305=""""),"""",
 IF(
   DATE(VALUE(RIGHT(A305,4)),VALUE(MID(A305,4,2)),VALUE(LEFT(A305,2)))&gt;=TODAY(),
   IFERROR(
     GOOGLEFINANCE(""NSE:""&amp;UPPER(TRIM(E305)),""price""),
     ""Not Available""
   ),
   IFERROR(
     INDEX(
       GOOGLE"&amp;"FINANCE(
         ""NSE:""&amp;UPPER(TRIM(E305)),
         ""close"",
         DATE(VALUE(RIGHT(A305,4)),VALUE(MID(A305,4,2)),VALUE(LEFT(A305,2))),
         DATE(VALUE(RIGHT(A305,4)),VALUE(MID(A305,4,2)),VALUE(LEFT(A305,2)))+1
       ),
       2,2
     ),
   "&amp;"  ""Not Available""
   )
 ))"),21.73)</f>
        <v>21.73</v>
      </c>
      <c r="G305" s="42">
        <f>IFERROR(__xludf.DUMMYFUNCTION("IF(E305="""","""",IFERROR(GOOGLEFINANCE(""NSE:""&amp;UPPER(TRIM(E305)),""price""),""Not Available""))"),21.6)</f>
        <v>21.6</v>
      </c>
      <c r="H305" s="53">
        <f t="shared" si="1"/>
        <v>59</v>
      </c>
      <c r="I305" s="58">
        <f t="shared" si="2"/>
        <v>-0.005982512655</v>
      </c>
      <c r="J305" s="60">
        <f t="shared" si="3"/>
        <v>-598.2512655</v>
      </c>
      <c r="K305" s="42"/>
      <c r="L305" s="42"/>
      <c r="M305" s="68">
        <f t="shared" si="4"/>
        <v>-1</v>
      </c>
      <c r="N305" s="68">
        <f t="shared" si="5"/>
        <v>-1</v>
      </c>
      <c r="O305" s="68">
        <v>0.197883110907</v>
      </c>
      <c r="P305" s="23">
        <v>46261</v>
      </c>
      <c r="Q305" s="68">
        <v>0.241618115862</v>
      </c>
      <c r="R305" s="68">
        <v>0.1617</v>
      </c>
      <c r="S305" s="23">
        <v>46203</v>
      </c>
      <c r="T305" s="23">
        <v>46230</v>
      </c>
      <c r="U305" s="39">
        <v>21.73</v>
      </c>
      <c r="V305" s="39">
        <v>22.632</v>
      </c>
      <c r="W305" t="inlineStr">
        <is>
          <t>Below 75 DMA</t>
        </is>
      </c>
    </row>
    <row r="306">
      <c r="A306" s="23">
        <v>46230.0</v>
      </c>
      <c r="B306" s="25" t="str">
        <f t="shared" si="6"/>
        <v>Monday</v>
      </c>
      <c r="C306" s="25" t="s">
        <v>335</v>
      </c>
      <c r="D306" s="31">
        <f>IFERROR(__xludf.DUMMYFUNCTION("GOOGLEFINANCE(""NSE:""&amp;UPPER(TRIM(E306)),""marketcap"")/10000000"),152763.6341329)</f>
        <v>152763.6341</v>
      </c>
      <c r="E306" s="7" t="s">
        <v>558</v>
      </c>
      <c r="F306" s="39">
        <f>IFERROR(__xludf.DUMMYFUNCTION("IF(OR(E306="""",A306=""""),"""",
 IF(
   DATE(VALUE(RIGHT(A306,4)),VALUE(MID(A306,4,2)),VALUE(LEFT(A306,2)))&gt;=TODAY(),
   IFERROR(
     GOOGLEFINANCE(""NSE:""&amp;UPPER(TRIM(E306)),""price""),
     ""Not Available""
   ),
   IFERROR(
     INDEX(
       GOOGLE"&amp;"FINANCE(
         ""NSE:""&amp;UPPER(TRIM(E306)),
         ""close"",
         DATE(VALUE(RIGHT(A306,4)),VALUE(MID(A306,4,2)),VALUE(LEFT(A306,2))),
         DATE(VALUE(RIGHT(A306,4)),VALUE(MID(A306,4,2)),VALUE(LEFT(A306,2)))+1
       ),
       2,2
     ),
   "&amp;"  ""Not Available""
   )
 ))"),13.06)</f>
        <v>13.06</v>
      </c>
      <c r="G306" s="42">
        <f>IFERROR(__xludf.DUMMYFUNCTION("IF(E306="""","""",IFERROR(GOOGLEFINANCE(""NSE:""&amp;UPPER(TRIM(E306)),""price""),""Not Available""))"),14.12)</f>
        <v>14.12</v>
      </c>
      <c r="H306" s="53">
        <f t="shared" si="1"/>
        <v>59</v>
      </c>
      <c r="I306" s="58">
        <f t="shared" si="2"/>
        <v>0.08116385911</v>
      </c>
      <c r="J306" s="60">
        <f t="shared" si="3"/>
        <v>8116.385911</v>
      </c>
      <c r="K306" s="42"/>
      <c r="L306" s="42"/>
      <c r="M306" s="68">
        <f t="shared" si="4"/>
        <v>-1</v>
      </c>
      <c r="N306" s="68">
        <f t="shared" si="5"/>
        <v>-1</v>
      </c>
      <c r="O306" s="68">
        <v>0.209035222052</v>
      </c>
      <c r="P306" s="23">
        <v>46274</v>
      </c>
      <c r="R306" s="68">
        <v>0.2564</v>
      </c>
      <c r="S306" s="23">
        <v>46203</v>
      </c>
      <c r="T306" s="23">
        <v>46230</v>
      </c>
      <c r="U306" s="39">
        <v>13.06</v>
      </c>
      <c r="V306" s="39">
        <v>12.834</v>
      </c>
      <c r="W306" t="inlineStr">
        <is>
          <t>Above 75 DMA</t>
        </is>
      </c>
    </row>
    <row r="307">
      <c r="A307" s="23">
        <v>46230.0</v>
      </c>
      <c r="B307" s="25" t="str">
        <f t="shared" si="6"/>
        <v>Monday</v>
      </c>
      <c r="C307" s="25" t="s">
        <v>335</v>
      </c>
      <c r="D307" s="31">
        <f>IFERROR(__xludf.DUMMYFUNCTION("GOOGLEFINANCE(""NSE:""&amp;UPPER(TRIM(E307)),""marketcap"")/10000000"),301.734456)</f>
        <v>301.734456</v>
      </c>
      <c r="E307" s="7" t="s">
        <v>559</v>
      </c>
      <c r="F307" s="39">
        <f>IFERROR(__xludf.DUMMYFUNCTION("IF(OR(E307="""",A307=""""),"""",
 IF(
   DATE(VALUE(RIGHT(A307,4)),VALUE(MID(A307,4,2)),VALUE(LEFT(A307,2)))&gt;=TODAY(),
   IFERROR(
     GOOGLEFINANCE(""NSE:""&amp;UPPER(TRIM(E307)),""price""),
     ""Not Available""
   ),
   IFERROR(
     INDEX(
       GOOGLE"&amp;"FINANCE(
         ""NSE:""&amp;UPPER(TRIM(E307)),
         ""close"",
         DATE(VALUE(RIGHT(A307,4)),VALUE(MID(A307,4,2)),VALUE(LEFT(A307,2))),
         DATE(VALUE(RIGHT(A307,4)),VALUE(MID(A307,4,2)),VALUE(LEFT(A307,2)))+1
       ),
       2,2
     ),
   "&amp;"  ""Not Available""
   )
 ))"),132.59)</f>
        <v>132.59</v>
      </c>
      <c r="G307" s="42">
        <f>IFERROR(__xludf.DUMMYFUNCTION("IF(E307="""","""",IFERROR(GOOGLEFINANCE(""NSE:""&amp;UPPER(TRIM(E307)),""price""),""Not Available""))"),144.2)</f>
        <v>144.2</v>
      </c>
      <c r="H307" s="53">
        <f t="shared" si="1"/>
        <v>59</v>
      </c>
      <c r="I307" s="58">
        <f t="shared" si="2"/>
        <v>0.08756316464</v>
      </c>
      <c r="J307" s="60">
        <f t="shared" si="3"/>
        <v>8756.316464</v>
      </c>
      <c r="K307" s="42"/>
      <c r="L307" s="42"/>
      <c r="M307" s="68">
        <f t="shared" si="4"/>
        <v>-1</v>
      </c>
      <c r="N307" s="68">
        <f t="shared" si="5"/>
        <v>-1</v>
      </c>
      <c r="O307" s="68">
        <v>0.240365035071</v>
      </c>
      <c r="P307" s="23">
        <v>46262</v>
      </c>
      <c r="R307" s="68">
        <v>0.574</v>
      </c>
      <c r="S307" s="23">
        <v>46203</v>
      </c>
      <c r="T307" s="23">
        <v>46230</v>
      </c>
      <c r="U307" s="39">
        <v>132.59</v>
      </c>
      <c r="V307" s="39">
        <v>146.602533333</v>
      </c>
      <c r="W307" t="inlineStr">
        <is>
          <t>Below 75 DMA</t>
        </is>
      </c>
    </row>
    <row r="308">
      <c r="A308" s="23">
        <v>46230.0</v>
      </c>
      <c r="B308" s="25" t="str">
        <f t="shared" si="6"/>
        <v>Monday</v>
      </c>
      <c r="C308" s="25" t="s">
        <v>335</v>
      </c>
      <c r="D308" s="31">
        <f>IFERROR(__xludf.DUMMYFUNCTION("GOOGLEFINANCE(""NSE:""&amp;UPPER(TRIM(E308)),""marketcap"")/10000000"),14357.2554187)</f>
        <v>14357.25542</v>
      </c>
      <c r="E308" s="7" t="s">
        <v>560</v>
      </c>
      <c r="F308" s="39">
        <f>IFERROR(__xludf.DUMMYFUNCTION("IF(OR(E308="""",A308=""""),"""",
 IF(
   DATE(VALUE(RIGHT(A308,4)),VALUE(MID(A308,4,2)),VALUE(LEFT(A308,2)))&gt;=TODAY(),
   IFERROR(
     GOOGLEFINANCE(""NSE:""&amp;UPPER(TRIM(E308)),""price""),
     ""Not Available""
   ),
   IFERROR(
     INDEX(
       GOOGLE"&amp;"FINANCE(
         ""NSE:""&amp;UPPER(TRIM(E308)),
         ""close"",
         DATE(VALUE(RIGHT(A308,4)),VALUE(MID(A308,4,2)),VALUE(LEFT(A308,2))),
         DATE(VALUE(RIGHT(A308,4)),VALUE(MID(A308,4,2)),VALUE(LEFT(A308,2)))+1
       ),
       2,2
     ),
   "&amp;"  ""Not Available""
   )
 ))"),508.05)</f>
        <v>508.05</v>
      </c>
      <c r="G308" s="42">
        <f>IFERROR(__xludf.DUMMYFUNCTION("IF(E308="""","""",IFERROR(GOOGLEFINANCE(""NSE:""&amp;UPPER(TRIM(E308)),""price""),""Not Available""))"),595.85)</f>
        <v>595.85</v>
      </c>
      <c r="H308" s="53">
        <f t="shared" si="1"/>
        <v>59</v>
      </c>
      <c r="I308" s="58">
        <f t="shared" si="2"/>
        <v>0.1728176361</v>
      </c>
      <c r="J308" s="60">
        <f t="shared" si="3"/>
        <v>17281.76361</v>
      </c>
      <c r="K308" s="42"/>
      <c r="L308" s="42"/>
      <c r="M308" s="68">
        <f t="shared" si="4"/>
        <v>-1</v>
      </c>
      <c r="N308" s="68">
        <f t="shared" si="5"/>
        <v>-1</v>
      </c>
      <c r="O308" s="68">
        <v>0.211494931601</v>
      </c>
      <c r="P308" s="23">
        <v>46265</v>
      </c>
      <c r="R308" s="68">
        <v>0</v>
      </c>
      <c r="S308" s="23">
        <v>46203</v>
      </c>
      <c r="T308" s="23">
        <v>46230</v>
      </c>
      <c r="U308" s="39">
        <v>508.05</v>
      </c>
      <c r="V308" s="39">
        <v>510.467333333</v>
      </c>
      <c r="W308" t="inlineStr">
        <is>
          <t>Below 75 DMA</t>
        </is>
      </c>
    </row>
    <row r="309">
      <c r="A309" s="23">
        <v>46230.0</v>
      </c>
      <c r="B309" s="25" t="str">
        <f t="shared" si="6"/>
        <v>Monday</v>
      </c>
      <c r="C309" s="25" t="s">
        <v>335</v>
      </c>
      <c r="D309" s="31" t="str">
        <f>IFERROR(__xludf.DUMMYFUNCTION("GOOGLEFINANCE(""NSE:""&amp;UPPER(TRIM(E309)),""marketcap"")/10000000"),"#N/A")</f>
        <v>#N/A</v>
      </c>
      <c r="E309" s="7" t="s">
        <v>561</v>
      </c>
      <c r="F309" s="39" t="str">
        <f>IFERROR(__xludf.DUMMYFUNCTION("IF(OR(E309="""",A309=""""),"""",
 IF(
   DATE(VALUE(RIGHT(A309,4)),VALUE(MID(A309,4,2)),VALUE(LEFT(A309,2)))&gt;=TODAY(),
   IFERROR(
     GOOGLEFINANCE(""NSE:""&amp;UPPER(TRIM(E309)),""price""),
     ""Not Available""
   ),
   IFERROR(
     INDEX(
       GOOGLE"&amp;"FINANCE(
         ""NSE:""&amp;UPPER(TRIM(E309)),
         ""close"",
         DATE(VALUE(RIGHT(A309,4)),VALUE(MID(A309,4,2)),VALUE(LEFT(A309,2))),
         DATE(VALUE(RIGHT(A309,4)),VALUE(MID(A309,4,2)),VALUE(LEFT(A309,2)))+1
       ),
       2,2
     ),
   "&amp;"  ""Not Available""
   )
 ))"),"Not Available")</f>
        <v>Not Available</v>
      </c>
      <c r="G309" s="42" t="str">
        <f>IFERROR(__xludf.DUMMYFUNCTION("IF(E309="""","""",IFERROR(GOOGLEFINANCE(""NSE:""&amp;UPPER(TRIM(E309)),""price""),""Not Available""))"),"Not Available")</f>
        <v>Not Available</v>
      </c>
      <c r="H309" s="53">
        <f t="shared" si="1"/>
        <v>59</v>
      </c>
      <c r="I309" s="58" t="str">
        <f t="shared" si="2"/>
        <v>#VALUE!</v>
      </c>
      <c r="J309" s="60" t="str">
        <f t="shared" si="3"/>
        <v>#VALUE!</v>
      </c>
      <c r="K309" s="42"/>
      <c r="L309" s="42"/>
      <c r="M309" s="68" t="str">
        <f t="shared" si="4"/>
        <v>#VALUE!</v>
      </c>
      <c r="N309" s="68" t="str">
        <f t="shared" si="5"/>
        <v>#VALUE!</v>
      </c>
    </row>
    <row r="310">
      <c r="A310" s="23">
        <v>46230.0</v>
      </c>
      <c r="B310" s="25" t="str">
        <f t="shared" si="6"/>
        <v>Monday</v>
      </c>
      <c r="C310" s="25" t="s">
        <v>335</v>
      </c>
      <c r="D310" s="31">
        <f>IFERROR(__xludf.DUMMYFUNCTION("GOOGLEFINANCE(""NSE:""&amp;UPPER(TRIM(E310)),""marketcap"")/10000000"),117357.2979)</f>
        <v>117357.2979</v>
      </c>
      <c r="E310" s="7" t="s">
        <v>434</v>
      </c>
      <c r="F310" s="39">
        <f>IFERROR(__xludf.DUMMYFUNCTION("IF(OR(E310="""",A310=""""),"""",
 IF(
   DATE(VALUE(RIGHT(A310,4)),VALUE(MID(A310,4,2)),VALUE(LEFT(A310,2)))&gt;=TODAY(),
   IFERROR(
     GOOGLEFINANCE(""NSE:""&amp;UPPER(TRIM(E310)),""price""),
     ""Not Available""
   ),
   IFERROR(
     INDEX(
       GOOGLE"&amp;"FINANCE(
         ""NSE:""&amp;UPPER(TRIM(E310)),
         ""close"",
         DATE(VALUE(RIGHT(A310,4)),VALUE(MID(A310,4,2)),VALUE(LEFT(A310,2))),
         DATE(VALUE(RIGHT(A310,4)),VALUE(MID(A310,4,2)),VALUE(LEFT(A310,2)))+1
       ),
       2,2
     ),
   "&amp;"  ""Not Available""
   )
 ))"),1065.7)</f>
        <v>1065.7</v>
      </c>
      <c r="G310" s="42">
        <f>IFERROR(__xludf.DUMMYFUNCTION("IF(E310="""","""",IFERROR(GOOGLEFINANCE(""NSE:""&amp;UPPER(TRIM(E310)),""price""),""Not Available""))"),1153.0)</f>
        <v>1153</v>
      </c>
      <c r="H310" s="53">
        <f t="shared" si="1"/>
        <v>59</v>
      </c>
      <c r="I310" s="58">
        <f t="shared" si="2"/>
        <v>0.08191798818</v>
      </c>
      <c r="J310" s="60">
        <f t="shared" si="3"/>
        <v>8191.798818</v>
      </c>
      <c r="K310" s="42"/>
      <c r="L310" s="42"/>
      <c r="M310" s="68">
        <f t="shared" si="4"/>
        <v>-1</v>
      </c>
      <c r="N310" s="68">
        <f t="shared" si="5"/>
        <v>-1</v>
      </c>
      <c r="O310" s="68">
        <v>0.12264239467</v>
      </c>
      <c r="P310" s="23">
        <v>46261</v>
      </c>
      <c r="R310" s="68">
        <v>0.6269</v>
      </c>
      <c r="S310" s="23">
        <v>46203</v>
      </c>
      <c r="T310" s="23">
        <v>46230</v>
      </c>
      <c r="U310" s="39">
        <v>1065.7</v>
      </c>
      <c r="V310" s="39">
        <v>1159.87066667</v>
      </c>
      <c r="W310" t="inlineStr">
        <is>
          <t>Below 75 DMA</t>
        </is>
      </c>
    </row>
    <row r="311">
      <c r="A311" s="23">
        <v>46230.0</v>
      </c>
      <c r="B311" s="25" t="str">
        <f t="shared" si="6"/>
        <v>Monday</v>
      </c>
      <c r="C311" s="25" t="s">
        <v>335</v>
      </c>
      <c r="D311" s="31">
        <f>IFERROR(__xludf.DUMMYFUNCTION("GOOGLEFINANCE(""NSE:""&amp;UPPER(TRIM(E311)),""marketcap"")/10000000"),22816.7855536)</f>
        <v>22816.78555</v>
      </c>
      <c r="E311" s="7" t="s">
        <v>147</v>
      </c>
      <c r="F311" s="39">
        <f>IFERROR(__xludf.DUMMYFUNCTION("IF(OR(E311="""",A311=""""),"""",
 IF(
   DATE(VALUE(RIGHT(A311,4)),VALUE(MID(A311,4,2)),VALUE(LEFT(A311,2)))&gt;=TODAY(),
   IFERROR(
     GOOGLEFINANCE(""NSE:""&amp;UPPER(TRIM(E311)),""price""),
     ""Not Available""
   ),
   IFERROR(
     INDEX(
       GOOGLE"&amp;"FINANCE(
         ""NSE:""&amp;UPPER(TRIM(E311)),
         ""close"",
         DATE(VALUE(RIGHT(A311,4)),VALUE(MID(A311,4,2)),VALUE(LEFT(A311,2))),
         DATE(VALUE(RIGHT(A311,4)),VALUE(MID(A311,4,2)),VALUE(LEFT(A311,2)))+1
       ),
       2,2
     ),
   "&amp;"  ""Not Available""
   )
 ))"),3181.3)</f>
        <v>3181.3</v>
      </c>
      <c r="G311" s="42">
        <f>IFERROR(__xludf.DUMMYFUNCTION("IF(E311="""","""",IFERROR(GOOGLEFINANCE(""NSE:""&amp;UPPER(TRIM(E311)),""price""),""Not Available""))"),3559.9)</f>
        <v>3559.9</v>
      </c>
      <c r="H311" s="53">
        <f t="shared" si="1"/>
        <v>59</v>
      </c>
      <c r="I311" s="58">
        <f t="shared" si="2"/>
        <v>0.1190079527</v>
      </c>
      <c r="J311" s="60">
        <f t="shared" si="3"/>
        <v>11900.79527</v>
      </c>
      <c r="K311" s="42"/>
      <c r="L311" s="42"/>
      <c r="M311" s="68">
        <f t="shared" si="4"/>
        <v>-1</v>
      </c>
      <c r="N311" s="68">
        <f t="shared" si="5"/>
        <v>-1</v>
      </c>
      <c r="O311" s="68">
        <v>0.294407946437</v>
      </c>
      <c r="P311" s="23">
        <v>46260</v>
      </c>
      <c r="R311" s="68">
        <v>0.5346</v>
      </c>
      <c r="S311" s="23">
        <v>46203</v>
      </c>
      <c r="T311" s="23">
        <v>46230</v>
      </c>
      <c r="U311" s="39">
        <v>3181.3</v>
      </c>
      <c r="V311" s="39">
        <v>3523.90133333</v>
      </c>
      <c r="W311" t="inlineStr">
        <is>
          <t>Below 75 DMA</t>
        </is>
      </c>
    </row>
    <row r="312">
      <c r="A312" s="23">
        <v>46230.0</v>
      </c>
      <c r="B312" s="25" t="str">
        <f t="shared" si="6"/>
        <v>Monday</v>
      </c>
      <c r="C312" s="25" t="s">
        <v>335</v>
      </c>
      <c r="D312" s="31">
        <f>IFERROR(__xludf.DUMMYFUNCTION("GOOGLEFINANCE(""NSE:""&amp;UPPER(TRIM(E312)),""marketcap"")/10000000"),2015.1656826)</f>
        <v>2015.165683</v>
      </c>
      <c r="E312" s="7" t="s">
        <v>484</v>
      </c>
      <c r="F312" s="39">
        <f>IFERROR(__xludf.DUMMYFUNCTION("IF(OR(E312="""",A312=""""),"""",
 IF(
   DATE(VALUE(RIGHT(A312,4)),VALUE(MID(A312,4,2)),VALUE(LEFT(A312,2)))&gt;=TODAY(),
   IFERROR(
     GOOGLEFINANCE(""NSE:""&amp;UPPER(TRIM(E312)),""price""),
     ""Not Available""
   ),
   IFERROR(
     INDEX(
       GOOGLE"&amp;"FINANCE(
         ""NSE:""&amp;UPPER(TRIM(E312)),
         ""close"",
         DATE(VALUE(RIGHT(A312,4)),VALUE(MID(A312,4,2)),VALUE(LEFT(A312,2))),
         DATE(VALUE(RIGHT(A312,4)),VALUE(MID(A312,4,2)),VALUE(LEFT(A312,2)))+1
       ),
       2,2
     ),
   "&amp;"  ""Not Available""
   )
 ))"),162.55)</f>
        <v>162.55</v>
      </c>
      <c r="G312" s="42">
        <f>IFERROR(__xludf.DUMMYFUNCTION("IF(E312="""","""",IFERROR(GOOGLEFINANCE(""NSE:""&amp;UPPER(TRIM(E312)),""price""),""Not Available""))"),156.31)</f>
        <v>156.31</v>
      </c>
      <c r="H312" s="53">
        <f t="shared" si="1"/>
        <v>59</v>
      </c>
      <c r="I312" s="58">
        <f t="shared" si="2"/>
        <v>-0.03838818825</v>
      </c>
      <c r="J312" s="60">
        <f t="shared" si="3"/>
        <v>-3838.818825</v>
      </c>
      <c r="K312" s="42"/>
      <c r="L312" s="42"/>
      <c r="M312" s="68">
        <f t="shared" si="4"/>
        <v>-1</v>
      </c>
      <c r="N312" s="68">
        <f t="shared" si="5"/>
        <v>-1</v>
      </c>
      <c r="O312" s="68">
        <v>0.109812365426</v>
      </c>
      <c r="P312" s="23">
        <v>46258</v>
      </c>
      <c r="R312" s="68">
        <v>0.4439</v>
      </c>
      <c r="S312" s="23">
        <v>46203</v>
      </c>
      <c r="T312" s="23">
        <v>46230</v>
      </c>
      <c r="U312" s="39">
        <v>162.55</v>
      </c>
      <c r="V312" s="39">
        <v>167.6732</v>
      </c>
      <c r="W312" t="inlineStr">
        <is>
          <t>Below 75 DMA</t>
        </is>
      </c>
    </row>
    <row r="313">
      <c r="A313" s="23">
        <v>46230.0</v>
      </c>
      <c r="B313" s="25" t="str">
        <f t="shared" si="6"/>
        <v>Monday</v>
      </c>
      <c r="C313" s="25" t="s">
        <v>335</v>
      </c>
      <c r="D313" s="31">
        <f>IFERROR(__xludf.DUMMYFUNCTION("GOOGLEFINANCE(""NSE:""&amp;UPPER(TRIM(E313)),""marketcap"")/10000000"),14631.5)</f>
        <v>14631.5</v>
      </c>
      <c r="E313" s="7" t="s">
        <v>102</v>
      </c>
      <c r="F313" s="39">
        <f>IFERROR(__xludf.DUMMYFUNCTION("IF(OR(E313="""",A313=""""),"""",
 IF(
   DATE(VALUE(RIGHT(A313,4)),VALUE(MID(A313,4,2)),VALUE(LEFT(A313,2)))&gt;=TODAY(),
   IFERROR(
     GOOGLEFINANCE(""NSE:""&amp;UPPER(TRIM(E313)),""price""),
     ""Not Available""
   ),
   IFERROR(
     INDEX(
       GOOGLE"&amp;"FINANCE(
         ""NSE:""&amp;UPPER(TRIM(E313)),
         ""close"",
         DATE(VALUE(RIGHT(A313,4)),VALUE(MID(A313,4,2)),VALUE(LEFT(A313,2))),
         DATE(VALUE(RIGHT(A313,4)),VALUE(MID(A313,4,2)),VALUE(LEFT(A313,2)))+1
       ),
       2,2
     ),
   "&amp;"  ""Not Available""
   )
 ))"),376.4)</f>
        <v>376.4</v>
      </c>
      <c r="G313" s="42">
        <f>IFERROR(__xludf.DUMMYFUNCTION("IF(E313="""","""",IFERROR(GOOGLEFINANCE(""NSE:""&amp;UPPER(TRIM(E313)),""price""),""Not Available""))"),424.2)</f>
        <v>424.2</v>
      </c>
      <c r="H313" s="53">
        <f t="shared" si="1"/>
        <v>59</v>
      </c>
      <c r="I313" s="58">
        <f t="shared" si="2"/>
        <v>0.1269925611</v>
      </c>
      <c r="J313" s="60">
        <f t="shared" si="3"/>
        <v>12699.25611</v>
      </c>
      <c r="K313" s="42"/>
      <c r="L313" s="42"/>
      <c r="M313" s="68">
        <f t="shared" si="4"/>
        <v>-1</v>
      </c>
      <c r="N313" s="68">
        <f t="shared" si="5"/>
        <v>-1</v>
      </c>
      <c r="O313" s="68">
        <v>0.303666312434</v>
      </c>
      <c r="P313" s="23">
        <v>46258</v>
      </c>
      <c r="Q313" s="68">
        <v>0.177359386547</v>
      </c>
      <c r="R313" s="68">
        <v>0.5101</v>
      </c>
      <c r="S313" s="23">
        <v>46203</v>
      </c>
      <c r="T313" s="23">
        <v>46230</v>
      </c>
      <c r="U313" s="39">
        <v>376.4</v>
      </c>
      <c r="V313" s="39">
        <v>396.731333333</v>
      </c>
      <c r="W313" t="inlineStr">
        <is>
          <t>Below 75 DMA</t>
        </is>
      </c>
    </row>
    <row r="314">
      <c r="A314" s="23">
        <v>46230.0</v>
      </c>
      <c r="B314" s="25" t="str">
        <f t="shared" si="6"/>
        <v>Monday</v>
      </c>
      <c r="C314" s="25" t="s">
        <v>335</v>
      </c>
      <c r="D314" s="31">
        <f>IFERROR(__xludf.DUMMYFUNCTION("GOOGLEFINANCE(""NSE:""&amp;UPPER(TRIM(E314)),""marketcap"")/10000000"),98784.8127)</f>
        <v>98784.8127</v>
      </c>
      <c r="E314" s="7" t="s">
        <v>562</v>
      </c>
      <c r="F314" s="39" t="str">
        <f>IFERROR(__xludf.DUMMYFUNCTION("IF(OR(E314="""",A314=""""),"""",
 IF(
   DATE(VALUE(RIGHT(A314,4)),VALUE(MID(A314,4,2)),VALUE(LEFT(A314,2)))&gt;=TODAY(),
   IFERROR(
     GOOGLEFINANCE(""NSE:""&amp;UPPER(TRIM(E314)),""price""),
     ""Not Available""
   ),
   IFERROR(
     INDEX(
       GOOGLE"&amp;"FINANCE(
         ""NSE:""&amp;UPPER(TRIM(E314)),
         ""close"",
         DATE(VALUE(RIGHT(A314,4)),VALUE(MID(A314,4,2)),VALUE(LEFT(A314,2))),
         DATE(VALUE(RIGHT(A314,4)),VALUE(MID(A314,4,2)),VALUE(LEFT(A314,2)))+1
       ),
       2,2
     ),
   "&amp;"  ""Not Available""
   )
 ))"),"Not Available")</f>
        <v>Not Available</v>
      </c>
      <c r="G314" s="42">
        <f>IFERROR(__xludf.DUMMYFUNCTION("IF(E314="""","""",IFERROR(GOOGLEFINANCE(""NSE:""&amp;UPPER(TRIM(E314)),""price""),""Not Available""))"),751.0)</f>
        <v>751</v>
      </c>
      <c r="H314" s="53">
        <f t="shared" si="1"/>
        <v>59</v>
      </c>
      <c r="I314" s="58" t="str">
        <f t="shared" si="2"/>
        <v>#VALUE!</v>
      </c>
      <c r="J314" s="60" t="str">
        <f t="shared" si="3"/>
        <v>#VALUE!</v>
      </c>
      <c r="K314" s="42"/>
      <c r="L314" s="42"/>
      <c r="M314" s="68" t="str">
        <f t="shared" si="4"/>
        <v>#VALUE!</v>
      </c>
      <c r="N314" s="68" t="str">
        <f t="shared" si="5"/>
        <v>#VALUE!</v>
      </c>
    </row>
    <row r="315">
      <c r="A315" s="23">
        <v>46230.0</v>
      </c>
      <c r="B315" s="25" t="str">
        <f t="shared" si="6"/>
        <v>Monday</v>
      </c>
      <c r="C315" s="25" t="s">
        <v>335</v>
      </c>
      <c r="D315" s="31">
        <f>IFERROR(__xludf.DUMMYFUNCTION("GOOGLEFINANCE(""NSE:""&amp;UPPER(TRIM(E315)),""marketcap"")/10000000"),12545.9246884)</f>
        <v>12545.92469</v>
      </c>
      <c r="E315" s="7" t="s">
        <v>486</v>
      </c>
      <c r="F315" s="39">
        <f>IFERROR(__xludf.DUMMYFUNCTION("IF(OR(E315="""",A315=""""),"""",
 IF(
   DATE(VALUE(RIGHT(A315,4)),VALUE(MID(A315,4,2)),VALUE(LEFT(A315,2)))&gt;=TODAY(),
   IFERROR(
     GOOGLEFINANCE(""NSE:""&amp;UPPER(TRIM(E315)),""price""),
     ""Not Available""
   ),
   IFERROR(
     INDEX(
       GOOGLE"&amp;"FINANCE(
         ""NSE:""&amp;UPPER(TRIM(E315)),
         ""close"",
         DATE(VALUE(RIGHT(A315,4)),VALUE(MID(A315,4,2)),VALUE(LEFT(A315,2))),
         DATE(VALUE(RIGHT(A315,4)),VALUE(MID(A315,4,2)),VALUE(LEFT(A315,2)))+1
       ),
       2,2
     ),
   "&amp;"  ""Not Available""
   )
 ))"),42.15)</f>
        <v>42.15</v>
      </c>
      <c r="G315" s="42">
        <f>IFERROR(__xludf.DUMMYFUNCTION("IF(E315="""","""",IFERROR(GOOGLEFINANCE(""NSE:""&amp;UPPER(TRIM(E315)),""price""),""Not Available""))"),42.81)</f>
        <v>42.81</v>
      </c>
      <c r="H315" s="53">
        <f t="shared" si="1"/>
        <v>59</v>
      </c>
      <c r="I315" s="58">
        <f t="shared" si="2"/>
        <v>0.01565836299</v>
      </c>
      <c r="J315" s="60">
        <f t="shared" si="3"/>
        <v>1565.836299</v>
      </c>
      <c r="K315" s="42"/>
      <c r="L315" s="42"/>
      <c r="M315" s="68">
        <f t="shared" si="4"/>
        <v>-1</v>
      </c>
      <c r="N315" s="68">
        <f t="shared" si="5"/>
        <v>-1</v>
      </c>
      <c r="O315" s="68">
        <v>0.172004744958</v>
      </c>
      <c r="P315" s="23">
        <v>46262</v>
      </c>
      <c r="Q315" s="68">
        <v>0.0305581665752</v>
      </c>
      <c r="R315" s="68">
        <v>0.6079</v>
      </c>
      <c r="S315" s="23">
        <v>46203</v>
      </c>
      <c r="T315" s="23">
        <v>46230</v>
      </c>
      <c r="U315" s="39">
        <v>42.15</v>
      </c>
      <c r="V315" s="39">
        <v>44.1764</v>
      </c>
      <c r="W315" t="inlineStr">
        <is>
          <t>Below 75 DMA</t>
        </is>
      </c>
    </row>
    <row r="316">
      <c r="A316" s="23">
        <v>46230.0</v>
      </c>
      <c r="B316" s="25" t="str">
        <f t="shared" si="6"/>
        <v>Monday</v>
      </c>
      <c r="C316" s="25" t="s">
        <v>335</v>
      </c>
      <c r="D316" s="31">
        <f>IFERROR(__xludf.DUMMYFUNCTION("GOOGLEFINANCE(""NSE:""&amp;UPPER(TRIM(E316)),""marketcap"")/10000000"),2157.1285416)</f>
        <v>2157.128542</v>
      </c>
      <c r="E316" s="7" t="s">
        <v>487</v>
      </c>
      <c r="F316" s="39">
        <f>IFERROR(__xludf.DUMMYFUNCTION("IF(OR(E316="""",A316=""""),"""",
 IF(
   DATE(VALUE(RIGHT(A316,4)),VALUE(MID(A316,4,2)),VALUE(LEFT(A316,2)))&gt;=TODAY(),
   IFERROR(
     GOOGLEFINANCE(""NSE:""&amp;UPPER(TRIM(E316)),""price""),
     ""Not Available""
   ),
   IFERROR(
     INDEX(
       GOOGLE"&amp;"FINANCE(
         ""NSE:""&amp;UPPER(TRIM(E316)),
         ""close"",
         DATE(VALUE(RIGHT(A316,4)),VALUE(MID(A316,4,2)),VALUE(LEFT(A316,2))),
         DATE(VALUE(RIGHT(A316,4)),VALUE(MID(A316,4,2)),VALUE(LEFT(A316,2)))+1
       ),
       2,2
     ),
   "&amp;"  ""Not Available""
   )
 ))"),89.95)</f>
        <v>89.95</v>
      </c>
      <c r="G316" s="42">
        <f>IFERROR(__xludf.DUMMYFUNCTION("IF(E316="""","""",IFERROR(GOOGLEFINANCE(""NSE:""&amp;UPPER(TRIM(E316)),""price""),""Not Available""))"),117.94)</f>
        <v>117.94</v>
      </c>
      <c r="H316" s="53">
        <f t="shared" si="1"/>
        <v>59</v>
      </c>
      <c r="I316" s="58">
        <f t="shared" si="2"/>
        <v>0.3111728738</v>
      </c>
      <c r="J316" s="60">
        <f t="shared" si="3"/>
        <v>31117.28738</v>
      </c>
      <c r="K316" s="42"/>
      <c r="L316" s="42"/>
      <c r="M316" s="68">
        <f t="shared" si="4"/>
        <v>-1</v>
      </c>
      <c r="N316" s="68">
        <f t="shared" si="5"/>
        <v>-1</v>
      </c>
      <c r="O316" s="68">
        <v>0.544080044469</v>
      </c>
      <c r="P316" s="23">
        <v>46269</v>
      </c>
      <c r="R316" s="68">
        <v>0.7414</v>
      </c>
      <c r="S316" s="23">
        <v>46203</v>
      </c>
      <c r="T316" s="23">
        <v>46230</v>
      </c>
      <c r="U316" s="39">
        <v>89.95</v>
      </c>
      <c r="V316" s="39">
        <v>81.5650666667</v>
      </c>
      <c r="W316" t="inlineStr">
        <is>
          <t>Above 75 DMA</t>
        </is>
      </c>
    </row>
    <row r="317">
      <c r="A317" s="23">
        <v>46230.0</v>
      </c>
      <c r="B317" s="25" t="str">
        <f t="shared" si="6"/>
        <v>Monday</v>
      </c>
      <c r="C317" s="25" t="s">
        <v>335</v>
      </c>
      <c r="D317" s="31">
        <f>IFERROR(__xludf.DUMMYFUNCTION("GOOGLEFINANCE(""NSE:""&amp;UPPER(TRIM(E317)),""marketcap"")/10000000"),3225.3483)</f>
        <v>3225.3483</v>
      </c>
      <c r="E317" s="7" t="s">
        <v>493</v>
      </c>
      <c r="F317" s="39">
        <f>IFERROR(__xludf.DUMMYFUNCTION("IF(OR(E317="""",A317=""""),"""",
 IF(
   DATE(VALUE(RIGHT(A317,4)),VALUE(MID(A317,4,2)),VALUE(LEFT(A317,2)))&gt;=TODAY(),
   IFERROR(
     GOOGLEFINANCE(""NSE:""&amp;UPPER(TRIM(E317)),""price""),
     ""Not Available""
   ),
   IFERROR(
     INDEX(
       GOOGLE"&amp;"FINANCE(
         ""NSE:""&amp;UPPER(TRIM(E317)),
         ""close"",
         DATE(VALUE(RIGHT(A317,4)),VALUE(MID(A317,4,2)),VALUE(LEFT(A317,2))),
         DATE(VALUE(RIGHT(A317,4)),VALUE(MID(A317,4,2)),VALUE(LEFT(A317,2)))+1
       ),
       2,2
     ),
   "&amp;"  ""Not Available""
   )
 ))"),217.41)</f>
        <v>217.41</v>
      </c>
      <c r="G317" s="42">
        <f>IFERROR(__xludf.DUMMYFUNCTION("IF(E317="""","""",IFERROR(GOOGLEFINANCE(""NSE:""&amp;UPPER(TRIM(E317)),""price""),""Not Available""))"),258.0)</f>
        <v>258</v>
      </c>
      <c r="H317" s="53">
        <f t="shared" si="1"/>
        <v>59</v>
      </c>
      <c r="I317" s="58">
        <f t="shared" si="2"/>
        <v>0.186697944</v>
      </c>
      <c r="J317" s="60">
        <f t="shared" si="3"/>
        <v>18669.7944</v>
      </c>
      <c r="K317" s="42"/>
      <c r="L317" s="42"/>
      <c r="M317" s="68">
        <f t="shared" si="4"/>
        <v>-1</v>
      </c>
      <c r="N317" s="68">
        <f t="shared" si="5"/>
        <v>-1</v>
      </c>
      <c r="O317" s="68">
        <v>0.316406789016</v>
      </c>
      <c r="P317" s="23">
        <v>46288</v>
      </c>
      <c r="R317" s="68">
        <v>0.4049</v>
      </c>
      <c r="S317" s="23">
        <v>46203</v>
      </c>
      <c r="T317" s="23">
        <v>46230</v>
      </c>
      <c r="U317" s="39">
        <v>217.41</v>
      </c>
      <c r="V317" s="39">
        <v>224.426666667</v>
      </c>
      <c r="W317" t="inlineStr">
        <is>
          <t>Below 75 DMA</t>
        </is>
      </c>
    </row>
    <row r="318">
      <c r="A318" s="23">
        <v>46230.0</v>
      </c>
      <c r="B318" s="25" t="str">
        <f t="shared" si="6"/>
        <v>Monday</v>
      </c>
      <c r="C318" s="25" t="s">
        <v>335</v>
      </c>
      <c r="D318" s="31">
        <f>IFERROR(__xludf.DUMMYFUNCTION("GOOGLEFINANCE(""NSE:""&amp;UPPER(TRIM(E318)),""marketcap"")/10000000"),8953.05726)</f>
        <v>8953.05726</v>
      </c>
      <c r="E318" s="7" t="s">
        <v>488</v>
      </c>
      <c r="F318" s="39">
        <f>IFERROR(__xludf.DUMMYFUNCTION("IF(OR(E318="""",A318=""""),"""",
 IF(
   DATE(VALUE(RIGHT(A318,4)),VALUE(MID(A318,4,2)),VALUE(LEFT(A318,2)))&gt;=TODAY(),
   IFERROR(
     GOOGLEFINANCE(""NSE:""&amp;UPPER(TRIM(E318)),""price""),
     ""Not Available""
   ),
   IFERROR(
     INDEX(
       GOOGLE"&amp;"FINANCE(
         ""NSE:""&amp;UPPER(TRIM(E318)),
         ""close"",
         DATE(VALUE(RIGHT(A318,4)),VALUE(MID(A318,4,2)),VALUE(LEFT(A318,2))),
         DATE(VALUE(RIGHT(A318,4)),VALUE(MID(A318,4,2)),VALUE(LEFT(A318,2)))+1
       ),
       2,2
     ),
   "&amp;"  ""Not Available""
   )
 ))"),373.95)</f>
        <v>373.95</v>
      </c>
      <c r="G318" s="42">
        <f>IFERROR(__xludf.DUMMYFUNCTION("IF(E318="""","""",IFERROR(GOOGLEFINANCE(""NSE:""&amp;UPPER(TRIM(E318)),""price""),""Not Available""))"),490.35)</f>
        <v>490.35</v>
      </c>
      <c r="H318" s="53">
        <f t="shared" si="1"/>
        <v>59</v>
      </c>
      <c r="I318" s="58">
        <f t="shared" si="2"/>
        <v>0.3112715604</v>
      </c>
      <c r="J318" s="60">
        <f t="shared" si="3"/>
        <v>31127.15604</v>
      </c>
      <c r="K318" s="42"/>
      <c r="L318" s="42"/>
      <c r="M318" s="68">
        <f t="shared" si="4"/>
        <v>-1</v>
      </c>
      <c r="N318" s="68">
        <f t="shared" si="5"/>
        <v>-1</v>
      </c>
      <c r="O318" s="68">
        <v>0.403663591389</v>
      </c>
      <c r="P318" s="23">
        <v>46265</v>
      </c>
      <c r="R318" s="68">
        <v>0.5662</v>
      </c>
      <c r="S318" s="23">
        <v>46203</v>
      </c>
      <c r="T318" s="23">
        <v>46230</v>
      </c>
      <c r="U318" s="39">
        <v>373.95</v>
      </c>
      <c r="V318" s="39">
        <v>395.910666667</v>
      </c>
      <c r="W318" t="inlineStr">
        <is>
          <t>Below 75 DMA</t>
        </is>
      </c>
    </row>
    <row r="319">
      <c r="A319" s="23">
        <v>46230.0</v>
      </c>
      <c r="B319" s="25" t="str">
        <f t="shared" si="6"/>
        <v>Monday</v>
      </c>
      <c r="C319" s="25" t="s">
        <v>335</v>
      </c>
      <c r="D319" s="31">
        <f>IFERROR(__xludf.DUMMYFUNCTION("GOOGLEFINANCE(""NSE:""&amp;UPPER(TRIM(E319)),""marketcap"")/10000000"),31579.7738028)</f>
        <v>31579.7738</v>
      </c>
      <c r="E319" s="7" t="s">
        <v>273</v>
      </c>
      <c r="F319" s="39">
        <f>IFERROR(__xludf.DUMMYFUNCTION("IF(OR(E319="""",A319=""""),"""",
 IF(
   DATE(VALUE(RIGHT(A319,4)),VALUE(MID(A319,4,2)),VALUE(LEFT(A319,2)))&gt;=TODAY(),
   IFERROR(
     GOOGLEFINANCE(""NSE:""&amp;UPPER(TRIM(E319)),""price""),
     ""Not Available""
   ),
   IFERROR(
     INDEX(
       GOOGLE"&amp;"FINANCE(
         ""NSE:""&amp;UPPER(TRIM(E319)),
         ""close"",
         DATE(VALUE(RIGHT(A319,4)),VALUE(MID(A319,4,2)),VALUE(LEFT(A319,2))),
         DATE(VALUE(RIGHT(A319,4)),VALUE(MID(A319,4,2)),VALUE(LEFT(A319,2)))+1
       ),
       2,2
     ),
   "&amp;"  ""Not Available""
   )
 ))"),278.15)</f>
        <v>278.15</v>
      </c>
      <c r="G319" s="42">
        <f>IFERROR(__xludf.DUMMYFUNCTION("IF(E319="""","""",IFERROR(GOOGLEFINANCE(""NSE:""&amp;UPPER(TRIM(E319)),""price""),""Not Available""))"),404.0)</f>
        <v>404</v>
      </c>
      <c r="H319" s="53">
        <f t="shared" si="1"/>
        <v>59</v>
      </c>
      <c r="I319" s="58">
        <f t="shared" si="2"/>
        <v>0.452453712</v>
      </c>
      <c r="J319" s="60">
        <f t="shared" si="3"/>
        <v>45245.3712</v>
      </c>
      <c r="K319" s="42"/>
      <c r="L319" s="42"/>
      <c r="M319" s="68">
        <f t="shared" si="4"/>
        <v>-1</v>
      </c>
      <c r="N319" s="68">
        <f t="shared" si="5"/>
        <v>-1</v>
      </c>
      <c r="O319" s="68">
        <v>0.508179040086</v>
      </c>
      <c r="P319" s="23">
        <v>46288</v>
      </c>
      <c r="R319" s="68">
        <v>0</v>
      </c>
      <c r="S319" s="23">
        <v>46203</v>
      </c>
      <c r="T319" s="23">
        <v>46230</v>
      </c>
      <c r="U319" s="39">
        <v>278.15</v>
      </c>
      <c r="V319" s="39">
        <v>239.835066667</v>
      </c>
      <c r="W319" t="inlineStr">
        <is>
          <t>Above 75 DMA</t>
        </is>
      </c>
    </row>
    <row r="320">
      <c r="A320" s="23">
        <v>46230.0</v>
      </c>
      <c r="B320" s="25" t="str">
        <f t="shared" si="6"/>
        <v>Monday</v>
      </c>
      <c r="C320" s="25" t="s">
        <v>335</v>
      </c>
      <c r="D320" s="31">
        <f>IFERROR(__xludf.DUMMYFUNCTION("GOOGLEFINANCE(""NSE:""&amp;UPPER(TRIM(E320)),""marketcap"")/10000000"),141609.5782393)</f>
        <v>141609.5782</v>
      </c>
      <c r="E320" s="7" t="s">
        <v>563</v>
      </c>
      <c r="F320" s="39">
        <f>IFERROR(__xludf.DUMMYFUNCTION("IF(OR(E320="""",A320=""""),"""",
 IF(
   DATE(VALUE(RIGHT(A320,4)),VALUE(MID(A320,4,2)),VALUE(LEFT(A320,2)))&gt;=TODAY(),
   IFERROR(
     GOOGLEFINANCE(""NSE:""&amp;UPPER(TRIM(E320)),""price""),
     ""Not Available""
   ),
   IFERROR(
     INDEX(
       GOOGLE"&amp;"FINANCE(
         ""NSE:""&amp;UPPER(TRIM(E320)),
         ""close"",
         DATE(VALUE(RIGHT(A320,4)),VALUE(MID(A320,4,2)),VALUE(LEFT(A320,2))),
         DATE(VALUE(RIGHT(A320,4)),VALUE(MID(A320,4,2)),VALUE(LEFT(A320,2)))+1
       ),
       2,2
     ),
   "&amp;"  ""Not Available""
   )
 ))"),350.55)</f>
        <v>350.55</v>
      </c>
      <c r="G320" s="42">
        <f>IFERROR(__xludf.DUMMYFUNCTION("IF(E320="""","""",IFERROR(GOOGLEFINANCE(""NSE:""&amp;UPPER(TRIM(E320)),""price""),""Not Available""))"),335.65)</f>
        <v>335.65</v>
      </c>
      <c r="H320" s="53">
        <f t="shared" si="1"/>
        <v>59</v>
      </c>
      <c r="I320" s="58">
        <f t="shared" si="2"/>
        <v>-0.04250463557</v>
      </c>
      <c r="J320" s="60">
        <f t="shared" si="3"/>
        <v>-4250.463557</v>
      </c>
      <c r="K320" s="42"/>
      <c r="L320" s="42"/>
      <c r="M320" s="68">
        <f t="shared" si="4"/>
        <v>-1</v>
      </c>
      <c r="N320" s="68">
        <f t="shared" si="5"/>
        <v>-1</v>
      </c>
      <c r="O320" s="68">
        <v>0.113107973185</v>
      </c>
      <c r="P320" s="23">
        <v>46240</v>
      </c>
      <c r="R320" s="68">
        <v>0.8541</v>
      </c>
      <c r="S320" s="23">
        <v>46203</v>
      </c>
      <c r="T320" s="23">
        <v>46230</v>
      </c>
      <c r="U320" s="39">
        <v>350.55</v>
      </c>
      <c r="V320" s="39">
        <v>332.783333333</v>
      </c>
      <c r="W320" t="inlineStr">
        <is>
          <t>Above 75 DMA</t>
        </is>
      </c>
    </row>
    <row r="321">
      <c r="A321" s="23">
        <v>46230.0</v>
      </c>
      <c r="B321" s="25" t="str">
        <f t="shared" si="6"/>
        <v>Monday</v>
      </c>
      <c r="C321" s="25" t="s">
        <v>335</v>
      </c>
      <c r="D321" s="31">
        <f>IFERROR(__xludf.DUMMYFUNCTION("GOOGLEFINANCE(""NSE:""&amp;UPPER(TRIM(E321)),""marketcap"")/10000000"),1594.714155)</f>
        <v>1594.714155</v>
      </c>
      <c r="E321" s="7" t="s">
        <v>489</v>
      </c>
      <c r="F321" s="39" t="str">
        <f>IFERROR(__xludf.DUMMYFUNCTION("IF(OR(E321="""",A321=""""),"""",
 IF(
   DATE(VALUE(RIGHT(A321,4)),VALUE(MID(A321,4,2)),VALUE(LEFT(A321,2)))&gt;=TODAY(),
   IFERROR(
     GOOGLEFINANCE(""NSE:""&amp;UPPER(TRIM(E321)),""price""),
     ""Not Available""
   ),
   IFERROR(
     INDEX(
       GOOGLE"&amp;"FINANCE(
         ""NSE:""&amp;UPPER(TRIM(E321)),
         ""close"",
         DATE(VALUE(RIGHT(A321,4)),VALUE(MID(A321,4,2)),VALUE(LEFT(A321,2))),
         DATE(VALUE(RIGHT(A321,4)),VALUE(MID(A321,4,2)),VALUE(LEFT(A321,2)))+1
       ),
       2,2
     ),
   "&amp;"  ""Not Available""
   )
 ))"),"Not Available")</f>
        <v>Not Available</v>
      </c>
      <c r="G321" s="42">
        <f>IFERROR(__xludf.DUMMYFUNCTION("IF(E321="""","""",IFERROR(GOOGLEFINANCE(""NSE:""&amp;UPPER(TRIM(E321)),""price""),""Not Available""))"),305.0)</f>
        <v>305</v>
      </c>
      <c r="H321" s="53">
        <f t="shared" si="1"/>
        <v>59</v>
      </c>
      <c r="I321" s="58" t="str">
        <f t="shared" si="2"/>
        <v>#VALUE!</v>
      </c>
      <c r="J321" s="60" t="str">
        <f t="shared" si="3"/>
        <v>#VALUE!</v>
      </c>
      <c r="K321" s="42"/>
      <c r="L321" s="42"/>
      <c r="M321" s="68" t="str">
        <f t="shared" si="4"/>
        <v>#VALUE!</v>
      </c>
      <c r="N321" s="68" t="str">
        <f t="shared" si="5"/>
        <v>#VALUE!</v>
      </c>
    </row>
    <row r="322">
      <c r="A322" s="23">
        <v>46227.0</v>
      </c>
      <c r="B322" s="25" t="str">
        <f t="shared" si="6"/>
        <v>Friday</v>
      </c>
      <c r="C322" s="25" t="s">
        <v>347</v>
      </c>
      <c r="D322" s="31">
        <f>IFERROR(__xludf.DUMMYFUNCTION("GOOGLEFINANCE(""NSE:""&amp;UPPER(TRIM(E322)),""marketcap"")/10000000"),392.7384187)</f>
        <v>392.7384187</v>
      </c>
      <c r="E322" s="7" t="s">
        <v>46</v>
      </c>
      <c r="F322" s="39">
        <f>IFERROR(__xludf.DUMMYFUNCTION("IF(OR(E322="""",A322=""""),"""",
 IF(
   DATE(VALUE(RIGHT(A322,4)),VALUE(MID(A322,4,2)),VALUE(LEFT(A322,2)))&gt;=TODAY(),
   IFERROR(
     GOOGLEFINANCE(""NSE:""&amp;UPPER(TRIM(E322)),""price""),
     ""Not Available""
   ),
   IFERROR(
     INDEX(
       GOOGLE"&amp;"FINANCE(
         ""NSE:""&amp;UPPER(TRIM(E322)),
         ""close"",
         DATE(VALUE(RIGHT(A322,4)),VALUE(MID(A322,4,2)),VALUE(LEFT(A322,2))),
         DATE(VALUE(RIGHT(A322,4)),VALUE(MID(A322,4,2)),VALUE(LEFT(A322,2)))+1
       ),
       2,2
     ),
   "&amp;"  ""Not Available""
   )
 ))"),84.93)</f>
        <v>84.93</v>
      </c>
      <c r="G322" s="42">
        <f>IFERROR(__xludf.DUMMYFUNCTION("IF(E322="""","""",IFERROR(GOOGLEFINANCE(""NSE:""&amp;UPPER(TRIM(E322)),""price""),""Not Available""))"),83.16)</f>
        <v>83.16</v>
      </c>
      <c r="H322" s="53">
        <f t="shared" si="1"/>
        <v>62</v>
      </c>
      <c r="I322" s="58">
        <f t="shared" si="2"/>
        <v>-0.02084069233</v>
      </c>
      <c r="J322" s="60">
        <f t="shared" si="3"/>
        <v>-2084.069233</v>
      </c>
      <c r="K322" s="42"/>
      <c r="L322" s="42"/>
      <c r="M322" s="68">
        <f t="shared" si="4"/>
        <v>-1</v>
      </c>
      <c r="N322" s="68">
        <f t="shared" si="5"/>
        <v>-1</v>
      </c>
      <c r="O322" s="68">
        <v>0.253973860827</v>
      </c>
      <c r="P322" s="23">
        <v>46240</v>
      </c>
      <c r="Q322" s="68">
        <v>-0.00390625</v>
      </c>
    </row>
    <row r="323">
      <c r="A323" s="23">
        <v>46227.0</v>
      </c>
      <c r="B323" s="25" t="str">
        <f t="shared" si="6"/>
        <v>Friday</v>
      </c>
      <c r="C323" s="25" t="s">
        <v>347</v>
      </c>
      <c r="D323" s="31">
        <f>IFERROR(__xludf.DUMMYFUNCTION("GOOGLEFINANCE(""NSE:""&amp;UPPER(TRIM(E323)),""marketcap"")/10000000"),4615.691002)</f>
        <v>4615.691002</v>
      </c>
      <c r="E323" s="7" t="s">
        <v>60</v>
      </c>
      <c r="F323" s="39">
        <f>IFERROR(__xludf.DUMMYFUNCTION("IF(OR(E323="""",A323=""""),"""",
 IF(
   DATE(VALUE(RIGHT(A323,4)),VALUE(MID(A323,4,2)),VALUE(LEFT(A323,2)))&gt;=TODAY(),
   IFERROR(
     GOOGLEFINANCE(""NSE:""&amp;UPPER(TRIM(E323)),""price""),
     ""Not Available""
   ),
   IFERROR(
     INDEX(
       GOOGLE"&amp;"FINANCE(
         ""NSE:""&amp;UPPER(TRIM(E323)),
         ""close"",
         DATE(VALUE(RIGHT(A323,4)),VALUE(MID(A323,4,2)),VALUE(LEFT(A323,2))),
         DATE(VALUE(RIGHT(A323,4)),VALUE(MID(A323,4,2)),VALUE(LEFT(A323,2)))+1
       ),
       2,2
     ),
   "&amp;"  ""Not Available""
   )
 ))"),1162.7)</f>
        <v>1162.7</v>
      </c>
      <c r="G323" s="42">
        <f>IFERROR(__xludf.DUMMYFUNCTION("IF(E323="""","""",IFERROR(GOOGLEFINANCE(""NSE:""&amp;UPPER(TRIM(E323)),""price""),""Not Available""))"),1069.9)</f>
        <v>1069.9</v>
      </c>
      <c r="H323" s="53">
        <f t="shared" si="1"/>
        <v>62</v>
      </c>
      <c r="I323" s="58">
        <f t="shared" si="2"/>
        <v>-0.07981422551</v>
      </c>
      <c r="J323" s="60">
        <f t="shared" si="3"/>
        <v>-7981.422551</v>
      </c>
      <c r="K323" s="42"/>
      <c r="L323" s="42"/>
      <c r="M323" s="68">
        <f t="shared" si="4"/>
        <v>-1</v>
      </c>
      <c r="N323" s="68">
        <f t="shared" si="5"/>
        <v>-1</v>
      </c>
      <c r="O323" s="68">
        <v>0.0878128494023</v>
      </c>
      <c r="P323" s="23">
        <v>46261</v>
      </c>
      <c r="R323" s="68">
        <v>0.6883</v>
      </c>
      <c r="S323" s="23">
        <v>46203</v>
      </c>
      <c r="T323" s="23">
        <v>46227</v>
      </c>
      <c r="U323" s="39">
        <v>1162.7</v>
      </c>
      <c r="V323" s="39">
        <v>1152.836</v>
      </c>
      <c r="W323" t="inlineStr">
        <is>
          <t>Above 75 DMA</t>
        </is>
      </c>
    </row>
    <row r="324">
      <c r="A324" s="23">
        <v>46227.0</v>
      </c>
      <c r="B324" s="25" t="str">
        <f t="shared" si="6"/>
        <v>Friday</v>
      </c>
      <c r="C324" s="25" t="s">
        <v>347</v>
      </c>
      <c r="D324" s="31">
        <f>IFERROR(__xludf.DUMMYFUNCTION("GOOGLEFINANCE(""NSE:""&amp;UPPER(TRIM(E324)),""marketcap"")/10000000"),1066.666)</f>
        <v>1066.666</v>
      </c>
      <c r="E324" s="7" t="s">
        <v>61</v>
      </c>
      <c r="F324" s="39">
        <f>IFERROR(__xludf.DUMMYFUNCTION("IF(OR(E324="""",A324=""""),"""",
 IF(
   DATE(VALUE(RIGHT(A324,4)),VALUE(MID(A324,4,2)),VALUE(LEFT(A324,2)))&gt;=TODAY(),
   IFERROR(
     GOOGLEFINANCE(""NSE:""&amp;UPPER(TRIM(E324)),""price""),
     ""Not Available""
   ),
   IFERROR(
     INDEX(
       GOOGLE"&amp;"FINANCE(
         ""NSE:""&amp;UPPER(TRIM(E324)),
         ""close"",
         DATE(VALUE(RIGHT(A324,4)),VALUE(MID(A324,4,2)),VALUE(LEFT(A324,2))),
         DATE(VALUE(RIGHT(A324,4)),VALUE(MID(A324,4,2)),VALUE(LEFT(A324,2)))+1
       ),
       2,2
     ),
   "&amp;"  ""Not Available""
   )
 ))"),2007.5)</f>
        <v>2007.5</v>
      </c>
      <c r="G324" s="42">
        <f>IFERROR(__xludf.DUMMYFUNCTION("IF(E324="""","""",IFERROR(GOOGLEFINANCE(""NSE:""&amp;UPPER(TRIM(E324)),""price""),""Not Available""))"),2000.0)</f>
        <v>2000</v>
      </c>
      <c r="H324" s="53">
        <f t="shared" si="1"/>
        <v>62</v>
      </c>
      <c r="I324" s="58">
        <f t="shared" si="2"/>
        <v>-0.003735990037</v>
      </c>
      <c r="J324" s="60">
        <f t="shared" si="3"/>
        <v>-373.5990037</v>
      </c>
      <c r="K324" s="42"/>
      <c r="L324" s="42"/>
      <c r="M324" s="68">
        <f t="shared" si="4"/>
        <v>-1</v>
      </c>
      <c r="N324" s="68">
        <f t="shared" si="5"/>
        <v>-1</v>
      </c>
      <c r="O324" s="68">
        <v>0.067696139477</v>
      </c>
      <c r="P324" s="23">
        <v>46237</v>
      </c>
      <c r="R324" s="68">
        <v>0.4005</v>
      </c>
      <c r="S324" s="23">
        <v>46203</v>
      </c>
      <c r="T324" s="23">
        <v>46227</v>
      </c>
      <c r="U324" s="39">
        <v>2007.5</v>
      </c>
      <c r="V324" s="39">
        <v>1854.15066667</v>
      </c>
      <c r="W324" t="inlineStr">
        <is>
          <t>Above 75 DMA</t>
        </is>
      </c>
    </row>
    <row r="325">
      <c r="A325" s="23">
        <v>46227.0</v>
      </c>
      <c r="B325" s="25" t="str">
        <f t="shared" si="6"/>
        <v>Friday</v>
      </c>
      <c r="C325" s="25" t="s">
        <v>347</v>
      </c>
      <c r="D325" s="31">
        <f>IFERROR(__xludf.DUMMYFUNCTION("GOOGLEFINANCE(""NSE:""&amp;UPPER(TRIM(E325)),""marketcap"")/10000000"),1451.6620158)</f>
        <v>1451.662016</v>
      </c>
      <c r="E325" s="7" t="s">
        <v>63</v>
      </c>
      <c r="F325" s="39">
        <f>IFERROR(__xludf.DUMMYFUNCTION("IF(OR(E325="""",A325=""""),"""",
 IF(
   DATE(VALUE(RIGHT(A325,4)),VALUE(MID(A325,4,2)),VALUE(LEFT(A325,2)))&gt;=TODAY(),
   IFERROR(
     GOOGLEFINANCE(""NSE:""&amp;UPPER(TRIM(E325)),""price""),
     ""Not Available""
   ),
   IFERROR(
     INDEX(
       GOOGLE"&amp;"FINANCE(
         ""NSE:""&amp;UPPER(TRIM(E325)),
         ""close"",
         DATE(VALUE(RIGHT(A325,4)),VALUE(MID(A325,4,2)),VALUE(LEFT(A325,2))),
         DATE(VALUE(RIGHT(A325,4)),VALUE(MID(A325,4,2)),VALUE(LEFT(A325,2)))+1
       ),
       2,2
     ),
   "&amp;"  ""Not Available""
   )
 ))"),979.85)</f>
        <v>979.85</v>
      </c>
      <c r="G325" s="42">
        <f>IFERROR(__xludf.DUMMYFUNCTION("IF(E325="""","""",IFERROR(GOOGLEFINANCE(""NSE:""&amp;UPPER(TRIM(E325)),""price""),""Not Available""))"),1451.6)</f>
        <v>1451.6</v>
      </c>
      <c r="H325" s="53">
        <f t="shared" si="1"/>
        <v>62</v>
      </c>
      <c r="I325" s="58">
        <f t="shared" si="2"/>
        <v>0.4814512425</v>
      </c>
      <c r="J325" s="60">
        <f t="shared" si="3"/>
        <v>48145.12425</v>
      </c>
      <c r="K325" s="42"/>
      <c r="L325" s="42"/>
      <c r="M325" s="68">
        <f t="shared" si="4"/>
        <v>-1</v>
      </c>
      <c r="N325" s="68">
        <f t="shared" si="5"/>
        <v>-1</v>
      </c>
    </row>
    <row r="326">
      <c r="A326" s="23">
        <v>46227.0</v>
      </c>
      <c r="B326" s="25" t="str">
        <f t="shared" si="6"/>
        <v>Friday</v>
      </c>
      <c r="C326" s="25" t="s">
        <v>347</v>
      </c>
      <c r="D326" s="31">
        <f>IFERROR(__xludf.DUMMYFUNCTION("GOOGLEFINANCE(""NSE:""&amp;UPPER(TRIM(E326)),""marketcap"")/10000000"),41837.081625)</f>
        <v>41837.08163</v>
      </c>
      <c r="E326" s="7" t="s">
        <v>66</v>
      </c>
      <c r="F326" s="39">
        <f>IFERROR(__xludf.DUMMYFUNCTION("IF(OR(E326="""",A326=""""),"""",
 IF(
   DATE(VALUE(RIGHT(A326,4)),VALUE(MID(A326,4,2)),VALUE(LEFT(A326,2)))&gt;=TODAY(),
   IFERROR(
     GOOGLEFINANCE(""NSE:""&amp;UPPER(TRIM(E326)),""price""),
     ""Not Available""
   ),
   IFERROR(
     INDEX(
       GOOGLE"&amp;"FINANCE(
         ""NSE:""&amp;UPPER(TRIM(E326)),
         ""close"",
         DATE(VALUE(RIGHT(A326,4)),VALUE(MID(A326,4,2)),VALUE(LEFT(A326,2))),
         DATE(VALUE(RIGHT(A326,4)),VALUE(MID(A326,4,2)),VALUE(LEFT(A326,2)))+1
       ),
       2,2
     ),
   "&amp;"  ""Not Available""
   )
 ))"),356.5)</f>
        <v>356.5</v>
      </c>
      <c r="G326" s="42">
        <f>IFERROR(__xludf.DUMMYFUNCTION("IF(E326="""","""",IFERROR(GOOGLEFINANCE(""NSE:""&amp;UPPER(TRIM(E326)),""price""),""Not Available""))"),338.95)</f>
        <v>338.95</v>
      </c>
      <c r="H326" s="53">
        <f t="shared" si="1"/>
        <v>62</v>
      </c>
      <c r="I326" s="58">
        <f t="shared" si="2"/>
        <v>-0.0492286115</v>
      </c>
      <c r="J326" s="60">
        <f t="shared" si="3"/>
        <v>-4922.86115</v>
      </c>
      <c r="K326" s="42"/>
      <c r="L326" s="42"/>
      <c r="M326" s="68">
        <f t="shared" si="4"/>
        <v>-1</v>
      </c>
      <c r="N326" s="68">
        <f t="shared" si="5"/>
        <v>-1</v>
      </c>
      <c r="O326" s="68">
        <v>0.164095371669</v>
      </c>
      <c r="P326" s="23">
        <v>46244</v>
      </c>
      <c r="R326" s="68">
        <v>0.5249</v>
      </c>
      <c r="S326" s="23">
        <v>46203</v>
      </c>
      <c r="T326" s="23">
        <v>46227</v>
      </c>
      <c r="U326" s="39">
        <v>356.5</v>
      </c>
      <c r="V326" s="39">
        <v>305.996666667</v>
      </c>
      <c r="W326" t="inlineStr">
        <is>
          <t>Above 75 DMA</t>
        </is>
      </c>
    </row>
    <row r="327">
      <c r="A327" s="23">
        <v>46227.0</v>
      </c>
      <c r="B327" s="25" t="str">
        <f t="shared" si="6"/>
        <v>Friday</v>
      </c>
      <c r="C327" s="25" t="s">
        <v>347</v>
      </c>
      <c r="D327" s="31">
        <f>IFERROR(__xludf.DUMMYFUNCTION("GOOGLEFINANCE(""NSE:""&amp;UPPER(TRIM(E327)),""marketcap"")/10000000"),280.4256033)</f>
        <v>280.4256033</v>
      </c>
      <c r="E327" s="7" t="s">
        <v>69</v>
      </c>
      <c r="F327" s="39">
        <f>IFERROR(__xludf.DUMMYFUNCTION("IF(OR(E327="""",A327=""""),"""",
 IF(
   DATE(VALUE(RIGHT(A327,4)),VALUE(MID(A327,4,2)),VALUE(LEFT(A327,2)))&gt;=TODAY(),
   IFERROR(
     GOOGLEFINANCE(""NSE:""&amp;UPPER(TRIM(E327)),""price""),
     ""Not Available""
   ),
   IFERROR(
     INDEX(
       GOOGLE"&amp;"FINANCE(
         ""NSE:""&amp;UPPER(TRIM(E327)),
         ""close"",
         DATE(VALUE(RIGHT(A327,4)),VALUE(MID(A327,4,2)),VALUE(LEFT(A327,2))),
         DATE(VALUE(RIGHT(A327,4)),VALUE(MID(A327,4,2)),VALUE(LEFT(A327,2)))+1
       ),
       2,2
     ),
   "&amp;"  ""Not Available""
   )
 ))"),4.7)</f>
        <v>4.7</v>
      </c>
      <c r="G327" s="42">
        <f>IFERROR(__xludf.DUMMYFUNCTION("IF(E327="""","""",IFERROR(GOOGLEFINANCE(""NSE:""&amp;UPPER(TRIM(E327)),""price""),""Not Available""))"),6.42)</f>
        <v>6.42</v>
      </c>
      <c r="H327" s="53">
        <f t="shared" si="1"/>
        <v>62</v>
      </c>
      <c r="I327" s="58">
        <f t="shared" si="2"/>
        <v>0.3659574468</v>
      </c>
      <c r="J327" s="60">
        <f t="shared" si="3"/>
        <v>36595.74468</v>
      </c>
      <c r="K327" s="42"/>
      <c r="L327" s="42"/>
      <c r="M327" s="68">
        <f t="shared" si="4"/>
        <v>-1</v>
      </c>
      <c r="N327" s="68">
        <f t="shared" si="5"/>
        <v>-1</v>
      </c>
      <c r="O327" s="68">
        <v>0.31914893617</v>
      </c>
      <c r="P327" s="23">
        <v>46241</v>
      </c>
      <c r="R327" s="68">
        <v>0.5496</v>
      </c>
      <c r="S327" s="23">
        <v>46203</v>
      </c>
      <c r="T327" s="23">
        <v>46227</v>
      </c>
      <c r="U327" s="39">
        <v>4.7</v>
      </c>
      <c r="V327" s="39">
        <v>4.31586666667</v>
      </c>
      <c r="W327" t="inlineStr">
        <is>
          <t>Above 75 DMA</t>
        </is>
      </c>
    </row>
    <row r="328">
      <c r="A328" s="23">
        <v>46226.0</v>
      </c>
      <c r="B328" s="25" t="str">
        <f t="shared" si="6"/>
        <v>Thursday</v>
      </c>
      <c r="C328" s="25" t="s">
        <v>347</v>
      </c>
      <c r="D328" s="31">
        <f>IFERROR(__xludf.DUMMYFUNCTION("GOOGLEFINANCE(""NSE:""&amp;UPPER(TRIM(E328)),""marketcap"")/10000000"),14747.54442)</f>
        <v>14747.54442</v>
      </c>
      <c r="E328" s="7" t="s">
        <v>70</v>
      </c>
      <c r="F328" s="39">
        <f>IFERROR(__xludf.DUMMYFUNCTION("IF(OR(E328="""",A328=""""),"""",
 IF(
   DATE(VALUE(RIGHT(A328,4)),VALUE(MID(A328,4,2)),VALUE(LEFT(A328,2)))&gt;=TODAY(),
   IFERROR(
     GOOGLEFINANCE(""NSE:""&amp;UPPER(TRIM(E328)),""price""),
     ""Not Available""
   ),
   IFERROR(
     INDEX(
       GOOGLE"&amp;"FINANCE(
         ""NSE:""&amp;UPPER(TRIM(E328)),
         ""close"",
         DATE(VALUE(RIGHT(A328,4)),VALUE(MID(A328,4,2)),VALUE(LEFT(A328,2))),
         DATE(VALUE(RIGHT(A328,4)),VALUE(MID(A328,4,2)),VALUE(LEFT(A328,2)))+1
       ),
       2,2
     ),
   "&amp;"  ""Not Available""
   )
 ))"),979.0)</f>
        <v>979</v>
      </c>
      <c r="G328" s="42">
        <f>IFERROR(__xludf.DUMMYFUNCTION("IF(E328="""","""",IFERROR(GOOGLEFINANCE(""NSE:""&amp;UPPER(TRIM(E328)),""price""),""Not Available""))"),1238.9)</f>
        <v>1238.9</v>
      </c>
      <c r="H328" s="53">
        <f t="shared" si="1"/>
        <v>63</v>
      </c>
      <c r="I328" s="58">
        <f t="shared" si="2"/>
        <v>0.2654749745</v>
      </c>
      <c r="J328" s="60">
        <f t="shared" si="3"/>
        <v>26547.49745</v>
      </c>
      <c r="K328" s="42"/>
      <c r="L328" s="42"/>
      <c r="M328" s="68">
        <f t="shared" si="4"/>
        <v>-1</v>
      </c>
      <c r="N328" s="68">
        <f t="shared" si="5"/>
        <v>-1</v>
      </c>
      <c r="O328" s="68">
        <v>0.29519918284</v>
      </c>
      <c r="P328" s="23">
        <v>46286</v>
      </c>
      <c r="R328" s="68">
        <v>0.6542</v>
      </c>
      <c r="S328" s="23">
        <v>46203</v>
      </c>
      <c r="T328" s="23">
        <v>46226</v>
      </c>
      <c r="U328" s="39">
        <v>979</v>
      </c>
      <c r="V328" s="39">
        <v>928.415333333</v>
      </c>
      <c r="W328" t="inlineStr">
        <is>
          <t>Above 75 DMA</t>
        </is>
      </c>
    </row>
    <row r="329">
      <c r="A329" s="23">
        <v>46226.0</v>
      </c>
      <c r="B329" s="25" t="str">
        <f t="shared" si="6"/>
        <v>Thursday</v>
      </c>
      <c r="C329" s="25" t="s">
        <v>347</v>
      </c>
      <c r="D329" s="31">
        <f>IFERROR(__xludf.DUMMYFUNCTION("GOOGLEFINANCE(""NSE:""&amp;UPPER(TRIM(E329)),""marketcap"")/10000000"),392.7384187)</f>
        <v>392.7384187</v>
      </c>
      <c r="E329" s="7" t="s">
        <v>46</v>
      </c>
      <c r="F329" s="39">
        <f>IFERROR(__xludf.DUMMYFUNCTION("IF(OR(E329="""",A329=""""),"""",
 IF(
   DATE(VALUE(RIGHT(A329,4)),VALUE(MID(A329,4,2)),VALUE(LEFT(A329,2)))&gt;=TODAY(),
   IFERROR(
     GOOGLEFINANCE(""NSE:""&amp;UPPER(TRIM(E329)),""price""),
     ""Not Available""
   ),
   IFERROR(
     INDEX(
       GOOGLE"&amp;"FINANCE(
         ""NSE:""&amp;UPPER(TRIM(E329)),
         ""close"",
         DATE(VALUE(RIGHT(A329,4)),VALUE(MID(A329,4,2)),VALUE(LEFT(A329,2))),
         DATE(VALUE(RIGHT(A329,4)),VALUE(MID(A329,4,2)),VALUE(LEFT(A329,2)))+1
       ),
       2,2
     ),
   "&amp;"  ""Not Available""
   )
 ))"),87.17)</f>
        <v>87.17</v>
      </c>
      <c r="G329" s="42">
        <f>IFERROR(__xludf.DUMMYFUNCTION("IF(E329="""","""",IFERROR(GOOGLEFINANCE(""NSE:""&amp;UPPER(TRIM(E329)),""price""),""Not Available""))"),83.16)</f>
        <v>83.16</v>
      </c>
      <c r="H329" s="53">
        <f t="shared" si="1"/>
        <v>63</v>
      </c>
      <c r="I329" s="58">
        <f t="shared" si="2"/>
        <v>-0.04600206493</v>
      </c>
      <c r="J329" s="60">
        <f t="shared" si="3"/>
        <v>-4600.206493</v>
      </c>
      <c r="K329" s="42"/>
      <c r="L329" s="42"/>
      <c r="M329" s="68">
        <f t="shared" si="4"/>
        <v>-1</v>
      </c>
      <c r="N329" s="68">
        <f t="shared" si="5"/>
        <v>-1</v>
      </c>
      <c r="O329" s="68">
        <v>0.221750602271</v>
      </c>
      <c r="P329" s="23">
        <v>46240</v>
      </c>
      <c r="Q329" s="68">
        <v>-0.00390625</v>
      </c>
    </row>
    <row r="330">
      <c r="A330" s="23">
        <v>46226.0</v>
      </c>
      <c r="B330" s="25" t="str">
        <f t="shared" si="6"/>
        <v>Thursday</v>
      </c>
      <c r="C330" s="25" t="s">
        <v>347</v>
      </c>
      <c r="D330" s="31">
        <f>IFERROR(__xludf.DUMMYFUNCTION("GOOGLEFINANCE(""NSE:""&amp;UPPER(TRIM(E330)),""marketcap"")/10000000"),26482.8855581)</f>
        <v>26482.88556</v>
      </c>
      <c r="E330" s="7" t="s">
        <v>75</v>
      </c>
      <c r="F330" s="39">
        <f>IFERROR(__xludf.DUMMYFUNCTION("IF(OR(E330="""",A330=""""),"""",
 IF(
   DATE(VALUE(RIGHT(A330,4)),VALUE(MID(A330,4,2)),VALUE(LEFT(A330,2)))&gt;=TODAY(),
   IFERROR(
     GOOGLEFINANCE(""NSE:""&amp;UPPER(TRIM(E330)),""price""),
     ""Not Available""
   ),
   IFERROR(
     INDEX(
       GOOGLE"&amp;"FINANCE(
         ""NSE:""&amp;UPPER(TRIM(E330)),
         ""close"",
         DATE(VALUE(RIGHT(A330,4)),VALUE(MID(A330,4,2)),VALUE(LEFT(A330,2))),
         DATE(VALUE(RIGHT(A330,4)),VALUE(MID(A330,4,2)),VALUE(LEFT(A330,2)))+1
       ),
       2,2
     ),
   "&amp;"  ""Not Available""
   )
 ))"),568.75)</f>
        <v>568.75</v>
      </c>
      <c r="G330" s="42">
        <f>IFERROR(__xludf.DUMMYFUNCTION("IF(E330="""","""",IFERROR(GOOGLEFINANCE(""NSE:""&amp;UPPER(TRIM(E330)),""price""),""Not Available""))"),620.3)</f>
        <v>620.3</v>
      </c>
      <c r="H330" s="53">
        <f t="shared" si="1"/>
        <v>63</v>
      </c>
      <c r="I330" s="58">
        <f t="shared" si="2"/>
        <v>0.09063736264</v>
      </c>
      <c r="J330" s="60">
        <f t="shared" si="3"/>
        <v>9063.736264</v>
      </c>
      <c r="K330" s="42"/>
      <c r="L330" s="42"/>
      <c r="M330" s="68">
        <f t="shared" si="4"/>
        <v>-1</v>
      </c>
      <c r="N330" s="68">
        <f t="shared" si="5"/>
        <v>-1</v>
      </c>
      <c r="O330" s="68">
        <v>0.23956043956</v>
      </c>
      <c r="P330" s="23">
        <v>46258</v>
      </c>
      <c r="R330" s="68">
        <v>0.2485</v>
      </c>
      <c r="S330" s="23">
        <v>46203</v>
      </c>
      <c r="T330" s="23">
        <v>46226</v>
      </c>
      <c r="U330" s="39">
        <v>568.75</v>
      </c>
      <c r="V330" s="39">
        <v>491.555333333</v>
      </c>
      <c r="W330" t="inlineStr">
        <is>
          <t>Above 75 DMA</t>
        </is>
      </c>
    </row>
    <row r="331">
      <c r="A331" s="23">
        <v>46226.0</v>
      </c>
      <c r="B331" s="25" t="str">
        <f t="shared" si="6"/>
        <v>Thursday</v>
      </c>
      <c r="C331" s="25" t="s">
        <v>347</v>
      </c>
      <c r="D331" s="31">
        <f>IFERROR(__xludf.DUMMYFUNCTION("GOOGLEFINANCE(""NSE:""&amp;UPPER(TRIM(E331)),""marketcap"")/10000000"),1451.6620158)</f>
        <v>1451.662016</v>
      </c>
      <c r="E331" s="7" t="s">
        <v>63</v>
      </c>
      <c r="F331" s="39">
        <f>IFERROR(__xludf.DUMMYFUNCTION("IF(OR(E331="""",A331=""""),"""",
 IF(
   DATE(VALUE(RIGHT(A331,4)),VALUE(MID(A331,4,2)),VALUE(LEFT(A331,2)))&gt;=TODAY(),
   IFERROR(
     GOOGLEFINANCE(""NSE:""&amp;UPPER(TRIM(E331)),""price""),
     ""Not Available""
   ),
   IFERROR(
     INDEX(
       GOOGLE"&amp;"FINANCE(
         ""NSE:""&amp;UPPER(TRIM(E331)),
         ""close"",
         DATE(VALUE(RIGHT(A331,4)),VALUE(MID(A331,4,2)),VALUE(LEFT(A331,2))),
         DATE(VALUE(RIGHT(A331,4)),VALUE(MID(A331,4,2)),VALUE(LEFT(A331,2)))+1
       ),
       2,2
     ),
   "&amp;"  ""Not Available""
   )
 ))"),942.8)</f>
        <v>942.8</v>
      </c>
      <c r="G331" s="42">
        <f>IFERROR(__xludf.DUMMYFUNCTION("IF(E331="""","""",IFERROR(GOOGLEFINANCE(""NSE:""&amp;UPPER(TRIM(E331)),""price""),""Not Available""))"),1451.6)</f>
        <v>1451.6</v>
      </c>
      <c r="H331" s="53">
        <f t="shared" si="1"/>
        <v>63</v>
      </c>
      <c r="I331" s="58">
        <f t="shared" si="2"/>
        <v>0.5396690709</v>
      </c>
      <c r="J331" s="60">
        <f t="shared" si="3"/>
        <v>53966.90709</v>
      </c>
      <c r="K331" s="42"/>
      <c r="L331" s="42"/>
      <c r="M331" s="68">
        <f t="shared" si="4"/>
        <v>-1</v>
      </c>
      <c r="N331" s="68">
        <f t="shared" si="5"/>
        <v>-1</v>
      </c>
    </row>
    <row r="332">
      <c r="A332" s="23">
        <v>46226.0</v>
      </c>
      <c r="B332" s="25" t="str">
        <f t="shared" si="6"/>
        <v>Thursday</v>
      </c>
      <c r="C332" s="25" t="s">
        <v>347</v>
      </c>
      <c r="D332" s="31">
        <f>IFERROR(__xludf.DUMMYFUNCTION("GOOGLEFINANCE(""NSE:""&amp;UPPER(TRIM(E332)),""marketcap"")/10000000"),4867.6326335)</f>
        <v>4867.632634</v>
      </c>
      <c r="E332" s="7" t="s">
        <v>81</v>
      </c>
      <c r="F332" s="39">
        <f>IFERROR(__xludf.DUMMYFUNCTION("IF(OR(E332="""",A332=""""),"""",
 IF(
   DATE(VALUE(RIGHT(A332,4)),VALUE(MID(A332,4,2)),VALUE(LEFT(A332,2)))&gt;=TODAY(),
   IFERROR(
     GOOGLEFINANCE(""NSE:""&amp;UPPER(TRIM(E332)),""price""),
     ""Not Available""
   ),
   IFERROR(
     INDEX(
       GOOGLE"&amp;"FINANCE(
         ""NSE:""&amp;UPPER(TRIM(E332)),
         ""close"",
         DATE(VALUE(RIGHT(A332,4)),VALUE(MID(A332,4,2)),VALUE(LEFT(A332,2))),
         DATE(VALUE(RIGHT(A332,4)),VALUE(MID(A332,4,2)),VALUE(LEFT(A332,2)))+1
       ),
       2,2
     ),
   "&amp;"  ""Not Available""
   )
 ))"),34.04)</f>
        <v>34.04</v>
      </c>
      <c r="G332" s="42">
        <f>IFERROR(__xludf.DUMMYFUNCTION("IF(E332="""","""",IFERROR(GOOGLEFINANCE(""NSE:""&amp;UPPER(TRIM(E332)),""price""),""Not Available""))"),48.55)</f>
        <v>48.55</v>
      </c>
      <c r="H332" s="53">
        <f t="shared" si="1"/>
        <v>63</v>
      </c>
      <c r="I332" s="58">
        <f t="shared" si="2"/>
        <v>0.4262632197</v>
      </c>
      <c r="J332" s="60">
        <f t="shared" si="3"/>
        <v>42626.32197</v>
      </c>
      <c r="K332" s="42"/>
      <c r="L332" s="42"/>
      <c r="M332" s="68">
        <f t="shared" si="4"/>
        <v>-1</v>
      </c>
      <c r="N332" s="68">
        <f t="shared" si="5"/>
        <v>-1</v>
      </c>
      <c r="O332" s="68">
        <v>0.821092831962</v>
      </c>
      <c r="P332" s="23">
        <v>46272</v>
      </c>
      <c r="R332" s="68">
        <v>0.6176</v>
      </c>
      <c r="S332" s="23">
        <v>46203</v>
      </c>
      <c r="T332" s="23">
        <v>46226</v>
      </c>
      <c r="U332" s="39">
        <v>34.04</v>
      </c>
      <c r="V332" s="39">
        <v>28.4338666667</v>
      </c>
      <c r="W332" t="inlineStr">
        <is>
          <t>Above 75 DMA</t>
        </is>
      </c>
    </row>
    <row r="333">
      <c r="A333" s="23">
        <v>46226.0</v>
      </c>
      <c r="B333" s="25" t="str">
        <f t="shared" si="6"/>
        <v>Thursday</v>
      </c>
      <c r="C333" s="25" t="s">
        <v>347</v>
      </c>
      <c r="D333" s="31">
        <f>IFERROR(__xludf.DUMMYFUNCTION("GOOGLEFINANCE(""NSE:""&amp;UPPER(TRIM(E333)),""marketcap"")/10000000"),41837.081625)</f>
        <v>41837.08163</v>
      </c>
      <c r="E333" s="7" t="s">
        <v>66</v>
      </c>
      <c r="F333" s="39">
        <f>IFERROR(__xludf.DUMMYFUNCTION("IF(OR(E333="""",A333=""""),"""",
 IF(
   DATE(VALUE(RIGHT(A333,4)),VALUE(MID(A333,4,2)),VALUE(LEFT(A333,2)))&gt;=TODAY(),
   IFERROR(
     GOOGLEFINANCE(""NSE:""&amp;UPPER(TRIM(E333)),""price""),
     ""Not Available""
   ),
   IFERROR(
     INDEX(
       GOOGLE"&amp;"FINANCE(
         ""NSE:""&amp;UPPER(TRIM(E333)),
         ""close"",
         DATE(VALUE(RIGHT(A333,4)),VALUE(MID(A333,4,2)),VALUE(LEFT(A333,2))),
         DATE(VALUE(RIGHT(A333,4)),VALUE(MID(A333,4,2)),VALUE(LEFT(A333,2)))+1
       ),
       2,2
     ),
   "&amp;"  ""Not Available""
   )
 ))"),370.35)</f>
        <v>370.35</v>
      </c>
      <c r="G333" s="42">
        <f>IFERROR(__xludf.DUMMYFUNCTION("IF(E333="""","""",IFERROR(GOOGLEFINANCE(""NSE:""&amp;UPPER(TRIM(E333)),""price""),""Not Available""))"),338.95)</f>
        <v>338.95</v>
      </c>
      <c r="H333" s="53">
        <f t="shared" si="1"/>
        <v>63</v>
      </c>
      <c r="I333" s="58">
        <f t="shared" si="2"/>
        <v>-0.08478466316</v>
      </c>
      <c r="J333" s="60">
        <f t="shared" si="3"/>
        <v>-8478.466316</v>
      </c>
      <c r="K333" s="42"/>
      <c r="L333" s="42"/>
      <c r="M333" s="68">
        <f t="shared" si="4"/>
        <v>-1</v>
      </c>
      <c r="N333" s="68">
        <f t="shared" si="5"/>
        <v>-1</v>
      </c>
      <c r="O333" s="68">
        <v>0.12056163089</v>
      </c>
      <c r="P333" s="23">
        <v>46244</v>
      </c>
      <c r="R333" s="68">
        <v>0.5249</v>
      </c>
      <c r="S333" s="23">
        <v>46203</v>
      </c>
      <c r="T333" s="23">
        <v>46226</v>
      </c>
      <c r="U333" s="39">
        <v>370.35</v>
      </c>
      <c r="V333" s="39">
        <v>304.910666667</v>
      </c>
      <c r="W333" t="inlineStr">
        <is>
          <t>Above 75 DMA</t>
        </is>
      </c>
    </row>
    <row r="334">
      <c r="A334" s="23">
        <v>46226.0</v>
      </c>
      <c r="B334" s="25" t="str">
        <f t="shared" si="6"/>
        <v>Thursday</v>
      </c>
      <c r="C334" s="25" t="s">
        <v>347</v>
      </c>
      <c r="D334" s="31">
        <f>IFERROR(__xludf.DUMMYFUNCTION("GOOGLEFINANCE(""NSE:""&amp;UPPER(TRIM(E334)),""marketcap"")/10000000"),749.977684)</f>
        <v>749.977684</v>
      </c>
      <c r="E334" s="7" t="s">
        <v>84</v>
      </c>
      <c r="F334" s="39">
        <f>IFERROR(__xludf.DUMMYFUNCTION("IF(OR(E334="""",A334=""""),"""",
 IF(
   DATE(VALUE(RIGHT(A334,4)),VALUE(MID(A334,4,2)),VALUE(LEFT(A334,2)))&gt;=TODAY(),
   IFERROR(
     GOOGLEFINANCE(""NSE:""&amp;UPPER(TRIM(E334)),""price""),
     ""Not Available""
   ),
   IFERROR(
     INDEX(
       GOOGLE"&amp;"FINANCE(
         ""NSE:""&amp;UPPER(TRIM(E334)),
         ""close"",
         DATE(VALUE(RIGHT(A334,4)),VALUE(MID(A334,4,2)),VALUE(LEFT(A334,2))),
         DATE(VALUE(RIGHT(A334,4)),VALUE(MID(A334,4,2)),VALUE(LEFT(A334,2)))+1
       ),
       2,2
     ),
   "&amp;"  ""Not Available""
   )
 ))"),97.49)</f>
        <v>97.49</v>
      </c>
      <c r="G334" s="42">
        <f>IFERROR(__xludf.DUMMYFUNCTION("IF(E334="""","""",IFERROR(GOOGLEFINANCE(""NSE:""&amp;UPPER(TRIM(E334)),""price""),""Not Available""))"),94.0)</f>
        <v>94</v>
      </c>
      <c r="H334" s="53">
        <f t="shared" si="1"/>
        <v>63</v>
      </c>
      <c r="I334" s="58">
        <f t="shared" si="2"/>
        <v>-0.03579854344</v>
      </c>
      <c r="J334" s="60">
        <f t="shared" si="3"/>
        <v>-3579.854344</v>
      </c>
      <c r="K334" s="42"/>
      <c r="L334" s="42"/>
      <c r="M334" s="68">
        <f t="shared" si="4"/>
        <v>-1</v>
      </c>
      <c r="N334" s="68">
        <f t="shared" si="5"/>
        <v>-1</v>
      </c>
      <c r="O334" s="68">
        <v>0.256539132219</v>
      </c>
      <c r="P334" s="23">
        <v>46234</v>
      </c>
      <c r="R334" s="68">
        <v>0.735</v>
      </c>
      <c r="S334" s="23">
        <v>46203</v>
      </c>
      <c r="T334" s="23">
        <v>46226</v>
      </c>
      <c r="U334" s="39">
        <v>97.49</v>
      </c>
      <c r="V334" s="39">
        <v>75.1590666667</v>
      </c>
      <c r="W334" t="inlineStr">
        <is>
          <t>Above 75 DMA</t>
        </is>
      </c>
    </row>
    <row r="335">
      <c r="A335" s="23">
        <v>46226.0</v>
      </c>
      <c r="B335" s="25" t="str">
        <f t="shared" si="6"/>
        <v>Thursday</v>
      </c>
      <c r="C335" s="25" t="s">
        <v>347</v>
      </c>
      <c r="D335" s="31">
        <f>IFERROR(__xludf.DUMMYFUNCTION("GOOGLEFINANCE(""NSE:""&amp;UPPER(TRIM(E335)),""marketcap"")/10000000"),280.4256033)</f>
        <v>280.4256033</v>
      </c>
      <c r="E335" s="7" t="s">
        <v>69</v>
      </c>
      <c r="F335" s="39">
        <f>IFERROR(__xludf.DUMMYFUNCTION("IF(OR(E335="""",A335=""""),"""",
 IF(
   DATE(VALUE(RIGHT(A335,4)),VALUE(MID(A335,4,2)),VALUE(LEFT(A335,2)))&gt;=TODAY(),
   IFERROR(
     GOOGLEFINANCE(""NSE:""&amp;UPPER(TRIM(E335)),""price""),
     ""Not Available""
   ),
   IFERROR(
     INDEX(
       GOOGLE"&amp;"FINANCE(
         ""NSE:""&amp;UPPER(TRIM(E335)),
         ""close"",
         DATE(VALUE(RIGHT(A335,4)),VALUE(MID(A335,4,2)),VALUE(LEFT(A335,2))),
         DATE(VALUE(RIGHT(A335,4)),VALUE(MID(A335,4,2)),VALUE(LEFT(A335,2)))+1
       ),
       2,2
     ),
   "&amp;"  ""Not Available""
   )
 ))"),4.72)</f>
        <v>4.72</v>
      </c>
      <c r="G335" s="42">
        <f>IFERROR(__xludf.DUMMYFUNCTION("IF(E335="""","""",IFERROR(GOOGLEFINANCE(""NSE:""&amp;UPPER(TRIM(E335)),""price""),""Not Available""))"),6.42)</f>
        <v>6.42</v>
      </c>
      <c r="H335" s="53">
        <f t="shared" si="1"/>
        <v>63</v>
      </c>
      <c r="I335" s="58">
        <f t="shared" si="2"/>
        <v>0.3601694915</v>
      </c>
      <c r="J335" s="60">
        <f t="shared" si="3"/>
        <v>36016.94915</v>
      </c>
      <c r="K335" s="42"/>
      <c r="L335" s="42"/>
      <c r="M335" s="68">
        <f t="shared" si="4"/>
        <v>-1</v>
      </c>
      <c r="N335" s="68">
        <f t="shared" si="5"/>
        <v>-1</v>
      </c>
      <c r="O335" s="68">
        <v>0.313559322034</v>
      </c>
      <c r="P335" s="23">
        <v>46241</v>
      </c>
      <c r="R335" s="68">
        <v>0.5496</v>
      </c>
      <c r="S335" s="23">
        <v>46203</v>
      </c>
      <c r="T335" s="23">
        <v>46226</v>
      </c>
      <c r="U335" s="39">
        <v>4.72</v>
      </c>
      <c r="V335" s="39">
        <v>4.3124</v>
      </c>
      <c r="W335" t="inlineStr">
        <is>
          <t>Above 75 DMA</t>
        </is>
      </c>
    </row>
    <row r="336">
      <c r="A336" s="23">
        <v>46225.0</v>
      </c>
      <c r="B336" s="25" t="str">
        <f t="shared" si="6"/>
        <v>Wednesday</v>
      </c>
      <c r="C336" s="25" t="s">
        <v>347</v>
      </c>
      <c r="D336" s="31">
        <f>IFERROR(__xludf.DUMMYFUNCTION("GOOGLEFINANCE(""NSE:""&amp;UPPER(TRIM(E336)),""marketcap"")/10000000"),392.7384187)</f>
        <v>392.7384187</v>
      </c>
      <c r="E336" s="7" t="s">
        <v>46</v>
      </c>
      <c r="F336" s="39">
        <f>IFERROR(__xludf.DUMMYFUNCTION("IF(OR(E336="""",A336=""""),"""",
 IF(
   DATE(VALUE(RIGHT(A336,4)),VALUE(MID(A336,4,2)),VALUE(LEFT(A336,2)))&gt;=TODAY(),
   IFERROR(
     GOOGLEFINANCE(""NSE:""&amp;UPPER(TRIM(E336)),""price""),
     ""Not Available""
   ),
   IFERROR(
     INDEX(
       GOOGLE"&amp;"FINANCE(
         ""NSE:""&amp;UPPER(TRIM(E336)),
         ""close"",
         DATE(VALUE(RIGHT(A336,4)),VALUE(MID(A336,4,2)),VALUE(LEFT(A336,2))),
         DATE(VALUE(RIGHT(A336,4)),VALUE(MID(A336,4,2)),VALUE(LEFT(A336,2)))+1
       ),
       2,2
     ),
   "&amp;"  ""Not Available""
   )
 ))"),88.25)</f>
        <v>88.25</v>
      </c>
      <c r="G336" s="42">
        <f>IFERROR(__xludf.DUMMYFUNCTION("IF(E336="""","""",IFERROR(GOOGLEFINANCE(""NSE:""&amp;UPPER(TRIM(E336)),""price""),""Not Available""))"),83.16)</f>
        <v>83.16</v>
      </c>
      <c r="H336" s="53">
        <f t="shared" si="1"/>
        <v>64</v>
      </c>
      <c r="I336" s="58">
        <f t="shared" si="2"/>
        <v>-0.05767705382</v>
      </c>
      <c r="J336" s="60">
        <f t="shared" si="3"/>
        <v>-5767.705382</v>
      </c>
      <c r="K336" s="42"/>
      <c r="L336" s="42"/>
      <c r="M336" s="68">
        <f t="shared" si="4"/>
        <v>-1</v>
      </c>
      <c r="N336" s="68">
        <f t="shared" si="5"/>
        <v>-1</v>
      </c>
      <c r="O336" s="68">
        <v>0.206798866856</v>
      </c>
      <c r="P336" s="23">
        <v>46240</v>
      </c>
      <c r="Q336" s="68">
        <v>-0.00390625</v>
      </c>
    </row>
    <row r="337">
      <c r="A337" s="23">
        <v>46225.0</v>
      </c>
      <c r="B337" s="25" t="str">
        <f t="shared" si="6"/>
        <v>Wednesday</v>
      </c>
      <c r="C337" s="25" t="s">
        <v>347</v>
      </c>
      <c r="D337" s="31">
        <f>IFERROR(__xludf.DUMMYFUNCTION("GOOGLEFINANCE(""NSE:""&amp;UPPER(TRIM(E337)),""marketcap"")/10000000"),74884.9975585)</f>
        <v>74884.99756</v>
      </c>
      <c r="E337" s="7" t="s">
        <v>89</v>
      </c>
      <c r="F337" s="39">
        <f>IFERROR(__xludf.DUMMYFUNCTION("IF(OR(E337="""",A337=""""),"""",
 IF(
   DATE(VALUE(RIGHT(A337,4)),VALUE(MID(A337,4,2)),VALUE(LEFT(A337,2)))&gt;=TODAY(),
   IFERROR(
     GOOGLEFINANCE(""NSE:""&amp;UPPER(TRIM(E337)),""price""),
     ""Not Available""
   ),
   IFERROR(
     INDEX(
       GOOGLE"&amp;"FINANCE(
         ""NSE:""&amp;UPPER(TRIM(E337)),
         ""close"",
         DATE(VALUE(RIGHT(A337,4)),VALUE(MID(A337,4,2)),VALUE(LEFT(A337,2))),
         DATE(VALUE(RIGHT(A337,4)),VALUE(MID(A337,4,2)),VALUE(LEFT(A337,2)))+1
       ),
       2,2
     ),
   "&amp;"  ""Not Available""
   )
 ))"),1635.2)</f>
        <v>1635.2</v>
      </c>
      <c r="G337" s="42">
        <f>IFERROR(__xludf.DUMMYFUNCTION("IF(E337="""","""",IFERROR(GOOGLEFINANCE(""NSE:""&amp;UPPER(TRIM(E337)),""price""),""Not Available""))"),1497.7)</f>
        <v>1497.7</v>
      </c>
      <c r="H337" s="53">
        <f t="shared" si="1"/>
        <v>64</v>
      </c>
      <c r="I337" s="58">
        <f t="shared" si="2"/>
        <v>-0.08408757339</v>
      </c>
      <c r="J337" s="60">
        <f t="shared" si="3"/>
        <v>-8408.757339</v>
      </c>
      <c r="K337" s="42"/>
      <c r="L337" s="42"/>
      <c r="M337" s="68">
        <f t="shared" si="4"/>
        <v>-1</v>
      </c>
      <c r="N337" s="68">
        <f t="shared" si="5"/>
        <v>-1</v>
      </c>
      <c r="O337" s="68">
        <v>0.0262353228963</v>
      </c>
      <c r="P337" s="23">
        <v>46233</v>
      </c>
      <c r="R337" s="68">
        <v>0.7</v>
      </c>
      <c r="S337" s="23">
        <v>46203</v>
      </c>
      <c r="T337" s="23">
        <v>46225</v>
      </c>
      <c r="U337" s="39">
        <v>1635.2</v>
      </c>
      <c r="V337" s="39">
        <v>1521.672</v>
      </c>
      <c r="W337" t="inlineStr">
        <is>
          <t>Above 75 DMA</t>
        </is>
      </c>
    </row>
    <row r="338">
      <c r="A338" s="23">
        <v>46225.0</v>
      </c>
      <c r="B338" s="25" t="str">
        <f t="shared" si="6"/>
        <v>Wednesday</v>
      </c>
      <c r="C338" s="25" t="s">
        <v>347</v>
      </c>
      <c r="D338" s="31">
        <f>IFERROR(__xludf.DUMMYFUNCTION("GOOGLEFINANCE(""NSE:""&amp;UPPER(TRIM(E338)),""marketcap"")/10000000"),4615.691002)</f>
        <v>4615.691002</v>
      </c>
      <c r="E338" s="7" t="s">
        <v>60</v>
      </c>
      <c r="F338" s="39">
        <f>IFERROR(__xludf.DUMMYFUNCTION("IF(OR(E338="""",A338=""""),"""",
 IF(
   DATE(VALUE(RIGHT(A338,4)),VALUE(MID(A338,4,2)),VALUE(LEFT(A338,2)))&gt;=TODAY(),
   IFERROR(
     GOOGLEFINANCE(""NSE:""&amp;UPPER(TRIM(E338)),""price""),
     ""Not Available""
   ),
   IFERROR(
     INDEX(
       GOOGLE"&amp;"FINANCE(
         ""NSE:""&amp;UPPER(TRIM(E338)),
         ""close"",
         DATE(VALUE(RIGHT(A338,4)),VALUE(MID(A338,4,2)),VALUE(LEFT(A338,2))),
         DATE(VALUE(RIGHT(A338,4)),VALUE(MID(A338,4,2)),VALUE(LEFT(A338,2)))+1
       ),
       2,2
     ),
   "&amp;"  ""Not Available""
   )
 ))"),1138.8)</f>
        <v>1138.8</v>
      </c>
      <c r="G338" s="42">
        <f>IFERROR(__xludf.DUMMYFUNCTION("IF(E338="""","""",IFERROR(GOOGLEFINANCE(""NSE:""&amp;UPPER(TRIM(E338)),""price""),""Not Available""))"),1069.9)</f>
        <v>1069.9</v>
      </c>
      <c r="H338" s="53">
        <f t="shared" si="1"/>
        <v>64</v>
      </c>
      <c r="I338" s="58">
        <f t="shared" si="2"/>
        <v>-0.06050228311</v>
      </c>
      <c r="J338" s="60">
        <f t="shared" si="3"/>
        <v>-6050.228311</v>
      </c>
      <c r="K338" s="42"/>
      <c r="L338" s="42"/>
      <c r="M338" s="68">
        <f t="shared" si="4"/>
        <v>-1</v>
      </c>
      <c r="N338" s="68">
        <f t="shared" si="5"/>
        <v>-1</v>
      </c>
      <c r="O338" s="68">
        <v>0.110642781876</v>
      </c>
      <c r="P338" s="23">
        <v>46261</v>
      </c>
      <c r="R338" s="68">
        <v>0.6883</v>
      </c>
      <c r="S338" s="23">
        <v>46203</v>
      </c>
      <c r="T338" s="23">
        <v>46225</v>
      </c>
      <c r="U338" s="39">
        <v>1138.8</v>
      </c>
      <c r="V338" s="39">
        <v>1145.77533333</v>
      </c>
      <c r="W338" t="inlineStr">
        <is>
          <t>Below 75 DMA</t>
        </is>
      </c>
    </row>
    <row r="339">
      <c r="A339" s="23">
        <v>46225.0</v>
      </c>
      <c r="B339" s="25" t="str">
        <f t="shared" si="6"/>
        <v>Wednesday</v>
      </c>
      <c r="C339" s="25" t="s">
        <v>347</v>
      </c>
      <c r="D339" s="31">
        <f>IFERROR(__xludf.DUMMYFUNCTION("GOOGLEFINANCE(""NSE:""&amp;UPPER(TRIM(E339)),""marketcap"")/10000000"),1451.6620158)</f>
        <v>1451.662016</v>
      </c>
      <c r="E339" s="7" t="s">
        <v>63</v>
      </c>
      <c r="F339" s="39">
        <f>IFERROR(__xludf.DUMMYFUNCTION("IF(OR(E339="""",A339=""""),"""",
 IF(
   DATE(VALUE(RIGHT(A339,4)),VALUE(MID(A339,4,2)),VALUE(LEFT(A339,2)))&gt;=TODAY(),
   IFERROR(
     GOOGLEFINANCE(""NSE:""&amp;UPPER(TRIM(E339)),""price""),
     ""Not Available""
   ),
   IFERROR(
     INDEX(
       GOOGLE"&amp;"FINANCE(
         ""NSE:""&amp;UPPER(TRIM(E339)),
         ""close"",
         DATE(VALUE(RIGHT(A339,4)),VALUE(MID(A339,4,2)),VALUE(LEFT(A339,2))),
         DATE(VALUE(RIGHT(A339,4)),VALUE(MID(A339,4,2)),VALUE(LEFT(A339,2)))+1
       ),
       2,2
     ),
   "&amp;"  ""Not Available""
   )
 ))"),923.6)</f>
        <v>923.6</v>
      </c>
      <c r="G339" s="42">
        <f>IFERROR(__xludf.DUMMYFUNCTION("IF(E339="""","""",IFERROR(GOOGLEFINANCE(""NSE:""&amp;UPPER(TRIM(E339)),""price""),""Not Available""))"),1451.6)</f>
        <v>1451.6</v>
      </c>
      <c r="H339" s="53">
        <f t="shared" si="1"/>
        <v>64</v>
      </c>
      <c r="I339" s="58">
        <f t="shared" si="2"/>
        <v>0.5716760502</v>
      </c>
      <c r="J339" s="60">
        <f t="shared" si="3"/>
        <v>57167.60502</v>
      </c>
      <c r="K339" s="42"/>
      <c r="L339" s="42"/>
      <c r="M339" s="68">
        <f t="shared" si="4"/>
        <v>-1</v>
      </c>
      <c r="N339" s="68">
        <f t="shared" si="5"/>
        <v>-1</v>
      </c>
      <c r="O339" s="68">
        <v>0.0556517973149</v>
      </c>
      <c r="P339" s="23">
        <v>46226</v>
      </c>
    </row>
    <row r="340">
      <c r="A340" s="23">
        <v>46225.0</v>
      </c>
      <c r="B340" s="25" t="str">
        <f t="shared" si="6"/>
        <v>Wednesday</v>
      </c>
      <c r="C340" s="25" t="s">
        <v>347</v>
      </c>
      <c r="D340" s="31">
        <f>IFERROR(__xludf.DUMMYFUNCTION("GOOGLEFINANCE(""NSE:""&amp;UPPER(TRIM(E340)),""marketcap"")/10000000"),4867.6326335)</f>
        <v>4867.632634</v>
      </c>
      <c r="E340" s="7" t="s">
        <v>81</v>
      </c>
      <c r="F340" s="39">
        <f>IFERROR(__xludf.DUMMYFUNCTION("IF(OR(E340="""",A340=""""),"""",
 IF(
   DATE(VALUE(RIGHT(A340,4)),VALUE(MID(A340,4,2)),VALUE(LEFT(A340,2)))&gt;=TODAY(),
   IFERROR(
     GOOGLEFINANCE(""NSE:""&amp;UPPER(TRIM(E340)),""price""),
     ""Not Available""
   ),
   IFERROR(
     INDEX(
       GOOGLE"&amp;"FINANCE(
         ""NSE:""&amp;UPPER(TRIM(E340)),
         ""close"",
         DATE(VALUE(RIGHT(A340,4)),VALUE(MID(A340,4,2)),VALUE(LEFT(A340,2))),
         DATE(VALUE(RIGHT(A340,4)),VALUE(MID(A340,4,2)),VALUE(LEFT(A340,2)))+1
       ),
       2,2
     ),
   "&amp;"  ""Not Available""
   )
 ))"),37.15)</f>
        <v>37.15</v>
      </c>
      <c r="G340" s="42">
        <f>IFERROR(__xludf.DUMMYFUNCTION("IF(E340="""","""",IFERROR(GOOGLEFINANCE(""NSE:""&amp;UPPER(TRIM(E340)),""price""),""Not Available""))"),48.55)</f>
        <v>48.55</v>
      </c>
      <c r="H340" s="53">
        <f t="shared" si="1"/>
        <v>64</v>
      </c>
      <c r="I340" s="58">
        <f t="shared" si="2"/>
        <v>0.3068640646</v>
      </c>
      <c r="J340" s="60">
        <f t="shared" si="3"/>
        <v>30686.40646</v>
      </c>
      <c r="K340" s="42"/>
      <c r="L340" s="42"/>
      <c r="M340" s="68">
        <f t="shared" si="4"/>
        <v>-1</v>
      </c>
      <c r="N340" s="68">
        <f t="shared" si="5"/>
        <v>-1</v>
      </c>
      <c r="O340" s="68">
        <v>0.66864064603</v>
      </c>
      <c r="P340" s="23">
        <v>46272</v>
      </c>
      <c r="R340" s="68">
        <v>0.6176</v>
      </c>
      <c r="S340" s="23">
        <v>46203</v>
      </c>
      <c r="T340" s="23">
        <v>46225</v>
      </c>
      <c r="U340" s="39">
        <v>37.15</v>
      </c>
      <c r="V340" s="39">
        <v>28.2485333333</v>
      </c>
      <c r="W340" t="inlineStr">
        <is>
          <t>Above 75 DMA</t>
        </is>
      </c>
    </row>
    <row r="341">
      <c r="A341" s="23">
        <v>46225.0</v>
      </c>
      <c r="B341" s="25" t="str">
        <f t="shared" si="6"/>
        <v>Wednesday</v>
      </c>
      <c r="C341" s="25" t="s">
        <v>347</v>
      </c>
      <c r="D341" s="31">
        <f>IFERROR(__xludf.DUMMYFUNCTION("GOOGLEFINANCE(""NSE:""&amp;UPPER(TRIM(E341)),""marketcap"")/10000000"),41837.081625)</f>
        <v>41837.08163</v>
      </c>
      <c r="E341" s="7" t="s">
        <v>66</v>
      </c>
      <c r="F341" s="39">
        <f>IFERROR(__xludf.DUMMYFUNCTION("IF(OR(E341="""",A341=""""),"""",
 IF(
   DATE(VALUE(RIGHT(A341,4)),VALUE(MID(A341,4,2)),VALUE(LEFT(A341,2)))&gt;=TODAY(),
   IFERROR(
     GOOGLEFINANCE(""NSE:""&amp;UPPER(TRIM(E341)),""price""),
     ""Not Available""
   ),
   IFERROR(
     INDEX(
       GOOGLE"&amp;"FINANCE(
         ""NSE:""&amp;UPPER(TRIM(E341)),
         ""close"",
         DATE(VALUE(RIGHT(A341,4)),VALUE(MID(A341,4,2)),VALUE(LEFT(A341,2))),
         DATE(VALUE(RIGHT(A341,4)),VALUE(MID(A341,4,2)),VALUE(LEFT(A341,2)))+1
       ),
       2,2
     ),
   "&amp;"  ""Not Available""
   )
 ))"),378.15)</f>
        <v>378.15</v>
      </c>
      <c r="G341" s="42">
        <f>IFERROR(__xludf.DUMMYFUNCTION("IF(E341="""","""",IFERROR(GOOGLEFINANCE(""NSE:""&amp;UPPER(TRIM(E341)),""price""),""Not Available""))"),338.95)</f>
        <v>338.95</v>
      </c>
      <c r="H341" s="53">
        <f t="shared" si="1"/>
        <v>64</v>
      </c>
      <c r="I341" s="58">
        <f t="shared" si="2"/>
        <v>-0.1036625678</v>
      </c>
      <c r="J341" s="60">
        <f t="shared" si="3"/>
        <v>-10366.25678</v>
      </c>
      <c r="K341" s="42"/>
      <c r="L341" s="42"/>
      <c r="M341" s="68">
        <f t="shared" si="4"/>
        <v>-1</v>
      </c>
      <c r="N341" s="68">
        <f t="shared" si="5"/>
        <v>-1</v>
      </c>
      <c r="O341" s="68">
        <v>0.0974481026048</v>
      </c>
      <c r="P341" s="23">
        <v>46244</v>
      </c>
      <c r="R341" s="68">
        <v>0.5249</v>
      </c>
      <c r="S341" s="23">
        <v>46203</v>
      </c>
      <c r="T341" s="23">
        <v>46225</v>
      </c>
      <c r="U341" s="39">
        <v>378.15</v>
      </c>
      <c r="V341" s="39">
        <v>303.691333333</v>
      </c>
      <c r="W341" t="inlineStr">
        <is>
          <t>Above 75 DMA</t>
        </is>
      </c>
    </row>
    <row r="342">
      <c r="A342" s="23">
        <v>46225.0</v>
      </c>
      <c r="B342" s="25" t="str">
        <f t="shared" si="6"/>
        <v>Wednesday</v>
      </c>
      <c r="C342" s="25" t="s">
        <v>347</v>
      </c>
      <c r="D342" s="31">
        <f>IFERROR(__xludf.DUMMYFUNCTION("GOOGLEFINANCE(""NSE:""&amp;UPPER(TRIM(E342)),""marketcap"")/10000000"),13297.0656678)</f>
        <v>13297.06567</v>
      </c>
      <c r="E342" s="7" t="s">
        <v>93</v>
      </c>
      <c r="F342" s="39">
        <f>IFERROR(__xludf.DUMMYFUNCTION("IF(OR(E342="""",A342=""""),"""",
 IF(
   DATE(VALUE(RIGHT(A342,4)),VALUE(MID(A342,4,2)),VALUE(LEFT(A342,2)))&gt;=TODAY(),
   IFERROR(
     GOOGLEFINANCE(""NSE:""&amp;UPPER(TRIM(E342)),""price""),
     ""Not Available""
   ),
   IFERROR(
     INDEX(
       GOOGLE"&amp;"FINANCE(
         ""NSE:""&amp;UPPER(TRIM(E342)),
         ""close"",
         DATE(VALUE(RIGHT(A342,4)),VALUE(MID(A342,4,2)),VALUE(LEFT(A342,2))),
         DATE(VALUE(RIGHT(A342,4)),VALUE(MID(A342,4,2)),VALUE(LEFT(A342,2)))+1
       ),
       2,2
     ),
   "&amp;"  ""Not Available""
   )
 ))"),322.1)</f>
        <v>322.1</v>
      </c>
      <c r="G342" s="42">
        <f>IFERROR(__xludf.DUMMYFUNCTION("IF(E342="""","""",IFERROR(GOOGLEFINANCE(""NSE:""&amp;UPPER(TRIM(E342)),""price""),""Not Available""))"),338.05)</f>
        <v>338.05</v>
      </c>
      <c r="H342" s="53">
        <f t="shared" si="1"/>
        <v>64</v>
      </c>
      <c r="I342" s="58">
        <f t="shared" si="2"/>
        <v>0.04951878299</v>
      </c>
      <c r="J342" s="60">
        <f t="shared" si="3"/>
        <v>4951.878299</v>
      </c>
      <c r="K342" s="42"/>
      <c r="L342" s="42"/>
      <c r="M342" s="68">
        <f t="shared" si="4"/>
        <v>-1</v>
      </c>
      <c r="N342" s="68">
        <f t="shared" si="5"/>
        <v>-1</v>
      </c>
      <c r="O342" s="68">
        <v>0.161130083825</v>
      </c>
      <c r="P342" s="23">
        <v>46232</v>
      </c>
      <c r="R342" s="68">
        <v>0.5338</v>
      </c>
      <c r="S342" s="23">
        <v>46203</v>
      </c>
      <c r="T342" s="23">
        <v>46225</v>
      </c>
      <c r="U342" s="39">
        <v>322.1</v>
      </c>
      <c r="V342" s="39">
        <v>296.4324</v>
      </c>
      <c r="W342" t="inlineStr">
        <is>
          <t>Above 75 DMA</t>
        </is>
      </c>
    </row>
    <row r="343">
      <c r="A343" s="23">
        <v>46225.0</v>
      </c>
      <c r="B343" s="25" t="str">
        <f t="shared" si="6"/>
        <v>Wednesday</v>
      </c>
      <c r="C343" s="25" t="s">
        <v>347</v>
      </c>
      <c r="D343" s="31">
        <f>IFERROR(__xludf.DUMMYFUNCTION("GOOGLEFINANCE(""NSE:""&amp;UPPER(TRIM(E343)),""marketcap"")/10000000"),21079.3117701)</f>
        <v>21079.31177</v>
      </c>
      <c r="E343" s="7" t="s">
        <v>95</v>
      </c>
      <c r="F343" s="39">
        <f>IFERROR(__xludf.DUMMYFUNCTION("IF(OR(E343="""",A343=""""),"""",
 IF(
   DATE(VALUE(RIGHT(A343,4)),VALUE(MID(A343,4,2)),VALUE(LEFT(A343,2)))&gt;=TODAY(),
   IFERROR(
     GOOGLEFINANCE(""NSE:""&amp;UPPER(TRIM(E343)),""price""),
     ""Not Available""
   ),
   IFERROR(
     INDEX(
       GOOGLE"&amp;"FINANCE(
         ""NSE:""&amp;UPPER(TRIM(E343)),
         ""close"",
         DATE(VALUE(RIGHT(A343,4)),VALUE(MID(A343,4,2)),VALUE(LEFT(A343,2))),
         DATE(VALUE(RIGHT(A343,4)),VALUE(MID(A343,4,2)),VALUE(LEFT(A343,2)))+1
       ),
       2,2
     ),
   "&amp;"  ""Not Available""
   )
 ))"),4394.4)</f>
        <v>4394.4</v>
      </c>
      <c r="G343" s="42">
        <f>IFERROR(__xludf.DUMMYFUNCTION("IF(E343="""","""",IFERROR(GOOGLEFINANCE(""NSE:""&amp;UPPER(TRIM(E343)),""price""),""Not Available""))"),4544.4)</f>
        <v>4544.4</v>
      </c>
      <c r="H343" s="53">
        <f t="shared" si="1"/>
        <v>64</v>
      </c>
      <c r="I343" s="58">
        <f t="shared" si="2"/>
        <v>0.03413435281</v>
      </c>
      <c r="J343" s="60">
        <f t="shared" si="3"/>
        <v>3413.435281</v>
      </c>
      <c r="K343" s="42"/>
      <c r="L343" s="42"/>
      <c r="M343" s="68">
        <f t="shared" si="4"/>
        <v>-1</v>
      </c>
      <c r="N343" s="68">
        <f t="shared" si="5"/>
        <v>-1</v>
      </c>
      <c r="O343" s="68">
        <v>0.0890679046059</v>
      </c>
      <c r="P343" s="23">
        <v>46258</v>
      </c>
      <c r="R343" s="68">
        <v>0.4375</v>
      </c>
      <c r="S343" s="23">
        <v>46203</v>
      </c>
      <c r="T343" s="23">
        <v>46225</v>
      </c>
      <c r="U343" s="39">
        <v>4394.4</v>
      </c>
      <c r="V343" s="39">
        <v>3662.47866667</v>
      </c>
      <c r="W343" t="inlineStr">
        <is>
          <t>Above 75 DMA</t>
        </is>
      </c>
    </row>
    <row r="344">
      <c r="A344" s="23">
        <v>46225.0</v>
      </c>
      <c r="B344" s="25" t="str">
        <f t="shared" si="6"/>
        <v>Wednesday</v>
      </c>
      <c r="C344" s="25" t="s">
        <v>347</v>
      </c>
      <c r="D344" s="31">
        <f>IFERROR(__xludf.DUMMYFUNCTION("GOOGLEFINANCE(""NSE:""&amp;UPPER(TRIM(E344)),""marketcap"")/10000000"),280.4256033)</f>
        <v>280.4256033</v>
      </c>
      <c r="E344" s="7" t="s">
        <v>69</v>
      </c>
      <c r="F344" s="39">
        <f>IFERROR(__xludf.DUMMYFUNCTION("IF(OR(E344="""",A344=""""),"""",
 IF(
   DATE(VALUE(RIGHT(A344,4)),VALUE(MID(A344,4,2)),VALUE(LEFT(A344,2)))&gt;=TODAY(),
   IFERROR(
     GOOGLEFINANCE(""NSE:""&amp;UPPER(TRIM(E344)),""price""),
     ""Not Available""
   ),
   IFERROR(
     INDEX(
       GOOGLE"&amp;"FINANCE(
         ""NSE:""&amp;UPPER(TRIM(E344)),
         ""close"",
         DATE(VALUE(RIGHT(A344,4)),VALUE(MID(A344,4,2)),VALUE(LEFT(A344,2))),
         DATE(VALUE(RIGHT(A344,4)),VALUE(MID(A344,4,2)),VALUE(LEFT(A344,2)))+1
       ),
       2,2
     ),
   "&amp;"  ""Not Available""
   )
 ))"),4.75)</f>
        <v>4.75</v>
      </c>
      <c r="G344" s="42">
        <f>IFERROR(__xludf.DUMMYFUNCTION("IF(E344="""","""",IFERROR(GOOGLEFINANCE(""NSE:""&amp;UPPER(TRIM(E344)),""price""),""Not Available""))"),6.42)</f>
        <v>6.42</v>
      </c>
      <c r="H344" s="53">
        <f t="shared" si="1"/>
        <v>64</v>
      </c>
      <c r="I344" s="58">
        <f t="shared" si="2"/>
        <v>0.3515789474</v>
      </c>
      <c r="J344" s="60">
        <f t="shared" si="3"/>
        <v>35157.89474</v>
      </c>
      <c r="K344" s="42"/>
      <c r="L344" s="42"/>
      <c r="M344" s="68">
        <f t="shared" si="4"/>
        <v>-1</v>
      </c>
      <c r="N344" s="68">
        <f t="shared" si="5"/>
        <v>-1</v>
      </c>
      <c r="O344" s="68">
        <v>0.305263157895</v>
      </c>
      <c r="P344" s="23">
        <v>46241</v>
      </c>
      <c r="R344" s="68">
        <v>0.5496</v>
      </c>
      <c r="S344" s="23">
        <v>46203</v>
      </c>
      <c r="T344" s="23">
        <v>46225</v>
      </c>
      <c r="U344" s="39">
        <v>4.76</v>
      </c>
      <c r="V344" s="39">
        <v>4.30733333333</v>
      </c>
      <c r="W344" t="inlineStr">
        <is>
          <t>Above 75 DMA</t>
        </is>
      </c>
    </row>
    <row r="345">
      <c r="A345" s="23">
        <v>46224.0</v>
      </c>
      <c r="B345" s="25" t="str">
        <f t="shared" si="6"/>
        <v>Tuesday</v>
      </c>
      <c r="C345" s="25" t="s">
        <v>347</v>
      </c>
      <c r="D345" s="31">
        <f>IFERROR(__xludf.DUMMYFUNCTION("GOOGLEFINANCE(""NSE:""&amp;UPPER(TRIM(E345)),""marketcap"")/10000000"),280.4256033)</f>
        <v>280.4256033</v>
      </c>
      <c r="E345" s="7" t="s">
        <v>69</v>
      </c>
      <c r="F345" s="39">
        <f>IFERROR(__xludf.DUMMYFUNCTION("IF(OR(E345="""",A345=""""),"""",
 IF(
   DATE(VALUE(RIGHT(A345,4)),VALUE(MID(A345,4,2)),VALUE(LEFT(A345,2)))&gt;=TODAY(),
   IFERROR(
     GOOGLEFINANCE(""NSE:""&amp;UPPER(TRIM(E345)),""price""),
     ""Not Available""
   ),
   IFERROR(
     INDEX(
       GOOGLE"&amp;"FINANCE(
         ""NSE:""&amp;UPPER(TRIM(E345)),
         ""close"",
         DATE(VALUE(RIGHT(A345,4)),VALUE(MID(A345,4,2)),VALUE(LEFT(A345,2))),
         DATE(VALUE(RIGHT(A345,4)),VALUE(MID(A345,4,2)),VALUE(LEFT(A345,2)))+1
       ),
       2,2
     ),
   "&amp;"  ""Not Available""
   )
 ))"),4.77)</f>
        <v>4.77</v>
      </c>
      <c r="G345" s="42">
        <f>IFERROR(__xludf.DUMMYFUNCTION("IF(E345="""","""",IFERROR(GOOGLEFINANCE(""NSE:""&amp;UPPER(TRIM(E345)),""price""),""Not Available""))"),6.42)</f>
        <v>6.42</v>
      </c>
      <c r="H345" s="53">
        <f t="shared" si="1"/>
        <v>65</v>
      </c>
      <c r="I345" s="58">
        <f t="shared" si="2"/>
        <v>0.3459119497</v>
      </c>
      <c r="J345" s="60">
        <f t="shared" si="3"/>
        <v>34591.19497</v>
      </c>
      <c r="K345" s="42"/>
      <c r="L345" s="42"/>
      <c r="M345" s="68">
        <f t="shared" si="4"/>
        <v>-1</v>
      </c>
      <c r="N345" s="68">
        <f t="shared" si="5"/>
        <v>-1</v>
      </c>
      <c r="O345" s="68">
        <v>0.299790356394</v>
      </c>
      <c r="P345" s="23">
        <v>46241</v>
      </c>
      <c r="R345" s="68">
        <v>0.5496</v>
      </c>
      <c r="S345" s="23">
        <v>46203</v>
      </c>
      <c r="T345" s="23">
        <v>46224</v>
      </c>
      <c r="U345" s="39">
        <v>4.77</v>
      </c>
      <c r="V345" s="39">
        <v>4.30213333333</v>
      </c>
      <c r="W345" t="inlineStr">
        <is>
          <t>Above 75 DMA</t>
        </is>
      </c>
    </row>
    <row r="346">
      <c r="A346" s="242">
        <v>46223.0</v>
      </c>
      <c r="B346" s="25" t="str">
        <f t="shared" si="6"/>
        <v>Monday</v>
      </c>
      <c r="C346" s="243" t="s">
        <v>156</v>
      </c>
      <c r="D346" s="31">
        <f>IFERROR(__xludf.DUMMYFUNCTION("GOOGLEFINANCE(""NSE:""&amp;UPPER(TRIM(E346)),""marketcap"")/10000000"),1689.9851706)</f>
        <v>1689.985171</v>
      </c>
      <c r="E346" s="244" t="s">
        <v>99</v>
      </c>
      <c r="F346" s="39">
        <f>IFERROR(__xludf.DUMMYFUNCTION("IF(OR(E346="""",A346=""""),"""",
 IF(
   DATE(VALUE(RIGHT(A346,4)),VALUE(MID(A346,4,2)),VALUE(LEFT(A346,2)))&gt;=TODAY(),
   IFERROR(
     GOOGLEFINANCE(""NSE:""&amp;UPPER(TRIM(E346)),""price""),
     ""Not Available""
   ),
   IFERROR(
     INDEX(
       GOOGLE"&amp;"FINANCE(
         ""NSE:""&amp;UPPER(TRIM(E346)),
         ""close"",
         DATE(VALUE(RIGHT(A346,4)),VALUE(MID(A346,4,2)),VALUE(LEFT(A346,2))),
         DATE(VALUE(RIGHT(A346,4)),VALUE(MID(A346,4,2)),VALUE(LEFT(A346,2)))+1
       ),
       2,2
     ),
   "&amp;"  ""Not Available""
   )
 ))"),234.8)</f>
        <v>234.8</v>
      </c>
      <c r="G346" s="42">
        <f>IFERROR(__xludf.DUMMYFUNCTION("IF(E346="""","""",IFERROR(GOOGLEFINANCE(""NSE:""&amp;UPPER(TRIM(E346)),""price""),""Not Available""))"),220.15)</f>
        <v>220.15</v>
      </c>
      <c r="H346" s="53">
        <f t="shared" si="1"/>
        <v>66</v>
      </c>
      <c r="I346" s="58">
        <f t="shared" si="2"/>
        <v>-0.06239352641</v>
      </c>
      <c r="J346" s="60">
        <f t="shared" si="3"/>
        <v>-6239.352641</v>
      </c>
      <c r="K346" s="42"/>
      <c r="L346" s="42"/>
      <c r="M346" s="68">
        <f t="shared" si="4"/>
        <v>-1</v>
      </c>
      <c r="N346" s="68">
        <f t="shared" si="5"/>
        <v>-1</v>
      </c>
      <c r="O346" s="68">
        <v>0.0222316865417</v>
      </c>
      <c r="P346" s="23">
        <v>46231</v>
      </c>
      <c r="R346" s="68">
        <v>0.4789</v>
      </c>
      <c r="S346" s="23">
        <v>46203</v>
      </c>
      <c r="T346" s="23">
        <v>46223</v>
      </c>
      <c r="U346" s="39">
        <v>234.8</v>
      </c>
      <c r="V346" s="39">
        <v>192.4668</v>
      </c>
      <c r="W346" t="inlineStr">
        <is>
          <t>Above 75 DMA</t>
        </is>
      </c>
    </row>
    <row r="347">
      <c r="A347" s="23">
        <v>46223.0</v>
      </c>
      <c r="B347" s="25" t="str">
        <f t="shared" si="6"/>
        <v>Monday</v>
      </c>
      <c r="C347" s="243" t="s">
        <v>156</v>
      </c>
      <c r="D347" s="31">
        <f>IFERROR(__xludf.DUMMYFUNCTION("GOOGLEFINANCE(""NSE:""&amp;UPPER(TRIM(E347)),""marketcap"")/10000000"),1077.428376)</f>
        <v>1077.428376</v>
      </c>
      <c r="E347" s="7" t="s">
        <v>100</v>
      </c>
      <c r="F347" s="39">
        <f>IFERROR(__xludf.DUMMYFUNCTION("IF(OR(E347="""",A347=""""),"""",
 IF(
   DATE(VALUE(RIGHT(A347,4)),VALUE(MID(A347,4,2)),VALUE(LEFT(A347,2)))&gt;=TODAY(),
   IFERROR(
     GOOGLEFINANCE(""NSE:""&amp;UPPER(TRIM(E347)),""price""),
     ""Not Available""
   ),
   IFERROR(
     INDEX(
       GOOGLE"&amp;"FINANCE(
         ""NSE:""&amp;UPPER(TRIM(E347)),
         ""close"",
         DATE(VALUE(RIGHT(A347,4)),VALUE(MID(A347,4,2)),VALUE(LEFT(A347,2))),
         DATE(VALUE(RIGHT(A347,4)),VALUE(MID(A347,4,2)),VALUE(LEFT(A347,2)))+1
       ),
       2,2
     ),
   "&amp;"  ""Not Available""
   )
 ))"),168.49)</f>
        <v>168.49</v>
      </c>
      <c r="G347" s="42">
        <f>IFERROR(__xludf.DUMMYFUNCTION("IF(E347="""","""",IFERROR(GOOGLEFINANCE(""NSE:""&amp;UPPER(TRIM(E347)),""price""),""Not Available""))"),129.47)</f>
        <v>129.47</v>
      </c>
      <c r="H347" s="53">
        <f t="shared" si="1"/>
        <v>66</v>
      </c>
      <c r="I347" s="58">
        <f t="shared" si="2"/>
        <v>-0.2315864443</v>
      </c>
      <c r="J347" s="60">
        <f t="shared" si="3"/>
        <v>-23158.64443</v>
      </c>
      <c r="K347" s="42"/>
      <c r="L347" s="42"/>
      <c r="M347" s="68">
        <f t="shared" si="4"/>
        <v>-1</v>
      </c>
      <c r="N347" s="68">
        <f t="shared" si="5"/>
        <v>-1</v>
      </c>
      <c r="O347" s="68">
        <v>0.104635289928</v>
      </c>
      <c r="P347" s="23">
        <v>46224</v>
      </c>
      <c r="R347" s="68">
        <v>0.75</v>
      </c>
      <c r="S347" s="23">
        <v>46203</v>
      </c>
      <c r="T347" s="23">
        <v>46223</v>
      </c>
      <c r="U347" s="39">
        <v>168.49</v>
      </c>
      <c r="V347" s="39">
        <v>136.2356</v>
      </c>
      <c r="W347" t="inlineStr">
        <is>
          <t>Above 75 DMA</t>
        </is>
      </c>
    </row>
    <row r="348">
      <c r="A348" s="23">
        <v>46223.0</v>
      </c>
      <c r="B348" s="25" t="str">
        <f t="shared" si="6"/>
        <v>Monday</v>
      </c>
      <c r="C348" s="243" t="s">
        <v>156</v>
      </c>
      <c r="D348" s="31">
        <f>IFERROR(__xludf.DUMMYFUNCTION("GOOGLEFINANCE(""NSE:""&amp;UPPER(TRIM(E348)),""marketcap"")/10000000"),4230.2512)</f>
        <v>4230.2512</v>
      </c>
      <c r="E348" s="7" t="s">
        <v>103</v>
      </c>
      <c r="F348" s="39">
        <f>IFERROR(__xludf.DUMMYFUNCTION("IF(OR(E348="""",A348=""""),"""",
 IF(
   DATE(VALUE(RIGHT(A348,4)),VALUE(MID(A348,4,2)),VALUE(LEFT(A348,2)))&gt;=TODAY(),
   IFERROR(
     GOOGLEFINANCE(""NSE:""&amp;UPPER(TRIM(E348)),""price""),
     ""Not Available""
   ),
   IFERROR(
     INDEX(
       GOOGLE"&amp;"FINANCE(
         ""NSE:""&amp;UPPER(TRIM(E348)),
         ""close"",
         DATE(VALUE(RIGHT(A348,4)),VALUE(MID(A348,4,2)),VALUE(LEFT(A348,2))),
         DATE(VALUE(RIGHT(A348,4)),VALUE(MID(A348,4,2)),VALUE(LEFT(A348,2)))+1
       ),
       2,2
     ),
   "&amp;"  ""Not Available""
   )
 ))"),9253.5)</f>
        <v>9253.5</v>
      </c>
      <c r="G348" s="42">
        <f>IFERROR(__xludf.DUMMYFUNCTION("IF(E348="""","""",IFERROR(GOOGLEFINANCE(""NSE:""&amp;UPPER(TRIM(E348)),""price""),""Not Available""))"),8000.0)</f>
        <v>8000</v>
      </c>
      <c r="H348" s="53">
        <f t="shared" si="1"/>
        <v>66</v>
      </c>
      <c r="I348" s="58">
        <f t="shared" si="2"/>
        <v>-0.1354622575</v>
      </c>
      <c r="J348" s="60">
        <f t="shared" si="3"/>
        <v>-13546.22575</v>
      </c>
      <c r="K348" s="42"/>
      <c r="L348" s="42"/>
      <c r="M348" s="68">
        <f t="shared" si="4"/>
        <v>-1</v>
      </c>
      <c r="N348" s="68">
        <f t="shared" si="5"/>
        <v>-1</v>
      </c>
      <c r="O348" s="68">
        <v>0.037445290971</v>
      </c>
      <c r="P348" s="23">
        <v>46224</v>
      </c>
    </row>
    <row r="349">
      <c r="A349" s="23">
        <v>46223.0</v>
      </c>
      <c r="B349" s="25" t="str">
        <f t="shared" si="6"/>
        <v>Monday</v>
      </c>
      <c r="C349" s="243" t="s">
        <v>156</v>
      </c>
      <c r="D349" s="31">
        <f>IFERROR(__xludf.DUMMYFUNCTION("GOOGLEFINANCE(""NSE:""&amp;UPPER(TRIM(E349)),""marketcap"")/10000000"),7681.016)</f>
        <v>7681.016</v>
      </c>
      <c r="E349" s="7" t="s">
        <v>105</v>
      </c>
      <c r="F349" s="39">
        <f>IFERROR(__xludf.DUMMYFUNCTION("IF(OR(E349="""",A349=""""),"""",
 IF(
   DATE(VALUE(RIGHT(A349,4)),VALUE(MID(A349,4,2)),VALUE(LEFT(A349,2)))&gt;=TODAY(),
   IFERROR(
     GOOGLEFINANCE(""NSE:""&amp;UPPER(TRIM(E349)),""price""),
     ""Not Available""
   ),
   IFERROR(
     INDEX(
       GOOGLE"&amp;"FINANCE(
         ""NSE:""&amp;UPPER(TRIM(E349)),
         ""close"",
         DATE(VALUE(RIGHT(A349,4)),VALUE(MID(A349,4,2)),VALUE(LEFT(A349,2))),
         DATE(VALUE(RIGHT(A349,4)),VALUE(MID(A349,4,2)),VALUE(LEFT(A349,2)))+1
       ),
       2,2
     ),
   "&amp;"  ""Not Available""
   )
 ))"),594.3)</f>
        <v>594.3</v>
      </c>
      <c r="G349" s="42">
        <f>IFERROR(__xludf.DUMMYFUNCTION("IF(E349="""","""",IFERROR(GOOGLEFINANCE(""NSE:""&amp;UPPER(TRIM(E349)),""price""),""Not Available""))"),248.5)</f>
        <v>248.5</v>
      </c>
      <c r="H349" s="53">
        <f t="shared" si="1"/>
        <v>66</v>
      </c>
      <c r="I349" s="58">
        <f t="shared" si="2"/>
        <v>-0.581861013</v>
      </c>
      <c r="J349" s="60">
        <f t="shared" si="3"/>
        <v>-58186.1013</v>
      </c>
      <c r="K349" s="42"/>
      <c r="L349" s="42"/>
      <c r="M349" s="68">
        <f t="shared" si="4"/>
        <v>-1</v>
      </c>
      <c r="N349" s="68">
        <f t="shared" si="5"/>
        <v>-1</v>
      </c>
      <c r="O349" s="68">
        <v>0.268551236749</v>
      </c>
      <c r="P349" s="23">
        <v>46266</v>
      </c>
      <c r="T349" s="23">
        <v>46223</v>
      </c>
      <c r="U349" s="39">
        <v>594.3</v>
      </c>
      <c r="V349" s="39">
        <v>573.896666667</v>
      </c>
      <c r="W349" t="inlineStr">
        <is>
          <t>Above 75 DMA</t>
        </is>
      </c>
    </row>
    <row r="350">
      <c r="A350" s="23">
        <v>46223.0</v>
      </c>
      <c r="B350" s="25" t="str">
        <f t="shared" si="6"/>
        <v>Monday</v>
      </c>
      <c r="C350" s="243" t="s">
        <v>156</v>
      </c>
      <c r="D350" s="31">
        <f>IFERROR(__xludf.DUMMYFUNCTION("GOOGLEFINANCE(""NSE:""&amp;UPPER(TRIM(E350)),""marketcap"")/10000000"),1853.3078707)</f>
        <v>1853.307871</v>
      </c>
      <c r="E350" s="7" t="s">
        <v>108</v>
      </c>
      <c r="F350" s="39">
        <f>IFERROR(__xludf.DUMMYFUNCTION("IF(OR(E350="""",A350=""""),"""",
 IF(
   DATE(VALUE(RIGHT(A350,4)),VALUE(MID(A350,4,2)),VALUE(LEFT(A350,2)))&gt;=TODAY(),
   IFERROR(
     GOOGLEFINANCE(""NSE:""&amp;UPPER(TRIM(E350)),""price""),
     ""Not Available""
   ),
   IFERROR(
     INDEX(
       GOOGLE"&amp;"FINANCE(
         ""NSE:""&amp;UPPER(TRIM(E350)),
         ""close"",
         DATE(VALUE(RIGHT(A350,4)),VALUE(MID(A350,4,2)),VALUE(LEFT(A350,2))),
         DATE(VALUE(RIGHT(A350,4)),VALUE(MID(A350,4,2)),VALUE(LEFT(A350,2)))+1
       ),
       2,2
     ),
   "&amp;"  ""Not Available""
   )
 ))"),249.79)</f>
        <v>249.79</v>
      </c>
      <c r="G350" s="42">
        <f>IFERROR(__xludf.DUMMYFUNCTION("IF(E350="""","""",IFERROR(GOOGLEFINANCE(""NSE:""&amp;UPPER(TRIM(E350)),""price""),""Not Available""))"),245.4)</f>
        <v>245.4</v>
      </c>
      <c r="H350" s="53">
        <f t="shared" si="1"/>
        <v>66</v>
      </c>
      <c r="I350" s="58">
        <f t="shared" si="2"/>
        <v>-0.0175747628</v>
      </c>
      <c r="J350" s="60">
        <f t="shared" si="3"/>
        <v>-1757.47628</v>
      </c>
      <c r="K350" s="42"/>
      <c r="L350" s="42"/>
      <c r="M350" s="68">
        <f t="shared" si="4"/>
        <v>-1</v>
      </c>
      <c r="N350" s="68">
        <f t="shared" si="5"/>
        <v>-1</v>
      </c>
      <c r="O350" s="68">
        <v>0.321109732175</v>
      </c>
      <c r="P350" s="23">
        <v>46230</v>
      </c>
      <c r="R350" s="68">
        <v>0.6773</v>
      </c>
      <c r="S350" s="23">
        <v>46203</v>
      </c>
      <c r="T350" s="23">
        <v>46223</v>
      </c>
      <c r="U350" s="39">
        <v>249.79</v>
      </c>
      <c r="V350" s="39">
        <v>184.016133333</v>
      </c>
      <c r="W350" t="inlineStr">
        <is>
          <t>Above 75 DMA</t>
        </is>
      </c>
    </row>
    <row r="351">
      <c r="A351" s="23">
        <v>46223.0</v>
      </c>
      <c r="B351" s="25" t="str">
        <f t="shared" si="6"/>
        <v>Monday</v>
      </c>
      <c r="C351" s="243" t="s">
        <v>156</v>
      </c>
      <c r="D351" s="31">
        <f>IFERROR(__xludf.DUMMYFUNCTION("GOOGLEFINANCE(""NSE:""&amp;UPPER(TRIM(E351)),""marketcap"")/10000000"),8789.1225)</f>
        <v>8789.1225</v>
      </c>
      <c r="E351" s="7" t="s">
        <v>109</v>
      </c>
      <c r="F351" s="39">
        <f>IFERROR(__xludf.DUMMYFUNCTION("IF(OR(E351="""",A351=""""),"""",
 IF(
   DATE(VALUE(RIGHT(A351,4)),VALUE(MID(A351,4,2)),VALUE(LEFT(A351,2)))&gt;=TODAY(),
   IFERROR(
     GOOGLEFINANCE(""NSE:""&amp;UPPER(TRIM(E351)),""price""),
     ""Not Available""
   ),
   IFERROR(
     INDEX(
       GOOGLE"&amp;"FINANCE(
         ""NSE:""&amp;UPPER(TRIM(E351)),
         ""close"",
         DATE(VALUE(RIGHT(A351,4)),VALUE(MID(A351,4,2)),VALUE(LEFT(A351,2))),
         DATE(VALUE(RIGHT(A351,4)),VALUE(MID(A351,4,2)),VALUE(LEFT(A351,2)))+1
       ),
       2,2
     ),
   "&amp;"  ""Not Available""
   )
 ))"),311.62)</f>
        <v>311.62</v>
      </c>
      <c r="G351" s="42">
        <f>IFERROR(__xludf.DUMMYFUNCTION("IF(E351="""","""",IFERROR(GOOGLEFINANCE(""NSE:""&amp;UPPER(TRIM(E351)),""price""),""Not Available""))"),268.1)</f>
        <v>268.1</v>
      </c>
      <c r="H351" s="53">
        <f t="shared" si="1"/>
        <v>66</v>
      </c>
      <c r="I351" s="58">
        <f t="shared" si="2"/>
        <v>-0.1396572749</v>
      </c>
      <c r="J351" s="60">
        <f t="shared" si="3"/>
        <v>-13965.72749</v>
      </c>
      <c r="K351" s="42"/>
      <c r="L351" s="42"/>
      <c r="M351" s="68">
        <f t="shared" si="4"/>
        <v>-1</v>
      </c>
      <c r="N351" s="68">
        <f t="shared" si="5"/>
        <v>-1</v>
      </c>
      <c r="O351" s="68">
        <v>0.0910724600475</v>
      </c>
      <c r="P351" s="23">
        <v>46233</v>
      </c>
      <c r="R351" s="68">
        <v>0.4091</v>
      </c>
      <c r="S351" s="23">
        <v>46203</v>
      </c>
      <c r="T351" s="23">
        <v>46223</v>
      </c>
      <c r="U351" s="39">
        <v>311.6</v>
      </c>
      <c r="V351" s="39">
        <v>280.296</v>
      </c>
      <c r="W351" t="inlineStr">
        <is>
          <t>Above 75 DMA</t>
        </is>
      </c>
    </row>
    <row r="352">
      <c r="A352" s="23">
        <v>46223.0</v>
      </c>
      <c r="B352" s="25" t="str">
        <f t="shared" si="6"/>
        <v>Monday</v>
      </c>
      <c r="C352" s="243" t="s">
        <v>156</v>
      </c>
      <c r="D352" s="31">
        <f>IFERROR(__xludf.DUMMYFUNCTION("GOOGLEFINANCE(""NSE:""&amp;UPPER(TRIM(E352)),""marketcap"")/10000000"),5749.7395693)</f>
        <v>5749.739569</v>
      </c>
      <c r="E352" s="7" t="s">
        <v>112</v>
      </c>
      <c r="F352" s="39">
        <f>IFERROR(__xludf.DUMMYFUNCTION("IF(OR(E352="""",A352=""""),"""",
 IF(
   DATE(VALUE(RIGHT(A352,4)),VALUE(MID(A352,4,2)),VALUE(LEFT(A352,2)))&gt;=TODAY(),
   IFERROR(
     GOOGLEFINANCE(""NSE:""&amp;UPPER(TRIM(E352)),""price""),
     ""Not Available""
   ),
   IFERROR(
     INDEX(
       GOOGLE"&amp;"FINANCE(
         ""NSE:""&amp;UPPER(TRIM(E352)),
         ""close"",
         DATE(VALUE(RIGHT(A352,4)),VALUE(MID(A352,4,2)),VALUE(LEFT(A352,2))),
         DATE(VALUE(RIGHT(A352,4)),VALUE(MID(A352,4,2)),VALUE(LEFT(A352,2)))+1
       ),
       2,2
     ),
   "&amp;"  ""Not Available""
   )
 ))"),747.35)</f>
        <v>747.35</v>
      </c>
      <c r="G352" s="42">
        <f>IFERROR(__xludf.DUMMYFUNCTION("IF(E352="""","""",IFERROR(GOOGLEFINANCE(""NSE:""&amp;UPPER(TRIM(E352)),""price""),""Not Available""))"),676.05)</f>
        <v>676.05</v>
      </c>
      <c r="H352" s="53">
        <f t="shared" si="1"/>
        <v>66</v>
      </c>
      <c r="I352" s="58">
        <f t="shared" si="2"/>
        <v>-0.09540375995</v>
      </c>
      <c r="J352" s="60">
        <f t="shared" si="3"/>
        <v>-9540.375995</v>
      </c>
      <c r="K352" s="42"/>
      <c r="L352" s="42"/>
      <c r="M352" s="68">
        <f t="shared" si="4"/>
        <v>-1</v>
      </c>
      <c r="N352" s="68">
        <f t="shared" si="5"/>
        <v>-1</v>
      </c>
      <c r="O352" s="68">
        <v>0.0406770589416</v>
      </c>
      <c r="P352" s="23">
        <v>46232</v>
      </c>
      <c r="R352" s="68">
        <v>0.7414</v>
      </c>
      <c r="S352" s="23">
        <v>46203</v>
      </c>
      <c r="T352" s="23">
        <v>46223</v>
      </c>
      <c r="U352" s="39">
        <v>747.35</v>
      </c>
      <c r="V352" s="39">
        <v>554.71</v>
      </c>
      <c r="W352" t="inlineStr">
        <is>
          <t>Above 75 DMA</t>
        </is>
      </c>
    </row>
    <row r="353">
      <c r="A353" s="23">
        <v>46223.0</v>
      </c>
      <c r="B353" s="25" t="str">
        <f t="shared" si="6"/>
        <v>Monday</v>
      </c>
      <c r="C353" s="243" t="s">
        <v>156</v>
      </c>
      <c r="D353" s="31">
        <f>IFERROR(__xludf.DUMMYFUNCTION("GOOGLEFINANCE(""NSE:""&amp;UPPER(TRIM(E353)),""marketcap"")/10000000"),19283.0171463)</f>
        <v>19283.01715</v>
      </c>
      <c r="E353" s="7" t="s">
        <v>113</v>
      </c>
      <c r="F353" s="39">
        <f>IFERROR(__xludf.DUMMYFUNCTION("IF(OR(E353="""",A353=""""),"""",
 IF(
   DATE(VALUE(RIGHT(A353,4)),VALUE(MID(A353,4,2)),VALUE(LEFT(A353,2)))&gt;=TODAY(),
   IFERROR(
     GOOGLEFINANCE(""NSE:""&amp;UPPER(TRIM(E353)),""price""),
     ""Not Available""
   ),
   IFERROR(
     INDEX(
       GOOGLE"&amp;"FINANCE(
         ""NSE:""&amp;UPPER(TRIM(E353)),
         ""close"",
         DATE(VALUE(RIGHT(A353,4)),VALUE(MID(A353,4,2)),VALUE(LEFT(A353,2))),
         DATE(VALUE(RIGHT(A353,4)),VALUE(MID(A353,4,2)),VALUE(LEFT(A353,2)))+1
       ),
       2,2
     ),
   "&amp;"  ""Not Available""
   )
 ))"),1242.2)</f>
        <v>1242.2</v>
      </c>
      <c r="G353" s="42">
        <f>IFERROR(__xludf.DUMMYFUNCTION("IF(E353="""","""",IFERROR(GOOGLEFINANCE(""NSE:""&amp;UPPER(TRIM(E353)),""price""),""Not Available""))"),1227.1)</f>
        <v>1227.1</v>
      </c>
      <c r="H353" s="53">
        <f t="shared" si="1"/>
        <v>66</v>
      </c>
      <c r="I353" s="58">
        <f t="shared" si="2"/>
        <v>-0.01215585252</v>
      </c>
      <c r="J353" s="60">
        <f t="shared" si="3"/>
        <v>-1215.585252</v>
      </c>
      <c r="K353" s="42"/>
      <c r="L353" s="42"/>
      <c r="M353" s="68">
        <f t="shared" si="4"/>
        <v>-1</v>
      </c>
      <c r="N353" s="68">
        <f t="shared" si="5"/>
        <v>-1</v>
      </c>
      <c r="O353" s="68">
        <v>0.0264047657382</v>
      </c>
      <c r="P353" s="23">
        <v>46248</v>
      </c>
      <c r="R353" s="68">
        <v>0.4769</v>
      </c>
      <c r="S353" s="23">
        <v>46203</v>
      </c>
      <c r="T353" s="23">
        <v>46223</v>
      </c>
      <c r="U353" s="39">
        <v>1242.2</v>
      </c>
      <c r="V353" s="39">
        <v>1132.61</v>
      </c>
      <c r="W353" t="inlineStr">
        <is>
          <t>Above 75 DMA</t>
        </is>
      </c>
    </row>
    <row r="354">
      <c r="A354" s="23">
        <v>46223.0</v>
      </c>
      <c r="B354" s="25" t="str">
        <f t="shared" si="6"/>
        <v>Monday</v>
      </c>
      <c r="C354" s="243" t="s">
        <v>156</v>
      </c>
      <c r="D354" s="31">
        <f>IFERROR(__xludf.DUMMYFUNCTION("GOOGLEFINANCE(""NSE:""&amp;UPPER(TRIM(E354)),""marketcap"")/10000000"),380.547402)</f>
        <v>380.547402</v>
      </c>
      <c r="E354" s="7" t="s">
        <v>116</v>
      </c>
      <c r="F354" s="39">
        <f>IFERROR(__xludf.DUMMYFUNCTION("IF(OR(E354="""",A354=""""),"""",
 IF(
   DATE(VALUE(RIGHT(A354,4)),VALUE(MID(A354,4,2)),VALUE(LEFT(A354,2)))&gt;=TODAY(),
   IFERROR(
     GOOGLEFINANCE(""NSE:""&amp;UPPER(TRIM(E354)),""price""),
     ""Not Available""
   ),
   IFERROR(
     INDEX(
       GOOGLE"&amp;"FINANCE(
         ""NSE:""&amp;UPPER(TRIM(E354)),
         ""close"",
         DATE(VALUE(RIGHT(A354,4)),VALUE(MID(A354,4,2)),VALUE(LEFT(A354,2))),
         DATE(VALUE(RIGHT(A354,4)),VALUE(MID(A354,4,2)),VALUE(LEFT(A354,2)))+1
       ),
       2,2
     ),
   "&amp;"  ""Not Available""
   )
 ))"),421.2)</f>
        <v>421.2</v>
      </c>
      <c r="G354" s="42">
        <f>IFERROR(__xludf.DUMMYFUNCTION("IF(E354="""","""",IFERROR(GOOGLEFINANCE(""NSE:""&amp;UPPER(TRIM(E354)),""price""),""Not Available""))"),366.0)</f>
        <v>366</v>
      </c>
      <c r="H354" s="53">
        <f t="shared" si="1"/>
        <v>66</v>
      </c>
      <c r="I354" s="58">
        <f t="shared" si="2"/>
        <v>-0.1310541311</v>
      </c>
      <c r="J354" s="60">
        <f t="shared" si="3"/>
        <v>-13105.41311</v>
      </c>
      <c r="K354" s="42"/>
      <c r="L354" s="42"/>
      <c r="M354" s="68">
        <f t="shared" si="4"/>
        <v>-1</v>
      </c>
      <c r="N354" s="68">
        <f t="shared" si="5"/>
        <v>-1</v>
      </c>
      <c r="O354" s="68">
        <v>0.187084520418</v>
      </c>
      <c r="P354" s="23">
        <v>46239</v>
      </c>
    </row>
    <row r="355">
      <c r="A355" s="23">
        <v>46223.0</v>
      </c>
      <c r="B355" s="25" t="str">
        <f t="shared" si="6"/>
        <v>Monday</v>
      </c>
      <c r="C355" s="243" t="s">
        <v>156</v>
      </c>
      <c r="D355" s="31">
        <f>IFERROR(__xludf.DUMMYFUNCTION("GOOGLEFINANCE(""NSE:""&amp;UPPER(TRIM(E355)),""marketcap"")/10000000"),2826.1716004)</f>
        <v>2826.1716</v>
      </c>
      <c r="E355" s="7" t="s">
        <v>118</v>
      </c>
      <c r="F355" s="39">
        <f>IFERROR(__xludf.DUMMYFUNCTION("IF(OR(E355="""",A355=""""),"""",
 IF(
   DATE(VALUE(RIGHT(A355,4)),VALUE(MID(A355,4,2)),VALUE(LEFT(A355,2)))&gt;=TODAY(),
   IFERROR(
     GOOGLEFINANCE(""NSE:""&amp;UPPER(TRIM(E355)),""price""),
     ""Not Available""
   ),
   IFERROR(
     INDEX(
       GOOGLE"&amp;"FINANCE(
         ""NSE:""&amp;UPPER(TRIM(E355)),
         ""close"",
         DATE(VALUE(RIGHT(A355,4)),VALUE(MID(A355,4,2)),VALUE(LEFT(A355,2))),
         DATE(VALUE(RIGHT(A355,4)),VALUE(MID(A355,4,2)),VALUE(LEFT(A355,2)))+1
       ),
       2,2
     ),
   "&amp;"  ""Not Available""
   )
 ))"),980.15)</f>
        <v>980.15</v>
      </c>
      <c r="G355" s="42">
        <f>IFERROR(__xludf.DUMMYFUNCTION("IF(E355="""","""",IFERROR(GOOGLEFINANCE(""NSE:""&amp;UPPER(TRIM(E355)),""price""),""Not Available""))"),1027.8)</f>
        <v>1027.8</v>
      </c>
      <c r="H355" s="53">
        <f t="shared" si="1"/>
        <v>66</v>
      </c>
      <c r="I355" s="58">
        <f t="shared" si="2"/>
        <v>0.04861500791</v>
      </c>
      <c r="J355" s="60">
        <f t="shared" si="3"/>
        <v>4861.500791</v>
      </c>
      <c r="K355" s="42"/>
      <c r="L355" s="42"/>
      <c r="M355" s="68">
        <f t="shared" si="4"/>
        <v>-1</v>
      </c>
      <c r="N355" s="68">
        <f t="shared" si="5"/>
        <v>-1</v>
      </c>
      <c r="O355" s="68">
        <v>0.142682242514</v>
      </c>
      <c r="P355" s="23">
        <v>46268</v>
      </c>
      <c r="R355" s="68">
        <v>0.4</v>
      </c>
      <c r="S355" s="23">
        <v>46203</v>
      </c>
      <c r="T355" s="23">
        <v>46223</v>
      </c>
      <c r="U355" s="39">
        <v>980.15</v>
      </c>
      <c r="V355" s="39">
        <v>887.024</v>
      </c>
      <c r="W355" t="inlineStr">
        <is>
          <t>Above 75 DMA</t>
        </is>
      </c>
    </row>
    <row r="356">
      <c r="A356" s="23">
        <v>46223.0</v>
      </c>
      <c r="B356" s="25" t="str">
        <f t="shared" si="6"/>
        <v>Monday</v>
      </c>
      <c r="C356" s="243" t="s">
        <v>156</v>
      </c>
      <c r="D356" s="31">
        <f>IFERROR(__xludf.DUMMYFUNCTION("GOOGLEFINANCE(""NSE:""&amp;UPPER(TRIM(E356)),""marketcap"")/10000000"),28834.4483)</f>
        <v>28834.4483</v>
      </c>
      <c r="E356" s="7" t="s">
        <v>121</v>
      </c>
      <c r="F356" s="39">
        <f>IFERROR(__xludf.DUMMYFUNCTION("IF(OR(E356="""",A356=""""),"""",
 IF(
   DATE(VALUE(RIGHT(A356,4)),VALUE(MID(A356,4,2)),VALUE(LEFT(A356,2)))&gt;=TODAY(),
   IFERROR(
     GOOGLEFINANCE(""NSE:""&amp;UPPER(TRIM(E356)),""price""),
     ""Not Available""
   ),
   IFERROR(
     INDEX(
       GOOGLE"&amp;"FINANCE(
         ""NSE:""&amp;UPPER(TRIM(E356)),
         ""close"",
         DATE(VALUE(RIGHT(A356,4)),VALUE(MID(A356,4,2)),VALUE(LEFT(A356,2))),
         DATE(VALUE(RIGHT(A356,4)),VALUE(MID(A356,4,2)),VALUE(LEFT(A356,2)))+1
       ),
       2,2
     ),
   "&amp;"  ""Not Available""
   )
 ))"),170.92)</f>
        <v>170.92</v>
      </c>
      <c r="G356" s="42">
        <f>IFERROR(__xludf.DUMMYFUNCTION("IF(E356="""","""",IFERROR(GOOGLEFINANCE(""NSE:""&amp;UPPER(TRIM(E356)),""price""),""Not Available""))"),164.44)</f>
        <v>164.44</v>
      </c>
      <c r="H356" s="53">
        <f t="shared" si="1"/>
        <v>66</v>
      </c>
      <c r="I356" s="58">
        <f t="shared" si="2"/>
        <v>-0.03791247367</v>
      </c>
      <c r="J356" s="60">
        <f t="shared" si="3"/>
        <v>-3791.247367</v>
      </c>
      <c r="K356" s="42"/>
      <c r="L356" s="42"/>
      <c r="M356" s="68">
        <f t="shared" si="4"/>
        <v>-1</v>
      </c>
      <c r="N356" s="68">
        <f t="shared" si="5"/>
        <v>-1</v>
      </c>
      <c r="O356" s="68">
        <v>0.122747484203</v>
      </c>
      <c r="P356" s="23">
        <v>46275</v>
      </c>
      <c r="R356" s="68">
        <v>0.8858</v>
      </c>
      <c r="S356" s="23">
        <v>46203</v>
      </c>
      <c r="T356" s="23">
        <v>46223</v>
      </c>
      <c r="U356" s="39">
        <v>170.92</v>
      </c>
      <c r="V356" s="39">
        <v>161.819733333</v>
      </c>
      <c r="W356" t="inlineStr">
        <is>
          <t>Above 75 DMA</t>
        </is>
      </c>
    </row>
    <row r="357">
      <c r="A357" s="23">
        <v>46223.0</v>
      </c>
      <c r="B357" s="25" t="str">
        <f t="shared" si="6"/>
        <v>Monday</v>
      </c>
      <c r="C357" s="243" t="s">
        <v>156</v>
      </c>
      <c r="D357" s="31">
        <f>IFERROR(__xludf.DUMMYFUNCTION("GOOGLEFINANCE(""NSE:""&amp;UPPER(TRIM(E357)),""marketcap"")/10000000"),115.0200027)</f>
        <v>115.0200027</v>
      </c>
      <c r="E357" s="7" t="s">
        <v>122</v>
      </c>
      <c r="F357" s="39">
        <f>IFERROR(__xludf.DUMMYFUNCTION("IF(OR(E357="""",A357=""""),"""",
 IF(
   DATE(VALUE(RIGHT(A357,4)),VALUE(MID(A357,4,2)),VALUE(LEFT(A357,2)))&gt;=TODAY(),
   IFERROR(
     GOOGLEFINANCE(""NSE:""&amp;UPPER(TRIM(E357)),""price""),
     ""Not Available""
   ),
   IFERROR(
     INDEX(
       GOOGLE"&amp;"FINANCE(
         ""NSE:""&amp;UPPER(TRIM(E357)),
         ""close"",
         DATE(VALUE(RIGHT(A357,4)),VALUE(MID(A357,4,2)),VALUE(LEFT(A357,2))),
         DATE(VALUE(RIGHT(A357,4)),VALUE(MID(A357,4,2)),VALUE(LEFT(A357,2)))+1
       ),
       2,2
     ),
   "&amp;"  ""Not Available""
   )
 ))"),146.47)</f>
        <v>146.47</v>
      </c>
      <c r="G357" s="42">
        <f>IFERROR(__xludf.DUMMYFUNCTION("IF(E357="""","""",IFERROR(GOOGLEFINANCE(""NSE:""&amp;UPPER(TRIM(E357)),""price""),""Not Available""))"),127.8)</f>
        <v>127.8</v>
      </c>
      <c r="H357" s="53">
        <f t="shared" si="1"/>
        <v>66</v>
      </c>
      <c r="I357" s="58">
        <f t="shared" si="2"/>
        <v>-0.1274663754</v>
      </c>
      <c r="J357" s="60">
        <f t="shared" si="3"/>
        <v>-12746.63754</v>
      </c>
      <c r="K357" s="42"/>
      <c r="L357" s="42"/>
      <c r="M357" s="68">
        <f t="shared" si="4"/>
        <v>-1</v>
      </c>
      <c r="N357" s="68">
        <f t="shared" si="5"/>
        <v>-1</v>
      </c>
      <c r="O357" s="68">
        <v>0.11292414829</v>
      </c>
      <c r="P357" s="23">
        <v>46230</v>
      </c>
    </row>
    <row r="358">
      <c r="A358" s="23">
        <v>46219.0</v>
      </c>
      <c r="B358" s="25" t="str">
        <f t="shared" si="6"/>
        <v>Thursday</v>
      </c>
      <c r="C358" s="243" t="s">
        <v>156</v>
      </c>
      <c r="D358" s="31">
        <f>IFERROR(__xludf.DUMMYFUNCTION("GOOGLEFINANCE(""NSE:""&amp;UPPER(TRIM(E358)),""marketcap"")/10000000"),1689.9851706)</f>
        <v>1689.985171</v>
      </c>
      <c r="E358" s="7" t="s">
        <v>99</v>
      </c>
      <c r="F358" s="39">
        <f>IFERROR(__xludf.DUMMYFUNCTION("IF(OR(E358="""",A358=""""),"""",
 IF(
   DATE(VALUE(RIGHT(A358,4)),VALUE(MID(A358,4,2)),VALUE(LEFT(A358,2)))&gt;=TODAY(),
   IFERROR(
     GOOGLEFINANCE(""NSE:""&amp;UPPER(TRIM(E358)),""price""),
     ""Not Available""
   ),
   IFERROR(
     INDEX(
       GOOGLE"&amp;"FINANCE(
         ""NSE:""&amp;UPPER(TRIM(E358)),
         ""close"",
         DATE(VALUE(RIGHT(A358,4)),VALUE(MID(A358,4,2)),VALUE(LEFT(A358,2))),
         DATE(VALUE(RIGHT(A358,4)),VALUE(MID(A358,4,2)),VALUE(LEFT(A358,2)))+1
       ),
       2,2
     ),
   "&amp;"  ""Not Available""
   )
 ))"),241.19)</f>
        <v>241.19</v>
      </c>
      <c r="G358" s="42">
        <f>IFERROR(__xludf.DUMMYFUNCTION("IF(E358="""","""",IFERROR(GOOGLEFINANCE(""NSE:""&amp;UPPER(TRIM(E358)),""price""),""Not Available""))"),220.15)</f>
        <v>220.15</v>
      </c>
      <c r="H358" s="53">
        <f t="shared" si="1"/>
        <v>70</v>
      </c>
      <c r="I358" s="58">
        <f t="shared" si="2"/>
        <v>-0.08723413077</v>
      </c>
      <c r="J358" s="60">
        <f t="shared" si="3"/>
        <v>-8723.413077</v>
      </c>
      <c r="K358" s="42"/>
      <c r="L358" s="42"/>
      <c r="M358" s="68">
        <f t="shared" si="4"/>
        <v>-1</v>
      </c>
      <c r="N358" s="68">
        <f t="shared" si="5"/>
        <v>-1</v>
      </c>
      <c r="O358" s="68">
        <v>0.0356979974294</v>
      </c>
      <c r="P358" s="23">
        <v>46223</v>
      </c>
      <c r="R358" s="68">
        <v>0.4789</v>
      </c>
      <c r="S358" s="23">
        <v>46203</v>
      </c>
      <c r="T358" s="23">
        <v>46219</v>
      </c>
      <c r="U358" s="39">
        <v>241.19</v>
      </c>
      <c r="V358" s="39">
        <v>190.582</v>
      </c>
      <c r="W358" t="inlineStr">
        <is>
          <t>Above 75 DMA</t>
        </is>
      </c>
    </row>
    <row r="359">
      <c r="A359" s="23">
        <v>46219.0</v>
      </c>
      <c r="B359" s="25" t="str">
        <f t="shared" si="6"/>
        <v>Thursday</v>
      </c>
      <c r="C359" s="243" t="s">
        <v>156</v>
      </c>
      <c r="D359" s="31">
        <f>IFERROR(__xludf.DUMMYFUNCTION("GOOGLEFINANCE(""NSE:""&amp;UPPER(TRIM(E359)),""marketcap"")/10000000"),1186.6965375)</f>
        <v>1186.696538</v>
      </c>
      <c r="E359" s="7" t="s">
        <v>126</v>
      </c>
      <c r="F359" s="39">
        <f>IFERROR(__xludf.DUMMYFUNCTION("IF(OR(E359="""",A359=""""),"""",
 IF(
   DATE(VALUE(RIGHT(A359,4)),VALUE(MID(A359,4,2)),VALUE(LEFT(A359,2)))&gt;=TODAY(),
   IFERROR(
     GOOGLEFINANCE(""NSE:""&amp;UPPER(TRIM(E359)),""price""),
     ""Not Available""
   ),
   IFERROR(
     INDEX(
       GOOGLE"&amp;"FINANCE(
         ""NSE:""&amp;UPPER(TRIM(E359)),
         ""close"",
         DATE(VALUE(RIGHT(A359,4)),VALUE(MID(A359,4,2)),VALUE(LEFT(A359,2))),
         DATE(VALUE(RIGHT(A359,4)),VALUE(MID(A359,4,2)),VALUE(LEFT(A359,2)))+1
       ),
       2,2
     ),
   "&amp;"  ""Not Available""
   )
 ))"),372.9)</f>
        <v>372.9</v>
      </c>
      <c r="G359" s="42">
        <f>IFERROR(__xludf.DUMMYFUNCTION("IF(E359="""","""",IFERROR(GOOGLEFINANCE(""NSE:""&amp;UPPER(TRIM(E359)),""price""),""Not Available""))"),352.5)</f>
        <v>352.5</v>
      </c>
      <c r="H359" s="53">
        <f t="shared" si="1"/>
        <v>70</v>
      </c>
      <c r="I359" s="58">
        <f t="shared" si="2"/>
        <v>-0.05470635559</v>
      </c>
      <c r="J359" s="60">
        <f t="shared" si="3"/>
        <v>-5470.635559</v>
      </c>
      <c r="K359" s="42"/>
      <c r="L359" s="42"/>
      <c r="M359" s="68">
        <f t="shared" si="4"/>
        <v>-1</v>
      </c>
      <c r="N359" s="68">
        <f t="shared" si="5"/>
        <v>-1</v>
      </c>
      <c r="O359" s="68">
        <v>0.0565835344596</v>
      </c>
      <c r="P359" s="23">
        <v>46223</v>
      </c>
      <c r="R359" s="68">
        <v>0.5859</v>
      </c>
      <c r="S359" s="23">
        <v>46203</v>
      </c>
      <c r="T359" s="23">
        <v>46219</v>
      </c>
      <c r="U359" s="39">
        <v>372.9</v>
      </c>
      <c r="V359" s="39">
        <v>318.678</v>
      </c>
      <c r="W359" t="inlineStr">
        <is>
          <t>Above 75 DMA</t>
        </is>
      </c>
    </row>
    <row r="360">
      <c r="A360" s="23">
        <v>46219.0</v>
      </c>
      <c r="B360" s="25" t="str">
        <f t="shared" si="6"/>
        <v>Thursday</v>
      </c>
      <c r="C360" s="243" t="s">
        <v>156</v>
      </c>
      <c r="D360" s="31">
        <f>IFERROR(__xludf.DUMMYFUNCTION("GOOGLEFINANCE(""NSE:""&amp;UPPER(TRIM(E360)),""marketcap"")/10000000"),145271.7143305)</f>
        <v>145271.7143</v>
      </c>
      <c r="E360" s="7" t="s">
        <v>104</v>
      </c>
      <c r="F360" s="39">
        <f>IFERROR(__xludf.DUMMYFUNCTION("IF(OR(E360="""",A360=""""),"""",
 IF(
   DATE(VALUE(RIGHT(A360,4)),VALUE(MID(A360,4,2)),VALUE(LEFT(A360,2)))&gt;=TODAY(),
   IFERROR(
     GOOGLEFINANCE(""NSE:""&amp;UPPER(TRIM(E360)),""price""),
     ""Not Available""
   ),
   IFERROR(
     INDEX(
       GOOGLE"&amp;"FINANCE(
         ""NSE:""&amp;UPPER(TRIM(E360)),
         ""close"",
         DATE(VALUE(RIGHT(A360,4)),VALUE(MID(A360,4,2)),VALUE(LEFT(A360,2))),
         DATE(VALUE(RIGHT(A360,4)),VALUE(MID(A360,4,2)),VALUE(LEFT(A360,2)))+1
       ),
       2,2
     ),
   "&amp;"  ""Not Available""
   )
 ))"),435.4)</f>
        <v>435.4</v>
      </c>
      <c r="G360" s="42">
        <f>IFERROR(__xludf.DUMMYFUNCTION("IF(E360="""","""",IFERROR(GOOGLEFINANCE(""NSE:""&amp;UPPER(TRIM(E360)),""price""),""Not Available""))"),417.2)</f>
        <v>417.2</v>
      </c>
      <c r="H360" s="53">
        <f t="shared" si="1"/>
        <v>70</v>
      </c>
      <c r="I360" s="58">
        <f t="shared" si="2"/>
        <v>-0.04180064309</v>
      </c>
      <c r="J360" s="60">
        <f t="shared" si="3"/>
        <v>-4180.064309</v>
      </c>
      <c r="K360" s="42"/>
      <c r="L360" s="42"/>
      <c r="M360" s="68">
        <f t="shared" si="4"/>
        <v>-1</v>
      </c>
      <c r="N360" s="68">
        <f t="shared" si="5"/>
        <v>-1</v>
      </c>
      <c r="O360" s="68">
        <v>0.0254937988057</v>
      </c>
      <c r="P360" s="23">
        <v>46220</v>
      </c>
      <c r="R360" s="68">
        <v>0.5817</v>
      </c>
      <c r="S360" s="23">
        <v>46203</v>
      </c>
      <c r="T360" s="23">
        <v>46219</v>
      </c>
      <c r="U360" s="39">
        <v>435.4</v>
      </c>
      <c r="V360" s="39">
        <v>368.453733333</v>
      </c>
      <c r="W360" t="inlineStr">
        <is>
          <t>Above 75 DMA</t>
        </is>
      </c>
    </row>
    <row r="361">
      <c r="A361" s="23">
        <v>46219.0</v>
      </c>
      <c r="B361" s="25" t="str">
        <f t="shared" si="6"/>
        <v>Thursday</v>
      </c>
      <c r="C361" s="243" t="s">
        <v>156</v>
      </c>
      <c r="D361" s="31">
        <f>IFERROR(__xludf.DUMMYFUNCTION("GOOGLEFINANCE(""NSE:""&amp;UPPER(TRIM(E361)),""marketcap"")/10000000"),31340.7041299)</f>
        <v>31340.70413</v>
      </c>
      <c r="E361" s="7" t="s">
        <v>129</v>
      </c>
      <c r="F361" s="39">
        <f>IFERROR(__xludf.DUMMYFUNCTION("IF(OR(E361="""",A361=""""),"""",
 IF(
   DATE(VALUE(RIGHT(A361,4)),VALUE(MID(A361,4,2)),VALUE(LEFT(A361,2)))&gt;=TODAY(),
   IFERROR(
     GOOGLEFINANCE(""NSE:""&amp;UPPER(TRIM(E361)),""price""),
     ""Not Available""
   ),
   IFERROR(
     INDEX(
       GOOGLE"&amp;"FINANCE(
         ""NSE:""&amp;UPPER(TRIM(E361)),
         ""close"",
         DATE(VALUE(RIGHT(A361,4)),VALUE(MID(A361,4,2)),VALUE(LEFT(A361,2))),
         DATE(VALUE(RIGHT(A361,4)),VALUE(MID(A361,4,2)),VALUE(LEFT(A361,2)))+1
       ),
       2,2
     ),
   "&amp;"  ""Not Available""
   )
 ))"),1741.7)</f>
        <v>1741.7</v>
      </c>
      <c r="G361" s="42">
        <f>IFERROR(__xludf.DUMMYFUNCTION("IF(E361="""","""",IFERROR(GOOGLEFINANCE(""NSE:""&amp;UPPER(TRIM(E361)),""price""),""Not Available""))"),1525.0)</f>
        <v>1525</v>
      </c>
      <c r="H361" s="53">
        <f t="shared" si="1"/>
        <v>70</v>
      </c>
      <c r="I361" s="58">
        <f t="shared" si="2"/>
        <v>-0.1244186714</v>
      </c>
      <c r="J361" s="60">
        <f t="shared" si="3"/>
        <v>-12441.86714</v>
      </c>
      <c r="K361" s="42"/>
      <c r="L361" s="42"/>
      <c r="M361" s="68">
        <f t="shared" si="4"/>
        <v>-1</v>
      </c>
      <c r="N361" s="68">
        <f t="shared" si="5"/>
        <v>-1</v>
      </c>
      <c r="O361" s="68">
        <v>5.74151690876e-05</v>
      </c>
      <c r="P361" s="23">
        <v>46220</v>
      </c>
      <c r="R361" s="68">
        <v>0.365</v>
      </c>
      <c r="S361" s="23">
        <v>46203</v>
      </c>
      <c r="T361" s="23">
        <v>46219</v>
      </c>
      <c r="U361" s="39">
        <v>1741.7</v>
      </c>
      <c r="V361" s="39">
        <v>1677.81733333</v>
      </c>
      <c r="W361" t="inlineStr">
        <is>
          <t>Above 75 DMA</t>
        </is>
      </c>
    </row>
    <row r="362">
      <c r="A362" s="23">
        <v>46219.0</v>
      </c>
      <c r="B362" s="25" t="str">
        <f t="shared" si="6"/>
        <v>Thursday</v>
      </c>
      <c r="C362" s="243" t="s">
        <v>156</v>
      </c>
      <c r="D362" s="31">
        <f>IFERROR(__xludf.DUMMYFUNCTION("GOOGLEFINANCE(""NSE:""&amp;UPPER(TRIM(E362)),""marketcap"")/10000000"),12338.662218)</f>
        <v>12338.66222</v>
      </c>
      <c r="E362" s="7" t="s">
        <v>130</v>
      </c>
      <c r="F362" s="39">
        <f>IFERROR(__xludf.DUMMYFUNCTION("IF(OR(E362="""",A362=""""),"""",
 IF(
   DATE(VALUE(RIGHT(A362,4)),VALUE(MID(A362,4,2)),VALUE(LEFT(A362,2)))&gt;=TODAY(),
   IFERROR(
     GOOGLEFINANCE(""NSE:""&amp;UPPER(TRIM(E362)),""price""),
     ""Not Available""
   ),
   IFERROR(
     INDEX(
       GOOGLE"&amp;"FINANCE(
         ""NSE:""&amp;UPPER(TRIM(E362)),
         ""close"",
         DATE(VALUE(RIGHT(A362,4)),VALUE(MID(A362,4,2)),VALUE(LEFT(A362,2))),
         DATE(VALUE(RIGHT(A362,4)),VALUE(MID(A362,4,2)),VALUE(LEFT(A362,2)))+1
       ),
       2,2
     ),
   "&amp;"  ""Not Available""
   )
 ))"),605.2)</f>
        <v>605.2</v>
      </c>
      <c r="G362" s="42">
        <f>IFERROR(__xludf.DUMMYFUNCTION("IF(E362="""","""",IFERROR(GOOGLEFINANCE(""NSE:""&amp;UPPER(TRIM(E362)),""price""),""Not Available""))"),809.6)</f>
        <v>809.6</v>
      </c>
      <c r="H362" s="53">
        <f t="shared" si="1"/>
        <v>70</v>
      </c>
      <c r="I362" s="58">
        <f t="shared" si="2"/>
        <v>0.3377395902</v>
      </c>
      <c r="J362" s="60">
        <f t="shared" si="3"/>
        <v>33773.95902</v>
      </c>
      <c r="K362" s="42"/>
      <c r="L362" s="42"/>
      <c r="M362" s="68">
        <f t="shared" si="4"/>
        <v>-1</v>
      </c>
      <c r="N362" s="68">
        <f t="shared" si="5"/>
        <v>-1</v>
      </c>
      <c r="O362" s="68">
        <v>0.602610707204</v>
      </c>
      <c r="P362" s="23">
        <v>46288</v>
      </c>
      <c r="R362" s="68">
        <v>0.1625</v>
      </c>
      <c r="S362" s="23">
        <v>46203</v>
      </c>
      <c r="T362" s="23">
        <v>46219</v>
      </c>
      <c r="U362" s="39">
        <v>605.2</v>
      </c>
      <c r="V362" s="39">
        <v>514.906</v>
      </c>
      <c r="W362" t="inlineStr">
        <is>
          <t>Above 75 DMA</t>
        </is>
      </c>
    </row>
    <row r="363">
      <c r="A363" s="23">
        <v>46219.0</v>
      </c>
      <c r="B363" s="25" t="str">
        <f t="shared" si="6"/>
        <v>Thursday</v>
      </c>
      <c r="C363" s="243" t="s">
        <v>156</v>
      </c>
      <c r="D363" s="31">
        <f>IFERROR(__xludf.DUMMYFUNCTION("GOOGLEFINANCE(""NSE:""&amp;UPPER(TRIM(E363)),""marketcap"")/10000000"),2665.0397066)</f>
        <v>2665.039707</v>
      </c>
      <c r="E363" s="7" t="s">
        <v>133</v>
      </c>
      <c r="F363" s="39">
        <f>IFERROR(__xludf.DUMMYFUNCTION("IF(OR(E363="""",A363=""""),"""",
 IF(
   DATE(VALUE(RIGHT(A363,4)),VALUE(MID(A363,4,2)),VALUE(LEFT(A363,2)))&gt;=TODAY(),
   IFERROR(
     GOOGLEFINANCE(""NSE:""&amp;UPPER(TRIM(E363)),""price""),
     ""Not Available""
   ),
   IFERROR(
     INDEX(
       GOOGLE"&amp;"FINANCE(
         ""NSE:""&amp;UPPER(TRIM(E363)),
         ""close"",
         DATE(VALUE(RIGHT(A363,4)),VALUE(MID(A363,4,2)),VALUE(LEFT(A363,2))),
         DATE(VALUE(RIGHT(A363,4)),VALUE(MID(A363,4,2)),VALUE(LEFT(A363,2)))+1
       ),
       2,2
     ),
   "&amp;"  ""Not Available""
   )
 ))"),287.0)</f>
        <v>287</v>
      </c>
      <c r="G363" s="42">
        <f>IFERROR(__xludf.DUMMYFUNCTION("IF(E363="""","""",IFERROR(GOOGLEFINANCE(""NSE:""&amp;UPPER(TRIM(E363)),""price""),""Not Available""))"),257.55)</f>
        <v>257.55</v>
      </c>
      <c r="H363" s="53">
        <f t="shared" si="1"/>
        <v>70</v>
      </c>
      <c r="I363" s="58">
        <f t="shared" si="2"/>
        <v>-0.1026132404</v>
      </c>
      <c r="J363" s="60">
        <f t="shared" si="3"/>
        <v>-10261.32404</v>
      </c>
      <c r="K363" s="42"/>
      <c r="L363" s="42"/>
      <c r="M363" s="68">
        <f t="shared" si="4"/>
        <v>-1</v>
      </c>
      <c r="N363" s="68">
        <f t="shared" si="5"/>
        <v>-1</v>
      </c>
      <c r="O363" s="68">
        <v>0.0975609756098</v>
      </c>
      <c r="P363" s="23">
        <v>46241</v>
      </c>
      <c r="R363" s="68">
        <v>0.75</v>
      </c>
      <c r="S363" s="23">
        <v>46203</v>
      </c>
      <c r="T363" s="23">
        <v>46219</v>
      </c>
      <c r="U363" s="39">
        <v>287</v>
      </c>
      <c r="V363" s="39">
        <v>249.751066667</v>
      </c>
      <c r="W363" t="inlineStr">
        <is>
          <t>Above 75 DMA</t>
        </is>
      </c>
    </row>
    <row r="364">
      <c r="A364" s="23">
        <v>46219.0</v>
      </c>
      <c r="B364" s="25" t="str">
        <f t="shared" si="6"/>
        <v>Thursday</v>
      </c>
      <c r="C364" s="243" t="s">
        <v>156</v>
      </c>
      <c r="D364" s="31">
        <f>IFERROR(__xludf.DUMMYFUNCTION("GOOGLEFINANCE(""NSE:""&amp;UPPER(TRIM(E364)),""marketcap"")/10000000"),5048.309782)</f>
        <v>5048.309782</v>
      </c>
      <c r="E364" s="7" t="s">
        <v>134</v>
      </c>
      <c r="F364" s="39">
        <f>IFERROR(__xludf.DUMMYFUNCTION("IF(OR(E364="""",A364=""""),"""",
 IF(
   DATE(VALUE(RIGHT(A364,4)),VALUE(MID(A364,4,2)),VALUE(LEFT(A364,2)))&gt;=TODAY(),
   IFERROR(
     GOOGLEFINANCE(""NSE:""&amp;UPPER(TRIM(E364)),""price""),
     ""Not Available""
   ),
   IFERROR(
     INDEX(
       GOOGLE"&amp;"FINANCE(
         ""NSE:""&amp;UPPER(TRIM(E364)),
         ""close"",
         DATE(VALUE(RIGHT(A364,4)),VALUE(MID(A364,4,2)),VALUE(LEFT(A364,2))),
         DATE(VALUE(RIGHT(A364,4)),VALUE(MID(A364,4,2)),VALUE(LEFT(A364,2)))+1
       ),
       2,2
     ),
   "&amp;"  ""Not Available""
   )
 ))"),295.0)</f>
        <v>295</v>
      </c>
      <c r="G364" s="42">
        <f>IFERROR(__xludf.DUMMYFUNCTION("IF(E364="""","""",IFERROR(GOOGLEFINANCE(""NSE:""&amp;UPPER(TRIM(E364)),""price""),""Not Available""))"),358.75)</f>
        <v>358.75</v>
      </c>
      <c r="H364" s="53">
        <f t="shared" si="1"/>
        <v>70</v>
      </c>
      <c r="I364" s="58">
        <f t="shared" si="2"/>
        <v>0.2161016949</v>
      </c>
      <c r="J364" s="60">
        <f t="shared" si="3"/>
        <v>21610.16949</v>
      </c>
      <c r="K364" s="42"/>
      <c r="L364" s="42"/>
      <c r="M364" s="68">
        <f t="shared" si="4"/>
        <v>-1</v>
      </c>
      <c r="N364" s="68">
        <f t="shared" si="5"/>
        <v>-1</v>
      </c>
      <c r="O364" s="68">
        <v>0.32406779661</v>
      </c>
      <c r="P364" s="23">
        <v>46281</v>
      </c>
      <c r="R364" s="68">
        <v>0.7715</v>
      </c>
      <c r="S364" s="23">
        <v>46203</v>
      </c>
      <c r="T364" s="23">
        <v>46219</v>
      </c>
      <c r="U364" s="39">
        <v>295</v>
      </c>
      <c r="V364" s="39">
        <v>263.605866667</v>
      </c>
      <c r="W364" t="inlineStr">
        <is>
          <t>Above 75 DMA</t>
        </is>
      </c>
    </row>
    <row r="365">
      <c r="A365" s="23">
        <v>46219.0</v>
      </c>
      <c r="B365" s="25" t="str">
        <f t="shared" si="6"/>
        <v>Thursday</v>
      </c>
      <c r="C365" s="243" t="s">
        <v>156</v>
      </c>
      <c r="D365" s="31">
        <f>IFERROR(__xludf.DUMMYFUNCTION("GOOGLEFINANCE(""NSE:""&amp;UPPER(TRIM(E365)),""marketcap"")/10000000"),1077.428376)</f>
        <v>1077.428376</v>
      </c>
      <c r="E365" s="7" t="s">
        <v>100</v>
      </c>
      <c r="F365" s="39">
        <f>IFERROR(__xludf.DUMMYFUNCTION("IF(OR(E365="""",A365=""""),"""",
 IF(
   DATE(VALUE(RIGHT(A365,4)),VALUE(MID(A365,4,2)),VALUE(LEFT(A365,2)))&gt;=TODAY(),
   IFERROR(
     GOOGLEFINANCE(""NSE:""&amp;UPPER(TRIM(E365)),""price""),
     ""Not Available""
   ),
   IFERROR(
     INDEX(
       GOOGLE"&amp;"FINANCE(
         ""NSE:""&amp;UPPER(TRIM(E365)),
         ""close"",
         DATE(VALUE(RIGHT(A365,4)),VALUE(MID(A365,4,2)),VALUE(LEFT(A365,2))),
         DATE(VALUE(RIGHT(A365,4)),VALUE(MID(A365,4,2)),VALUE(LEFT(A365,2)))+1
       ),
       2,2
     ),
   "&amp;"  ""Not Available""
   )
 ))"),158.24)</f>
        <v>158.24</v>
      </c>
      <c r="G365" s="42">
        <f>IFERROR(__xludf.DUMMYFUNCTION("IF(E365="""","""",IFERROR(GOOGLEFINANCE(""NSE:""&amp;UPPER(TRIM(E365)),""price""),""Not Available""))"),129.47)</f>
        <v>129.47</v>
      </c>
      <c r="H365" s="53">
        <f t="shared" si="1"/>
        <v>70</v>
      </c>
      <c r="I365" s="58">
        <f t="shared" si="2"/>
        <v>-0.1818124368</v>
      </c>
      <c r="J365" s="60">
        <f t="shared" si="3"/>
        <v>-18181.24368</v>
      </c>
      <c r="K365" s="42"/>
      <c r="L365" s="42"/>
      <c r="M365" s="68">
        <f t="shared" si="4"/>
        <v>-1</v>
      </c>
      <c r="N365" s="68">
        <f t="shared" si="5"/>
        <v>-1</v>
      </c>
      <c r="O365" s="68">
        <v>0.176188068756</v>
      </c>
      <c r="P365" s="23">
        <v>46224</v>
      </c>
      <c r="R365" s="68">
        <v>0.75</v>
      </c>
      <c r="S365" s="23">
        <v>46203</v>
      </c>
      <c r="T365" s="23">
        <v>46219</v>
      </c>
      <c r="U365" s="39">
        <v>158.24</v>
      </c>
      <c r="V365" s="39">
        <v>135.0104</v>
      </c>
      <c r="W365" t="inlineStr">
        <is>
          <t>Above 75 DMA</t>
        </is>
      </c>
    </row>
    <row r="366">
      <c r="A366" s="23">
        <v>46219.0</v>
      </c>
      <c r="B366" s="25" t="str">
        <f t="shared" si="6"/>
        <v>Thursday</v>
      </c>
      <c r="C366" s="243" t="s">
        <v>156</v>
      </c>
      <c r="D366" s="31">
        <f>IFERROR(__xludf.DUMMYFUNCTION("GOOGLEFINANCE(""NSE:""&amp;UPPER(TRIM(E366)),""marketcap"")/10000000"),7681.016)</f>
        <v>7681.016</v>
      </c>
      <c r="E366" s="7" t="s">
        <v>105</v>
      </c>
      <c r="F366" s="39">
        <f>IFERROR(__xludf.DUMMYFUNCTION("IF(OR(E366="""",A366=""""),"""",
 IF(
   DATE(VALUE(RIGHT(A366,4)),VALUE(MID(A366,4,2)),VALUE(LEFT(A366,2)))&gt;=TODAY(),
   IFERROR(
     GOOGLEFINANCE(""NSE:""&amp;UPPER(TRIM(E366)),""price""),
     ""Not Available""
   ),
   IFERROR(
     INDEX(
       GOOGLE"&amp;"FINANCE(
         ""NSE:""&amp;UPPER(TRIM(E366)),
         ""close"",
         DATE(VALUE(RIGHT(A366,4)),VALUE(MID(A366,4,2)),VALUE(LEFT(A366,2))),
         DATE(VALUE(RIGHT(A366,4)),VALUE(MID(A366,4,2)),VALUE(LEFT(A366,2)))+1
       ),
       2,2
     ),
   "&amp;"  ""Not Available""
   )
 ))"),608.45)</f>
        <v>608.45</v>
      </c>
      <c r="G366" s="42">
        <f>IFERROR(__xludf.DUMMYFUNCTION("IF(E366="""","""",IFERROR(GOOGLEFINANCE(""NSE:""&amp;UPPER(TRIM(E366)),""price""),""Not Available""))"),248.5)</f>
        <v>248.5</v>
      </c>
      <c r="H366" s="53">
        <f t="shared" si="1"/>
        <v>70</v>
      </c>
      <c r="I366" s="58">
        <f t="shared" si="2"/>
        <v>-0.5915851754</v>
      </c>
      <c r="J366" s="60">
        <f t="shared" si="3"/>
        <v>-59158.51754</v>
      </c>
      <c r="K366" s="42"/>
      <c r="L366" s="42"/>
      <c r="M366" s="68">
        <f t="shared" si="4"/>
        <v>-1</v>
      </c>
      <c r="N366" s="68">
        <f t="shared" si="5"/>
        <v>-1</v>
      </c>
      <c r="O366" s="68">
        <v>0.239050045197</v>
      </c>
      <c r="P366" s="23">
        <v>46266</v>
      </c>
      <c r="T366" s="23">
        <v>46219</v>
      </c>
      <c r="U366" s="39">
        <v>608.45</v>
      </c>
      <c r="V366" s="39">
        <v>572.48</v>
      </c>
      <c r="W366" t="inlineStr">
        <is>
          <t>Above 75 DMA</t>
        </is>
      </c>
    </row>
    <row r="367">
      <c r="A367" s="23">
        <v>46219.0</v>
      </c>
      <c r="B367" s="25" t="str">
        <f t="shared" si="6"/>
        <v>Thursday</v>
      </c>
      <c r="C367" s="243" t="s">
        <v>156</v>
      </c>
      <c r="D367" s="31">
        <f>IFERROR(__xludf.DUMMYFUNCTION("GOOGLEFINANCE(""NSE:""&amp;UPPER(TRIM(E367)),""marketcap"")/10000000"),8789.1225)</f>
        <v>8789.1225</v>
      </c>
      <c r="E367" s="7" t="s">
        <v>109</v>
      </c>
      <c r="F367" s="39">
        <f>IFERROR(__xludf.DUMMYFUNCTION("IF(OR(E367="""",A367=""""),"""",
 IF(
   DATE(VALUE(RIGHT(A367,4)),VALUE(MID(A367,4,2)),VALUE(LEFT(A367,2)))&gt;=TODAY(),
   IFERROR(
     GOOGLEFINANCE(""NSE:""&amp;UPPER(TRIM(E367)),""price""),
     ""Not Available""
   ),
   IFERROR(
     INDEX(
       GOOGLE"&amp;"FINANCE(
         ""NSE:""&amp;UPPER(TRIM(E367)),
         ""close"",
         DATE(VALUE(RIGHT(A367,4)),VALUE(MID(A367,4,2)),VALUE(LEFT(A367,2))),
         DATE(VALUE(RIGHT(A367,4)),VALUE(MID(A367,4,2)),VALUE(LEFT(A367,2)))+1
       ),
       2,2
     ),
   "&amp;"  ""Not Available""
   )
 ))"),310.8)</f>
        <v>310.8</v>
      </c>
      <c r="G367" s="42">
        <f>IFERROR(__xludf.DUMMYFUNCTION("IF(E367="""","""",IFERROR(GOOGLEFINANCE(""NSE:""&amp;UPPER(TRIM(E367)),""price""),""Not Available""))"),268.1)</f>
        <v>268.1</v>
      </c>
      <c r="H367" s="53">
        <f t="shared" si="1"/>
        <v>70</v>
      </c>
      <c r="I367" s="58">
        <f t="shared" si="2"/>
        <v>-0.1373873874</v>
      </c>
      <c r="J367" s="60">
        <f t="shared" si="3"/>
        <v>-13738.73874</v>
      </c>
      <c r="K367" s="42"/>
      <c r="L367" s="42"/>
      <c r="M367" s="68">
        <f t="shared" si="4"/>
        <v>-1</v>
      </c>
      <c r="N367" s="68">
        <f t="shared" si="5"/>
        <v>-1</v>
      </c>
      <c r="O367" s="68">
        <v>0.0939510939511</v>
      </c>
      <c r="P367" s="23">
        <v>46233</v>
      </c>
      <c r="R367" s="68">
        <v>0.4091</v>
      </c>
      <c r="S367" s="23">
        <v>46203</v>
      </c>
      <c r="T367" s="23">
        <v>46219</v>
      </c>
      <c r="U367" s="39">
        <v>310.8</v>
      </c>
      <c r="V367" s="39">
        <v>278.821333333</v>
      </c>
      <c r="W367" t="inlineStr">
        <is>
          <t>Above 75 DMA</t>
        </is>
      </c>
    </row>
    <row r="368">
      <c r="A368" s="23">
        <v>46219.0</v>
      </c>
      <c r="B368" s="25" t="str">
        <f t="shared" si="6"/>
        <v>Thursday</v>
      </c>
      <c r="C368" s="243" t="s">
        <v>156</v>
      </c>
      <c r="D368" s="31">
        <f>IFERROR(__xludf.DUMMYFUNCTION("GOOGLEFINANCE(""NSE:""&amp;UPPER(TRIM(E368)),""marketcap"")/10000000"),5749.7395693)</f>
        <v>5749.739569</v>
      </c>
      <c r="E368" s="7" t="s">
        <v>112</v>
      </c>
      <c r="F368" s="39">
        <f>IFERROR(__xludf.DUMMYFUNCTION("IF(OR(E368="""",A368=""""),"""",
 IF(
   DATE(VALUE(RIGHT(A368,4)),VALUE(MID(A368,4,2)),VALUE(LEFT(A368,2)))&gt;=TODAY(),
   IFERROR(
     GOOGLEFINANCE(""NSE:""&amp;UPPER(TRIM(E368)),""price""),
     ""Not Available""
   ),
   IFERROR(
     INDEX(
       GOOGLE"&amp;"FINANCE(
         ""NSE:""&amp;UPPER(TRIM(E368)),
         ""close"",
         DATE(VALUE(RIGHT(A368,4)),VALUE(MID(A368,4,2)),VALUE(LEFT(A368,2))),
         DATE(VALUE(RIGHT(A368,4)),VALUE(MID(A368,4,2)),VALUE(LEFT(A368,2)))+1
       ),
       2,2
     ),
   "&amp;"  ""Not Available""
   )
 ))"),793.35)</f>
        <v>793.35</v>
      </c>
      <c r="G368" s="42">
        <f>IFERROR(__xludf.DUMMYFUNCTION("IF(E368="""","""",IFERROR(GOOGLEFINANCE(""NSE:""&amp;UPPER(TRIM(E368)),""price""),""Not Available""))"),676.05)</f>
        <v>676.05</v>
      </c>
      <c r="H368" s="53">
        <f t="shared" si="1"/>
        <v>70</v>
      </c>
      <c r="I368" s="58">
        <f t="shared" si="2"/>
        <v>-0.1478540367</v>
      </c>
      <c r="J368" s="60">
        <f t="shared" si="3"/>
        <v>-14785.40367</v>
      </c>
      <c r="K368" s="42"/>
      <c r="L368" s="42"/>
      <c r="M368" s="68">
        <f t="shared" si="4"/>
        <v>-1</v>
      </c>
      <c r="N368" s="68">
        <f t="shared" si="5"/>
        <v>-1</v>
      </c>
      <c r="O368" s="68">
        <v>0.00579819751686</v>
      </c>
      <c r="P368" s="23">
        <v>46220</v>
      </c>
      <c r="R368" s="68">
        <v>0.7414</v>
      </c>
      <c r="S368" s="23">
        <v>46203</v>
      </c>
      <c r="T368" s="23">
        <v>46219</v>
      </c>
      <c r="U368" s="39">
        <v>793.35</v>
      </c>
      <c r="V368" s="39">
        <v>548.061333333</v>
      </c>
      <c r="W368" t="inlineStr">
        <is>
          <t>Above 75 DMA</t>
        </is>
      </c>
    </row>
    <row r="369">
      <c r="A369" s="23">
        <v>46219.0</v>
      </c>
      <c r="B369" s="25" t="str">
        <f t="shared" si="6"/>
        <v>Thursday</v>
      </c>
      <c r="C369" s="243" t="s">
        <v>156</v>
      </c>
      <c r="D369" s="31">
        <f>IFERROR(__xludf.DUMMYFUNCTION("GOOGLEFINANCE(""NSE:""&amp;UPPER(TRIM(E369)),""marketcap"")/10000000"),19283.0171463)</f>
        <v>19283.01715</v>
      </c>
      <c r="E369" s="7" t="s">
        <v>113</v>
      </c>
      <c r="F369" s="39">
        <f>IFERROR(__xludf.DUMMYFUNCTION("IF(OR(E369="""",A369=""""),"""",
 IF(
   DATE(VALUE(RIGHT(A369,4)),VALUE(MID(A369,4,2)),VALUE(LEFT(A369,2)))&gt;=TODAY(),
   IFERROR(
     GOOGLEFINANCE(""NSE:""&amp;UPPER(TRIM(E369)),""price""),
     ""Not Available""
   ),
   IFERROR(
     INDEX(
       GOOGLE"&amp;"FINANCE(
         ""NSE:""&amp;UPPER(TRIM(E369)),
         ""close"",
         DATE(VALUE(RIGHT(A369,4)),VALUE(MID(A369,4,2)),VALUE(LEFT(A369,2))),
         DATE(VALUE(RIGHT(A369,4)),VALUE(MID(A369,4,2)),VALUE(LEFT(A369,2)))+1
       ),
       2,2
     ),
   "&amp;"  ""Not Available""
   )
 ))"),1241.8)</f>
        <v>1241.8</v>
      </c>
      <c r="G369" s="42">
        <f>IFERROR(__xludf.DUMMYFUNCTION("IF(E369="""","""",IFERROR(GOOGLEFINANCE(""NSE:""&amp;UPPER(TRIM(E369)),""price""),""Not Available""))"),1227.1)</f>
        <v>1227.1</v>
      </c>
      <c r="H369" s="53">
        <f t="shared" si="1"/>
        <v>70</v>
      </c>
      <c r="I369" s="58">
        <f t="shared" si="2"/>
        <v>-0.01183765502</v>
      </c>
      <c r="J369" s="60">
        <f t="shared" si="3"/>
        <v>-1183.765502</v>
      </c>
      <c r="K369" s="42"/>
      <c r="L369" s="42"/>
      <c r="M369" s="68">
        <f t="shared" si="4"/>
        <v>-1</v>
      </c>
      <c r="N369" s="68">
        <f t="shared" si="5"/>
        <v>-1</v>
      </c>
      <c r="O369" s="68">
        <v>0.0267353841198</v>
      </c>
      <c r="P369" s="23">
        <v>46248</v>
      </c>
      <c r="R369" s="68">
        <v>0.4769</v>
      </c>
      <c r="S369" s="23">
        <v>46203</v>
      </c>
      <c r="T369" s="23">
        <v>46219</v>
      </c>
      <c r="U369" s="39">
        <v>1241.8</v>
      </c>
      <c r="V369" s="39">
        <v>1124.81933333</v>
      </c>
      <c r="W369" t="inlineStr">
        <is>
          <t>Above 75 DMA</t>
        </is>
      </c>
    </row>
    <row r="370">
      <c r="A370" s="23">
        <v>46219.0</v>
      </c>
      <c r="B370" s="25" t="str">
        <f t="shared" si="6"/>
        <v>Thursday</v>
      </c>
      <c r="C370" s="243" t="s">
        <v>156</v>
      </c>
      <c r="D370" s="31">
        <f>IFERROR(__xludf.DUMMYFUNCTION("GOOGLEFINANCE(""NSE:""&amp;UPPER(TRIM(E370)),""marketcap"")/10000000"),380.547402)</f>
        <v>380.547402</v>
      </c>
      <c r="E370" s="7" t="s">
        <v>116</v>
      </c>
      <c r="F370" s="39">
        <f>IFERROR(__xludf.DUMMYFUNCTION("IF(OR(E370="""",A370=""""),"""",
 IF(
   DATE(VALUE(RIGHT(A370,4)),VALUE(MID(A370,4,2)),VALUE(LEFT(A370,2)))&gt;=TODAY(),
   IFERROR(
     GOOGLEFINANCE(""NSE:""&amp;UPPER(TRIM(E370)),""price""),
     ""Not Available""
   ),
   IFERROR(
     INDEX(
       GOOGLE"&amp;"FINANCE(
         ""NSE:""&amp;UPPER(TRIM(E370)),
         ""close"",
         DATE(VALUE(RIGHT(A370,4)),VALUE(MID(A370,4,2)),VALUE(LEFT(A370,2))),
         DATE(VALUE(RIGHT(A370,4)),VALUE(MID(A370,4,2)),VALUE(LEFT(A370,2)))+1
       ),
       2,2
     ),
   "&amp;"  ""Not Available""
   )
 ))"),394.25)</f>
        <v>394.25</v>
      </c>
      <c r="G370" s="42">
        <f>IFERROR(__xludf.DUMMYFUNCTION("IF(E370="""","""",IFERROR(GOOGLEFINANCE(""NSE:""&amp;UPPER(TRIM(E370)),""price""),""Not Available""))"),366.0)</f>
        <v>366</v>
      </c>
      <c r="H370" s="53">
        <f t="shared" si="1"/>
        <v>70</v>
      </c>
      <c r="I370" s="58">
        <f t="shared" si="2"/>
        <v>-0.07165504122</v>
      </c>
      <c r="J370" s="60">
        <f t="shared" si="3"/>
        <v>-7165.504122</v>
      </c>
      <c r="K370" s="42"/>
      <c r="L370" s="42"/>
      <c r="M370" s="68">
        <f t="shared" si="4"/>
        <v>-1</v>
      </c>
      <c r="N370" s="68">
        <f t="shared" si="5"/>
        <v>-1</v>
      </c>
      <c r="O370" s="68">
        <v>0.268230818009</v>
      </c>
      <c r="P370" s="23">
        <v>46239</v>
      </c>
    </row>
    <row r="371">
      <c r="A371" s="23">
        <v>46219.0</v>
      </c>
      <c r="B371" s="25" t="str">
        <f t="shared" si="6"/>
        <v>Thursday</v>
      </c>
      <c r="C371" s="243" t="s">
        <v>156</v>
      </c>
      <c r="D371" s="31">
        <f>IFERROR(__xludf.DUMMYFUNCTION("GOOGLEFINANCE(""NSE:""&amp;UPPER(TRIM(E371)),""marketcap"")/10000000"),2826.1716004)</f>
        <v>2826.1716</v>
      </c>
      <c r="E371" s="7" t="s">
        <v>118</v>
      </c>
      <c r="F371" s="39">
        <f>IFERROR(__xludf.DUMMYFUNCTION("IF(OR(E371="""",A371=""""),"""",
 IF(
   DATE(VALUE(RIGHT(A371,4)),VALUE(MID(A371,4,2)),VALUE(LEFT(A371,2)))&gt;=TODAY(),
   IFERROR(
     GOOGLEFINANCE(""NSE:""&amp;UPPER(TRIM(E371)),""price""),
     ""Not Available""
   ),
   IFERROR(
     INDEX(
       GOOGLE"&amp;"FINANCE(
         ""NSE:""&amp;UPPER(TRIM(E371)),
         ""close"",
         DATE(VALUE(RIGHT(A371,4)),VALUE(MID(A371,4,2)),VALUE(LEFT(A371,2))),
         DATE(VALUE(RIGHT(A371,4)),VALUE(MID(A371,4,2)),VALUE(LEFT(A371,2)))+1
       ),
       2,2
     ),
   "&amp;"  ""Not Available""
   )
 ))"),986.35)</f>
        <v>986.35</v>
      </c>
      <c r="G371" s="42">
        <f>IFERROR(__xludf.DUMMYFUNCTION("IF(E371="""","""",IFERROR(GOOGLEFINANCE(""NSE:""&amp;UPPER(TRIM(E371)),""price""),""Not Available""))"),1027.8)</f>
        <v>1027.8</v>
      </c>
      <c r="H371" s="53">
        <f t="shared" si="1"/>
        <v>70</v>
      </c>
      <c r="I371" s="58">
        <f t="shared" si="2"/>
        <v>0.04202362245</v>
      </c>
      <c r="J371" s="60">
        <f t="shared" si="3"/>
        <v>4202.362245</v>
      </c>
      <c r="K371" s="42"/>
      <c r="L371" s="42"/>
      <c r="M371" s="68">
        <f t="shared" si="4"/>
        <v>-1</v>
      </c>
      <c r="N371" s="68">
        <f t="shared" si="5"/>
        <v>-1</v>
      </c>
      <c r="O371" s="68">
        <v>0.135499569118</v>
      </c>
      <c r="P371" s="23">
        <v>46268</v>
      </c>
      <c r="R371" s="68">
        <v>0.4</v>
      </c>
      <c r="S371" s="23">
        <v>46203</v>
      </c>
      <c r="T371" s="23">
        <v>46219</v>
      </c>
      <c r="U371" s="39">
        <v>986.35</v>
      </c>
      <c r="V371" s="39">
        <v>882.347333333</v>
      </c>
      <c r="W371" t="inlineStr">
        <is>
          <t>Above 75 DMA</t>
        </is>
      </c>
    </row>
    <row r="372">
      <c r="A372" s="23">
        <v>46219.0</v>
      </c>
      <c r="B372" s="25" t="str">
        <f t="shared" si="6"/>
        <v>Thursday</v>
      </c>
      <c r="C372" s="243" t="s">
        <v>156</v>
      </c>
      <c r="D372" s="31">
        <f>IFERROR(__xludf.DUMMYFUNCTION("GOOGLEFINANCE(""NSE:""&amp;UPPER(TRIM(E372)),""marketcap"")/10000000"),2332.5801701)</f>
        <v>2332.58017</v>
      </c>
      <c r="E372" s="7" t="s">
        <v>142</v>
      </c>
      <c r="F372" s="39">
        <f>IFERROR(__xludf.DUMMYFUNCTION("IF(OR(E372="""",A372=""""),"""",
 IF(
   DATE(VALUE(RIGHT(A372,4)),VALUE(MID(A372,4,2)),VALUE(LEFT(A372,2)))&gt;=TODAY(),
   IFERROR(
     GOOGLEFINANCE(""NSE:""&amp;UPPER(TRIM(E372)),""price""),
     ""Not Available""
   ),
   IFERROR(
     INDEX(
       GOOGLE"&amp;"FINANCE(
         ""NSE:""&amp;UPPER(TRIM(E372)),
         ""close"",
         DATE(VALUE(RIGHT(A372,4)),VALUE(MID(A372,4,2)),VALUE(LEFT(A372,2))),
         DATE(VALUE(RIGHT(A372,4)),VALUE(MID(A372,4,2)),VALUE(LEFT(A372,2)))+1
       ),
       2,2
     ),
   "&amp;"  ""Not Available""
   )
 ))"),1480.7)</f>
        <v>1480.7</v>
      </c>
      <c r="G372" s="42">
        <f>IFERROR(__xludf.DUMMYFUNCTION("IF(E372="""","""",IFERROR(GOOGLEFINANCE(""NSE:""&amp;UPPER(TRIM(E372)),""price""),""Not Available""))"),1655.8)</f>
        <v>1655.8</v>
      </c>
      <c r="H372" s="53">
        <f t="shared" si="1"/>
        <v>70</v>
      </c>
      <c r="I372" s="58">
        <f t="shared" si="2"/>
        <v>0.1182548794</v>
      </c>
      <c r="J372" s="60">
        <f t="shared" si="3"/>
        <v>11825.48794</v>
      </c>
      <c r="K372" s="42"/>
      <c r="L372" s="42"/>
      <c r="M372" s="68">
        <f t="shared" si="4"/>
        <v>-1</v>
      </c>
      <c r="N372" s="68">
        <f t="shared" si="5"/>
        <v>-1</v>
      </c>
      <c r="O372" s="68">
        <v>0.225704058891</v>
      </c>
      <c r="P372" s="23">
        <v>46280</v>
      </c>
      <c r="R372" s="68">
        <v>0.5611</v>
      </c>
      <c r="S372" s="23">
        <v>46203</v>
      </c>
      <c r="T372" s="23">
        <v>46219</v>
      </c>
      <c r="U372" s="39">
        <v>1480.7</v>
      </c>
      <c r="V372" s="39">
        <v>1471.424</v>
      </c>
      <c r="W372" t="inlineStr">
        <is>
          <t>Above 75 DMA</t>
        </is>
      </c>
    </row>
    <row r="373">
      <c r="A373" s="23">
        <v>46219.0</v>
      </c>
      <c r="B373" s="25" t="str">
        <f t="shared" si="6"/>
        <v>Thursday</v>
      </c>
      <c r="C373" s="243" t="s">
        <v>156</v>
      </c>
      <c r="D373" s="31">
        <f>IFERROR(__xludf.DUMMYFUNCTION("GOOGLEFINANCE(""NSE:""&amp;UPPER(TRIM(E373)),""marketcap"")/10000000"),1730.0944231)</f>
        <v>1730.094423</v>
      </c>
      <c r="E373" s="7" t="s">
        <v>144</v>
      </c>
      <c r="F373" s="39">
        <f>IFERROR(__xludf.DUMMYFUNCTION("IF(OR(E373="""",A373=""""),"""",
 IF(
   DATE(VALUE(RIGHT(A373,4)),VALUE(MID(A373,4,2)),VALUE(LEFT(A373,2)))&gt;=TODAY(),
   IFERROR(
     GOOGLEFINANCE(""NSE:""&amp;UPPER(TRIM(E373)),""price""),
     ""Not Available""
   ),
   IFERROR(
     INDEX(
       GOOGLE"&amp;"FINANCE(
         ""NSE:""&amp;UPPER(TRIM(E373)),
         ""close"",
         DATE(VALUE(RIGHT(A373,4)),VALUE(MID(A373,4,2)),VALUE(LEFT(A373,2))),
         DATE(VALUE(RIGHT(A373,4)),VALUE(MID(A373,4,2)),VALUE(LEFT(A373,2)))+1
       ),
       2,2
     ),
   "&amp;"  ""Not Available""
   )
 ))"),297.2)</f>
        <v>297.2</v>
      </c>
      <c r="G373" s="42">
        <f>IFERROR(__xludf.DUMMYFUNCTION("IF(E373="""","""",IFERROR(GOOGLEFINANCE(""NSE:""&amp;UPPER(TRIM(E373)),""price""),""Not Available""))"),346.4)</f>
        <v>346.4</v>
      </c>
      <c r="H373" s="53">
        <f t="shared" si="1"/>
        <v>70</v>
      </c>
      <c r="I373" s="58">
        <f t="shared" si="2"/>
        <v>0.1655450875</v>
      </c>
      <c r="J373" s="60">
        <f t="shared" si="3"/>
        <v>16554.50875</v>
      </c>
      <c r="K373" s="42"/>
      <c r="L373" s="42"/>
      <c r="M373" s="68">
        <f t="shared" si="4"/>
        <v>-1</v>
      </c>
      <c r="N373" s="68">
        <f t="shared" si="5"/>
        <v>-1</v>
      </c>
      <c r="O373" s="68">
        <v>0.228129205922</v>
      </c>
      <c r="P373" s="23">
        <v>46274</v>
      </c>
      <c r="R373" s="68">
        <v>0.6427</v>
      </c>
      <c r="S373" s="23">
        <v>46203</v>
      </c>
      <c r="T373" s="23">
        <v>46219</v>
      </c>
      <c r="U373" s="39">
        <v>297.2</v>
      </c>
      <c r="V373" s="39">
        <v>297.105333333</v>
      </c>
      <c r="W373" t="inlineStr">
        <is>
          <t>Above 75 DMA</t>
        </is>
      </c>
    </row>
    <row r="374">
      <c r="A374" s="23">
        <v>46216.0</v>
      </c>
      <c r="B374" s="25" t="str">
        <f t="shared" si="6"/>
        <v>Monday</v>
      </c>
      <c r="C374" s="243" t="s">
        <v>156</v>
      </c>
      <c r="D374" s="31">
        <f>IFERROR(__xludf.DUMMYFUNCTION("GOOGLEFINANCE(""NSE:""&amp;UPPER(TRIM(E374)),""marketcap"")/10000000"),15898.9005174)</f>
        <v>15898.90052</v>
      </c>
      <c r="E374" s="7" t="s">
        <v>146</v>
      </c>
      <c r="F374" s="39">
        <f>IFERROR(__xludf.DUMMYFUNCTION("IF(OR(E374="""",A374=""""),"""",
 IF(
   DATE(VALUE(RIGHT(A374,4)),VALUE(MID(A374,4,2)),VALUE(LEFT(A374,2)))&gt;=TODAY(),
   IFERROR(
     GOOGLEFINANCE(""NSE:""&amp;UPPER(TRIM(E374)),""price""),
     ""Not Available""
   ),
   IFERROR(
     INDEX(
       GOOGLE"&amp;"FINANCE(
         ""NSE:""&amp;UPPER(TRIM(E374)),
         ""close"",
         DATE(VALUE(RIGHT(A374,4)),VALUE(MID(A374,4,2)),VALUE(LEFT(A374,2))),
         DATE(VALUE(RIGHT(A374,4)),VALUE(MID(A374,4,2)),VALUE(LEFT(A374,2)))+1
       ),
       2,2
     ),
   "&amp;"  ""Not Available""
   )
 ))"),244.69)</f>
        <v>244.69</v>
      </c>
      <c r="G374" s="42">
        <f>IFERROR(__xludf.DUMMYFUNCTION("IF(E374="""","""",IFERROR(GOOGLEFINANCE(""NSE:""&amp;UPPER(TRIM(E374)),""price""),""Not Available""))"),242.61)</f>
        <v>242.61</v>
      </c>
      <c r="H374" s="53">
        <f t="shared" si="1"/>
        <v>73</v>
      </c>
      <c r="I374" s="58">
        <f t="shared" si="2"/>
        <v>-0.008500551719</v>
      </c>
      <c r="J374" s="60">
        <f t="shared" si="3"/>
        <v>-850.0551719</v>
      </c>
      <c r="K374" s="42"/>
      <c r="L374" s="42"/>
      <c r="M374" s="68">
        <f t="shared" si="4"/>
        <v>-1</v>
      </c>
      <c r="N374" s="68">
        <f t="shared" si="5"/>
        <v>-1</v>
      </c>
      <c r="O374" s="68">
        <v>0.108382034411</v>
      </c>
      <c r="P374" s="23">
        <v>46254</v>
      </c>
      <c r="R374" s="68">
        <v>0.5909</v>
      </c>
      <c r="S374" s="23">
        <v>46203</v>
      </c>
      <c r="T374" s="23">
        <v>46216</v>
      </c>
      <c r="U374" s="39">
        <v>244.69</v>
      </c>
      <c r="V374" s="39">
        <v>189.4204</v>
      </c>
      <c r="W374" t="inlineStr">
        <is>
          <t>Above 75 DMA</t>
        </is>
      </c>
    </row>
    <row r="375">
      <c r="A375" s="23">
        <v>46216.0</v>
      </c>
      <c r="B375" s="25" t="str">
        <f t="shared" si="6"/>
        <v>Monday</v>
      </c>
      <c r="C375" s="243" t="s">
        <v>156</v>
      </c>
      <c r="D375" s="31">
        <f>IFERROR(__xludf.DUMMYFUNCTION("GOOGLEFINANCE(""NSE:""&amp;UPPER(TRIM(E375)),""marketcap"")/10000000"),21760.72281)</f>
        <v>21760.72281</v>
      </c>
      <c r="E375" s="7" t="s">
        <v>148</v>
      </c>
      <c r="F375" s="39">
        <f>IFERROR(__xludf.DUMMYFUNCTION("IF(OR(E375="""",A375=""""),"""",
 IF(
   DATE(VALUE(RIGHT(A375,4)),VALUE(MID(A375,4,2)),VALUE(LEFT(A375,2)))&gt;=TODAY(),
   IFERROR(
     GOOGLEFINANCE(""NSE:""&amp;UPPER(TRIM(E375)),""price""),
     ""Not Available""
   ),
   IFERROR(
     INDEX(
       GOOGLE"&amp;"FINANCE(
         ""NSE:""&amp;UPPER(TRIM(E375)),
         ""close"",
         DATE(VALUE(RIGHT(A375,4)),VALUE(MID(A375,4,2)),VALUE(LEFT(A375,2))),
         DATE(VALUE(RIGHT(A375,4)),VALUE(MID(A375,4,2)),VALUE(LEFT(A375,2)))+1
       ),
       2,2
     ),
   "&amp;"  ""Not Available""
   )
 ))"),1452.8)</f>
        <v>1452.8</v>
      </c>
      <c r="G375" s="42">
        <f>IFERROR(__xludf.DUMMYFUNCTION("IF(E375="""","""",IFERROR(GOOGLEFINANCE(""NSE:""&amp;UPPER(TRIM(E375)),""price""),""Not Available""))"),1639.5)</f>
        <v>1639.5</v>
      </c>
      <c r="H375" s="53">
        <f t="shared" si="1"/>
        <v>73</v>
      </c>
      <c r="I375" s="58">
        <f t="shared" si="2"/>
        <v>0.1285104626</v>
      </c>
      <c r="J375" s="60">
        <f t="shared" si="3"/>
        <v>12851.04626</v>
      </c>
      <c r="K375" s="42"/>
      <c r="L375" s="42"/>
      <c r="M375" s="68">
        <f t="shared" si="4"/>
        <v>-1</v>
      </c>
      <c r="N375" s="68">
        <f t="shared" si="5"/>
        <v>-1</v>
      </c>
      <c r="O375" s="68">
        <v>0.181855726872</v>
      </c>
      <c r="P375" s="23">
        <v>46262</v>
      </c>
      <c r="R375" s="68">
        <v>0.7493</v>
      </c>
      <c r="S375" s="23">
        <v>46203</v>
      </c>
      <c r="T375" s="23">
        <v>46216</v>
      </c>
      <c r="U375" s="39">
        <v>1452.8</v>
      </c>
      <c r="V375" s="39">
        <v>1189.82733333</v>
      </c>
      <c r="W375" t="inlineStr">
        <is>
          <t>Above 75 DMA</t>
        </is>
      </c>
    </row>
    <row r="376">
      <c r="A376" s="23">
        <v>46216.0</v>
      </c>
      <c r="B376" s="25" t="str">
        <f t="shared" si="6"/>
        <v>Monday</v>
      </c>
      <c r="C376" s="243" t="s">
        <v>156</v>
      </c>
      <c r="D376" s="31">
        <f>IFERROR(__xludf.DUMMYFUNCTION("GOOGLEFINANCE(""NSE:""&amp;UPPER(TRIM(E376)),""marketcap"")/10000000"),12495.4282652)</f>
        <v>12495.42827</v>
      </c>
      <c r="E376" s="7" t="s">
        <v>150</v>
      </c>
      <c r="F376" s="39">
        <f>IFERROR(__xludf.DUMMYFUNCTION("IF(OR(E376="""",A376=""""),"""",
 IF(
   DATE(VALUE(RIGHT(A376,4)),VALUE(MID(A376,4,2)),VALUE(LEFT(A376,2)))&gt;=TODAY(),
   IFERROR(
     GOOGLEFINANCE(""NSE:""&amp;UPPER(TRIM(E376)),""price""),
     ""Not Available""
   ),
   IFERROR(
     INDEX(
       GOOGLE"&amp;"FINANCE(
         ""NSE:""&amp;UPPER(TRIM(E376)),
         ""close"",
         DATE(VALUE(RIGHT(A376,4)),VALUE(MID(A376,4,2)),VALUE(LEFT(A376,2))),
         DATE(VALUE(RIGHT(A376,4)),VALUE(MID(A376,4,2)),VALUE(LEFT(A376,2)))+1
       ),
       2,2
     ),
   "&amp;"  ""Not Available""
   )
 ))"),683.85)</f>
        <v>683.85</v>
      </c>
      <c r="G376" s="42">
        <f>IFERROR(__xludf.DUMMYFUNCTION("IF(E376="""","""",IFERROR(GOOGLEFINANCE(""NSE:""&amp;UPPER(TRIM(E376)),""price""),""Not Available""))"),816.15)</f>
        <v>816.15</v>
      </c>
      <c r="H376" s="53">
        <f t="shared" si="1"/>
        <v>73</v>
      </c>
      <c r="I376" s="58">
        <f t="shared" si="2"/>
        <v>0.1934634788</v>
      </c>
      <c r="J376" s="60">
        <f t="shared" si="3"/>
        <v>19346.34788</v>
      </c>
      <c r="K376" s="42"/>
      <c r="L376" s="42"/>
      <c r="M376" s="68">
        <f t="shared" si="4"/>
        <v>-1</v>
      </c>
      <c r="N376" s="68">
        <f t="shared" si="5"/>
        <v>-1</v>
      </c>
      <c r="O376" s="68">
        <v>0.226584777363</v>
      </c>
      <c r="P376" s="23">
        <v>46288</v>
      </c>
      <c r="R376" s="68">
        <v>0.7526</v>
      </c>
      <c r="S376" s="23">
        <v>46203</v>
      </c>
      <c r="T376" s="23">
        <v>46216</v>
      </c>
      <c r="U376" s="39">
        <v>683.85</v>
      </c>
      <c r="V376" s="39">
        <v>555.492</v>
      </c>
      <c r="W376" t="inlineStr">
        <is>
          <t>Above 75 DMA</t>
        </is>
      </c>
    </row>
    <row r="377">
      <c r="A377" s="23">
        <v>46216.0</v>
      </c>
      <c r="B377" s="25" t="str">
        <f t="shared" si="6"/>
        <v>Monday</v>
      </c>
      <c r="C377" s="243" t="s">
        <v>156</v>
      </c>
      <c r="D377" s="31">
        <f>IFERROR(__xludf.DUMMYFUNCTION("GOOGLEFINANCE(""NSE:""&amp;UPPER(TRIM(E377)),""marketcap"")/10000000"),2312.8114595)</f>
        <v>2312.81146</v>
      </c>
      <c r="E377" s="7" t="s">
        <v>152</v>
      </c>
      <c r="F377" s="39">
        <f>IFERROR(__xludf.DUMMYFUNCTION("IF(OR(E377="""",A377=""""),"""",
 IF(
   DATE(VALUE(RIGHT(A377,4)),VALUE(MID(A377,4,2)),VALUE(LEFT(A377,2)))&gt;=TODAY(),
   IFERROR(
     GOOGLEFINANCE(""NSE:""&amp;UPPER(TRIM(E377)),""price""),
     ""Not Available""
   ),
   IFERROR(
     INDEX(
       GOOGLE"&amp;"FINANCE(
         ""NSE:""&amp;UPPER(TRIM(E377)),
         ""close"",
         DATE(VALUE(RIGHT(A377,4)),VALUE(MID(A377,4,2)),VALUE(LEFT(A377,2))),
         DATE(VALUE(RIGHT(A377,4)),VALUE(MID(A377,4,2)),VALUE(LEFT(A377,2)))+1
       ),
       2,2
     ),
   "&amp;"  ""Not Available""
   )
 ))"),140.85)</f>
        <v>140.85</v>
      </c>
      <c r="G377" s="42">
        <f>IFERROR(__xludf.DUMMYFUNCTION("IF(E377="""","""",IFERROR(GOOGLEFINANCE(""NSE:""&amp;UPPER(TRIM(E377)),""price""),""Not Available""))"),124.57)</f>
        <v>124.57</v>
      </c>
      <c r="H377" s="53">
        <f t="shared" si="1"/>
        <v>73</v>
      </c>
      <c r="I377" s="58">
        <f t="shared" si="2"/>
        <v>-0.1155839546</v>
      </c>
      <c r="J377" s="60">
        <f t="shared" si="3"/>
        <v>-11558.39546</v>
      </c>
      <c r="K377" s="42"/>
      <c r="L377" s="42"/>
      <c r="M377" s="68">
        <f t="shared" si="4"/>
        <v>-1</v>
      </c>
      <c r="N377" s="68">
        <f t="shared" si="5"/>
        <v>-1</v>
      </c>
      <c r="O377" s="68">
        <v>0.0259140930067</v>
      </c>
      <c r="P377" s="23">
        <v>46234</v>
      </c>
      <c r="R377" s="68">
        <v>0.7119</v>
      </c>
      <c r="S377" s="23">
        <v>46203</v>
      </c>
      <c r="T377" s="23">
        <v>46216</v>
      </c>
      <c r="U377" s="39">
        <v>140.85</v>
      </c>
      <c r="V377" s="39">
        <v>116.5264</v>
      </c>
      <c r="W377" t="inlineStr">
        <is>
          <t>Above 75 DMA</t>
        </is>
      </c>
    </row>
    <row r="378">
      <c r="A378" s="23">
        <v>46216.0</v>
      </c>
      <c r="B378" s="25" t="str">
        <f t="shared" si="6"/>
        <v>Monday</v>
      </c>
      <c r="C378" s="243" t="s">
        <v>156</v>
      </c>
      <c r="D378" s="31">
        <f>IFERROR(__xludf.DUMMYFUNCTION("GOOGLEFINANCE(""NSE:""&amp;UPPER(TRIM(E378)),""marketcap"")/10000000"),187.9759216)</f>
        <v>187.9759216</v>
      </c>
      <c r="E378" s="7" t="s">
        <v>154</v>
      </c>
      <c r="F378" s="39">
        <f>IFERROR(__xludf.DUMMYFUNCTION("IF(OR(E378="""",A378=""""),"""",
 IF(
   DATE(VALUE(RIGHT(A378,4)),VALUE(MID(A378,4,2)),VALUE(LEFT(A378,2)))&gt;=TODAY(),
   IFERROR(
     GOOGLEFINANCE(""NSE:""&amp;UPPER(TRIM(E378)),""price""),
     ""Not Available""
   ),
   IFERROR(
     INDEX(
       GOOGLE"&amp;"FINANCE(
         ""NSE:""&amp;UPPER(TRIM(E378)),
         ""close"",
         DATE(VALUE(RIGHT(A378,4)),VALUE(MID(A378,4,2)),VALUE(LEFT(A378,2))),
         DATE(VALUE(RIGHT(A378,4)),VALUE(MID(A378,4,2)),VALUE(LEFT(A378,2)))+1
       ),
       2,2
     ),
   "&amp;"  ""Not Available""
   )
 ))"),214.89)</f>
        <v>214.89</v>
      </c>
      <c r="G378" s="42">
        <f>IFERROR(__xludf.DUMMYFUNCTION("IF(E378="""","""",IFERROR(GOOGLEFINANCE(""NSE:""&amp;UPPER(TRIM(E378)),""price""),""Not Available""))"),152.01)</f>
        <v>152.01</v>
      </c>
      <c r="H378" s="53">
        <f t="shared" si="1"/>
        <v>73</v>
      </c>
      <c r="I378" s="58">
        <f t="shared" si="2"/>
        <v>-0.2926148262</v>
      </c>
      <c r="J378" s="60">
        <f t="shared" si="3"/>
        <v>-29261.48262</v>
      </c>
      <c r="K378" s="7">
        <v>292.0</v>
      </c>
      <c r="L378" s="7">
        <v>135.0</v>
      </c>
      <c r="M378" s="68">
        <f t="shared" si="4"/>
        <v>0.3588347527</v>
      </c>
      <c r="N378" s="68">
        <f t="shared" si="5"/>
        <v>-0.3717716041</v>
      </c>
      <c r="O378" s="68">
        <v>0.0190795290614</v>
      </c>
      <c r="P378" s="23">
        <v>46217</v>
      </c>
      <c r="Q378" s="68">
        <v>0.0694229219612</v>
      </c>
      <c r="R378" s="68">
        <v>0.5211</v>
      </c>
      <c r="S378" s="23">
        <v>46203</v>
      </c>
      <c r="T378" s="23">
        <v>46216</v>
      </c>
      <c r="U378" s="39">
        <v>214.89</v>
      </c>
      <c r="V378" s="39">
        <v>214.765333333</v>
      </c>
      <c r="W378" t="inlineStr">
        <is>
          <t>Above 75 DMA</t>
        </is>
      </c>
    </row>
    <row r="379">
      <c r="A379" s="23">
        <v>46216.0</v>
      </c>
      <c r="B379" s="25" t="str">
        <f t="shared" si="6"/>
        <v>Monday</v>
      </c>
      <c r="C379" s="243" t="s">
        <v>156</v>
      </c>
      <c r="D379" s="31">
        <f>IFERROR(__xludf.DUMMYFUNCTION("GOOGLEFINANCE(""NSE:""&amp;UPPER(TRIM(E379)),""marketcap"")/10000000"),27671.6)</f>
        <v>27671.6</v>
      </c>
      <c r="E379" s="7" t="s">
        <v>158</v>
      </c>
      <c r="F379" s="39">
        <f>IFERROR(__xludf.DUMMYFUNCTION("IF(OR(E379="""",A379=""""),"""",
 IF(
   DATE(VALUE(RIGHT(A379,4)),VALUE(MID(A379,4,2)),VALUE(LEFT(A379,2)))&gt;=TODAY(),
   IFERROR(
     GOOGLEFINANCE(""NSE:""&amp;UPPER(TRIM(E379)),""price""),
     ""Not Available""
   ),
   IFERROR(
     INDEX(
       GOOGLE"&amp;"FINANCE(
         ""NSE:""&amp;UPPER(TRIM(E379)),
         ""close"",
         DATE(VALUE(RIGHT(A379,4)),VALUE(MID(A379,4,2)),VALUE(LEFT(A379,2))),
         DATE(VALUE(RIGHT(A379,4)),VALUE(MID(A379,4,2)),VALUE(LEFT(A379,2)))+1
       ),
       2,2
     ),
   "&amp;"  ""Not Available""
   )
 ))"),1444.5)</f>
        <v>1444.5</v>
      </c>
      <c r="G379" s="42">
        <f>IFERROR(__xludf.DUMMYFUNCTION("IF(E379="""","""",IFERROR(GOOGLEFINANCE(""NSE:""&amp;UPPER(TRIM(E379)),""price""),""Not Available""))"),1324.0)</f>
        <v>1324</v>
      </c>
      <c r="H379" s="53">
        <f t="shared" si="1"/>
        <v>73</v>
      </c>
      <c r="I379" s="58">
        <f t="shared" si="2"/>
        <v>-0.08341986847</v>
      </c>
      <c r="J379" s="60">
        <f t="shared" si="3"/>
        <v>-8341.986847</v>
      </c>
      <c r="K379" s="7">
        <v>1277.0</v>
      </c>
      <c r="L379" s="7">
        <v>1027.0</v>
      </c>
      <c r="M379" s="68">
        <f t="shared" si="4"/>
        <v>-0.1159570786</v>
      </c>
      <c r="N379" s="68">
        <f t="shared" si="5"/>
        <v>-0.2890273451</v>
      </c>
      <c r="O379" s="68">
        <v>0.00283835237106</v>
      </c>
      <c r="P379" s="23">
        <v>46218</v>
      </c>
      <c r="Q379" s="68">
        <v>0.327039433066</v>
      </c>
      <c r="R379" s="68">
        <v>0.15</v>
      </c>
      <c r="S379" s="23">
        <v>46203</v>
      </c>
      <c r="T379" s="23">
        <v>46216</v>
      </c>
      <c r="U379" s="39">
        <v>1444.5</v>
      </c>
      <c r="V379" s="39">
        <v>1268.43733333</v>
      </c>
      <c r="W379" t="inlineStr">
        <is>
          <t>Above 75 DMA</t>
        </is>
      </c>
    </row>
    <row r="380">
      <c r="A380" s="23">
        <v>46216.0</v>
      </c>
      <c r="B380" s="25" t="str">
        <f t="shared" si="6"/>
        <v>Monday</v>
      </c>
      <c r="C380" s="243" t="s">
        <v>156</v>
      </c>
      <c r="D380" s="31">
        <f>IFERROR(__xludf.DUMMYFUNCTION("GOOGLEFINANCE(""NSE:""&amp;UPPER(TRIM(E380)),""marketcap"")/10000000"),5855.9051022)</f>
        <v>5855.905102</v>
      </c>
      <c r="E380" s="7" t="s">
        <v>161</v>
      </c>
      <c r="F380" s="39">
        <f>IFERROR(__xludf.DUMMYFUNCTION("IF(OR(E380="""",A380=""""),"""",
 IF(
   DATE(VALUE(RIGHT(A380,4)),VALUE(MID(A380,4,2)),VALUE(LEFT(A380,2)))&gt;=TODAY(),
   IFERROR(
     GOOGLEFINANCE(""NSE:""&amp;UPPER(TRIM(E380)),""price""),
     ""Not Available""
   ),
   IFERROR(
     INDEX(
       GOOGLE"&amp;"FINANCE(
         ""NSE:""&amp;UPPER(TRIM(E380)),
         ""close"",
         DATE(VALUE(RIGHT(A380,4)),VALUE(MID(A380,4,2)),VALUE(LEFT(A380,2))),
         DATE(VALUE(RIGHT(A380,4)),VALUE(MID(A380,4,2)),VALUE(LEFT(A380,2)))+1
       ),
       2,2
     ),
   "&amp;"  ""Not Available""
   )
 ))"),704.4)</f>
        <v>704.4</v>
      </c>
      <c r="G380" s="42">
        <f>IFERROR(__xludf.DUMMYFUNCTION("IF(E380="""","""",IFERROR(GOOGLEFINANCE(""NSE:""&amp;UPPER(TRIM(E380)),""price""),""Not Available""))"),682.75)</f>
        <v>682.75</v>
      </c>
      <c r="H380" s="53">
        <f t="shared" si="1"/>
        <v>73</v>
      </c>
      <c r="I380" s="58">
        <f t="shared" si="2"/>
        <v>-0.03073537763</v>
      </c>
      <c r="J380" s="60">
        <f t="shared" si="3"/>
        <v>-3073.537763</v>
      </c>
      <c r="K380" s="7">
        <v>746.0</v>
      </c>
      <c r="L380" s="7">
        <v>233.0</v>
      </c>
      <c r="M380" s="68">
        <f t="shared" si="4"/>
        <v>0.05905735378</v>
      </c>
      <c r="N380" s="68">
        <f t="shared" si="5"/>
        <v>-0.6692220329</v>
      </c>
      <c r="O380" s="68">
        <v>0.166950596252</v>
      </c>
      <c r="P380" s="23">
        <v>46223</v>
      </c>
      <c r="Q380" s="68">
        <v>0.289401085699</v>
      </c>
      <c r="R380" s="68">
        <v>0.8703</v>
      </c>
      <c r="S380" s="23">
        <v>46203</v>
      </c>
      <c r="T380" s="23">
        <v>46216</v>
      </c>
      <c r="U380" s="39">
        <v>704.4</v>
      </c>
      <c r="V380" s="39">
        <v>568.957333333</v>
      </c>
      <c r="W380" t="inlineStr">
        <is>
          <t>Above 75 DMA</t>
        </is>
      </c>
    </row>
    <row r="381">
      <c r="A381" s="23">
        <v>46216.0</v>
      </c>
      <c r="B381" s="25" t="str">
        <f t="shared" si="6"/>
        <v>Monday</v>
      </c>
      <c r="C381" s="243" t="s">
        <v>156</v>
      </c>
      <c r="D381" s="31">
        <f>IFERROR(__xludf.DUMMYFUNCTION("GOOGLEFINANCE(""NSE:""&amp;UPPER(TRIM(E381)),""marketcap"")/10000000"),1281.1017489)</f>
        <v>1281.101749</v>
      </c>
      <c r="E381" s="7" t="s">
        <v>163</v>
      </c>
      <c r="F381" s="39">
        <f>IFERROR(__xludf.DUMMYFUNCTION("IF(OR(E381="""",A381=""""),"""",
 IF(
   DATE(VALUE(RIGHT(A381,4)),VALUE(MID(A381,4,2)),VALUE(LEFT(A381,2)))&gt;=TODAY(),
   IFERROR(
     GOOGLEFINANCE(""NSE:""&amp;UPPER(TRIM(E381)),""price""),
     ""Not Available""
   ),
   IFERROR(
     INDEX(
       GOOGLE"&amp;"FINANCE(
         ""NSE:""&amp;UPPER(TRIM(E381)),
         ""close"",
         DATE(VALUE(RIGHT(A381,4)),VALUE(MID(A381,4,2)),VALUE(LEFT(A381,2))),
         DATE(VALUE(RIGHT(A381,4)),VALUE(MID(A381,4,2)),VALUE(LEFT(A381,2)))+1
       ),
       2,2
     ),
   "&amp;"  ""Not Available""
   )
 ))"),309.1)</f>
        <v>309.1</v>
      </c>
      <c r="G381" s="42">
        <f>IFERROR(__xludf.DUMMYFUNCTION("IF(E381="""","""",IFERROR(GOOGLEFINANCE(""NSE:""&amp;UPPER(TRIM(E381)),""price""),""Not Available""))"),233.74)</f>
        <v>233.74</v>
      </c>
      <c r="H381" s="53">
        <f t="shared" si="1"/>
        <v>73</v>
      </c>
      <c r="I381" s="58">
        <f t="shared" si="2"/>
        <v>-0.243804594</v>
      </c>
      <c r="J381" s="60">
        <f t="shared" si="3"/>
        <v>-24380.4594</v>
      </c>
      <c r="K381" s="7">
        <v>328.0</v>
      </c>
      <c r="L381" s="7">
        <v>0.0</v>
      </c>
      <c r="M381" s="68">
        <f t="shared" si="4"/>
        <v>0.06114526043</v>
      </c>
      <c r="N381" s="68">
        <f t="shared" si="5"/>
        <v>-1</v>
      </c>
      <c r="O381" s="68">
        <v>0.0320284697509</v>
      </c>
      <c r="P381" s="23">
        <v>46219</v>
      </c>
      <c r="Q381" s="68">
        <v>0.244275592099</v>
      </c>
      <c r="R381" s="68">
        <v>0.321</v>
      </c>
      <c r="S381" s="23">
        <v>46203</v>
      </c>
      <c r="T381" s="23">
        <v>46216</v>
      </c>
      <c r="U381" s="39">
        <v>309.1</v>
      </c>
      <c r="V381" s="39">
        <v>252.4124</v>
      </c>
      <c r="W381" t="inlineStr">
        <is>
          <t>Above 75 DMA</t>
        </is>
      </c>
    </row>
    <row r="382">
      <c r="A382" s="23">
        <v>46216.0</v>
      </c>
      <c r="B382" s="25" t="str">
        <f t="shared" si="6"/>
        <v>Monday</v>
      </c>
      <c r="C382" s="243" t="s">
        <v>156</v>
      </c>
      <c r="D382" s="31">
        <f>IFERROR(__xludf.DUMMYFUNCTION("GOOGLEFINANCE(""NSE:""&amp;UPPER(TRIM(E382)),""marketcap"")/10000000"),6994.2574811)</f>
        <v>6994.257481</v>
      </c>
      <c r="E382" s="7" t="s">
        <v>164</v>
      </c>
      <c r="F382" s="39">
        <f>IFERROR(__xludf.DUMMYFUNCTION("IF(OR(E382="""",A382=""""),"""",
 IF(
   DATE(VALUE(RIGHT(A382,4)),VALUE(MID(A382,4,2)),VALUE(LEFT(A382,2)))&gt;=TODAY(),
   IFERROR(
     GOOGLEFINANCE(""NSE:""&amp;UPPER(TRIM(E382)),""price""),
     ""Not Available""
   ),
   IFERROR(
     INDEX(
       GOOGLE"&amp;"FINANCE(
         ""NSE:""&amp;UPPER(TRIM(E382)),
         ""close"",
         DATE(VALUE(RIGHT(A382,4)),VALUE(MID(A382,4,2)),VALUE(LEFT(A382,2))),
         DATE(VALUE(RIGHT(A382,4)),VALUE(MID(A382,4,2)),VALUE(LEFT(A382,2)))+1
       ),
       2,2
     ),
   "&amp;"  ""Not Available""
   )
 ))"),590.5)</f>
        <v>590.5</v>
      </c>
      <c r="G382" s="42">
        <f>IFERROR(__xludf.DUMMYFUNCTION("IF(E382="""","""",IFERROR(GOOGLEFINANCE(""NSE:""&amp;UPPER(TRIM(E382)),""price""),""Not Available""))"),494.45)</f>
        <v>494.45</v>
      </c>
      <c r="H382" s="53">
        <f t="shared" si="1"/>
        <v>73</v>
      </c>
      <c r="I382" s="58">
        <f t="shared" si="2"/>
        <v>-0.1626587638</v>
      </c>
      <c r="J382" s="60">
        <f t="shared" si="3"/>
        <v>-16265.87638</v>
      </c>
      <c r="K382" s="7">
        <v>818.0</v>
      </c>
      <c r="L382" s="7">
        <v>162.0</v>
      </c>
      <c r="M382" s="68">
        <f t="shared" si="4"/>
        <v>0.3852667231</v>
      </c>
      <c r="N382" s="68">
        <f t="shared" si="5"/>
        <v>-0.7256562235</v>
      </c>
      <c r="O382" s="68">
        <v>0.0225232853514</v>
      </c>
      <c r="P382" s="23">
        <v>46217</v>
      </c>
      <c r="Q382" s="68">
        <v>0.231948078025</v>
      </c>
      <c r="R382" s="68">
        <v>0.5345</v>
      </c>
      <c r="S382" s="23">
        <v>46203</v>
      </c>
      <c r="T382" s="23">
        <v>46216</v>
      </c>
      <c r="U382" s="39">
        <v>590.5</v>
      </c>
      <c r="V382" s="39">
        <v>469.867333333</v>
      </c>
      <c r="W382" t="inlineStr">
        <is>
          <t>Above 75 DMA</t>
        </is>
      </c>
    </row>
    <row r="383">
      <c r="A383" s="23">
        <v>46216.0</v>
      </c>
      <c r="B383" s="25" t="str">
        <f t="shared" si="6"/>
        <v>Monday</v>
      </c>
      <c r="C383" s="243" t="s">
        <v>156</v>
      </c>
      <c r="D383" s="31">
        <f>IFERROR(__xludf.DUMMYFUNCTION("GOOGLEFINANCE(""NSE:""&amp;UPPER(TRIM(E383)),""marketcap"")/10000000"),2389.7905612)</f>
        <v>2389.790561</v>
      </c>
      <c r="E383" s="7" t="s">
        <v>167</v>
      </c>
      <c r="F383" s="39">
        <f>IFERROR(__xludf.DUMMYFUNCTION("IF(OR(E383="""",A383=""""),"""",
 IF(
   DATE(VALUE(RIGHT(A383,4)),VALUE(MID(A383,4,2)),VALUE(LEFT(A383,2)))&gt;=TODAY(),
   IFERROR(
     GOOGLEFINANCE(""NSE:""&amp;UPPER(TRIM(E383)),""price""),
     ""Not Available""
   ),
   IFERROR(
     INDEX(
       GOOGLE"&amp;"FINANCE(
         ""NSE:""&amp;UPPER(TRIM(E383)),
         ""close"",
         DATE(VALUE(RIGHT(A383,4)),VALUE(MID(A383,4,2)),VALUE(LEFT(A383,2))),
         DATE(VALUE(RIGHT(A383,4)),VALUE(MID(A383,4,2)),VALUE(LEFT(A383,2)))+1
       ),
       2,2
     ),
   "&amp;"  ""Not Available""
   )
 ))"),480.8)</f>
        <v>480.8</v>
      </c>
      <c r="G383" s="42">
        <f>IFERROR(__xludf.DUMMYFUNCTION("IF(E383="""","""",IFERROR(GOOGLEFINANCE(""NSE:""&amp;UPPER(TRIM(E383)),""price""),""Not Available""))"),470.7)</f>
        <v>470.7</v>
      </c>
      <c r="H383" s="53">
        <f t="shared" si="1"/>
        <v>73</v>
      </c>
      <c r="I383" s="58">
        <f t="shared" si="2"/>
        <v>-0.02100665557</v>
      </c>
      <c r="J383" s="60">
        <f t="shared" si="3"/>
        <v>-2100.665557</v>
      </c>
      <c r="K383" s="7">
        <v>576.0</v>
      </c>
      <c r="L383" s="7">
        <v>371.0</v>
      </c>
      <c r="M383" s="68">
        <f t="shared" si="4"/>
        <v>0.1980033278</v>
      </c>
      <c r="N383" s="68">
        <f t="shared" si="5"/>
        <v>-0.2283693844</v>
      </c>
      <c r="O383" s="68">
        <v>0.17294093178</v>
      </c>
      <c r="P383" s="23">
        <v>46239</v>
      </c>
      <c r="Q383" s="68">
        <v>0.132730219504</v>
      </c>
      <c r="R383" s="68">
        <v>0.652</v>
      </c>
      <c r="S383" s="23">
        <v>46203</v>
      </c>
      <c r="T383" s="23">
        <v>46216</v>
      </c>
      <c r="U383" s="39">
        <v>480.8</v>
      </c>
      <c r="V383" s="39">
        <v>424.076666667</v>
      </c>
      <c r="W383" t="inlineStr">
        <is>
          <t>Above 75 DMA</t>
        </is>
      </c>
    </row>
    <row r="384">
      <c r="A384" s="23">
        <v>46216.0</v>
      </c>
      <c r="B384" s="25" t="str">
        <f t="shared" si="6"/>
        <v>Monday</v>
      </c>
      <c r="C384" s="243" t="s">
        <v>156</v>
      </c>
      <c r="D384" s="31">
        <f>IFERROR(__xludf.DUMMYFUNCTION("GOOGLEFINANCE(""NSE:""&amp;UPPER(TRIM(E384)),""marketcap"")/10000000"),13319.1323721)</f>
        <v>13319.13237</v>
      </c>
      <c r="E384" s="7" t="s">
        <v>168</v>
      </c>
      <c r="F384" s="39">
        <f>IFERROR(__xludf.DUMMYFUNCTION("IF(OR(E384="""",A384=""""),"""",
 IF(
   DATE(VALUE(RIGHT(A384,4)),VALUE(MID(A384,4,2)),VALUE(LEFT(A384,2)))&gt;=TODAY(),
   IFERROR(
     GOOGLEFINANCE(""NSE:""&amp;UPPER(TRIM(E384)),""price""),
     ""Not Available""
   ),
   IFERROR(
     INDEX(
       GOOGLE"&amp;"FINANCE(
         ""NSE:""&amp;UPPER(TRIM(E384)),
         ""close"",
         DATE(VALUE(RIGHT(A384,4)),VALUE(MID(A384,4,2)),VALUE(LEFT(A384,2))),
         DATE(VALUE(RIGHT(A384,4)),VALUE(MID(A384,4,2)),VALUE(LEFT(A384,2)))+1
       ),
       2,2
     ),
   "&amp;"  ""Not Available""
   )
 ))"),1517.6)</f>
        <v>1517.6</v>
      </c>
      <c r="G384" s="42">
        <f>IFERROR(__xludf.DUMMYFUNCTION("IF(E384="""","""",IFERROR(GOOGLEFINANCE(""NSE:""&amp;UPPER(TRIM(E384)),""price""),""Not Available""))"),1239.5)</f>
        <v>1239.5</v>
      </c>
      <c r="H384" s="53">
        <f t="shared" si="1"/>
        <v>73</v>
      </c>
      <c r="I384" s="58">
        <f t="shared" si="2"/>
        <v>-0.1832498682</v>
      </c>
      <c r="J384" s="60">
        <f t="shared" si="3"/>
        <v>-18324.98682</v>
      </c>
      <c r="K384" s="7">
        <v>1399.0</v>
      </c>
      <c r="L384" s="7">
        <v>1151.0</v>
      </c>
      <c r="M384" s="68">
        <f t="shared" si="4"/>
        <v>-0.07814971007</v>
      </c>
      <c r="N384" s="68">
        <f t="shared" si="5"/>
        <v>-0.2415656299</v>
      </c>
      <c r="O384" s="68">
        <v>0.0276093832367</v>
      </c>
      <c r="P384" s="23">
        <v>46224</v>
      </c>
      <c r="Q384" s="68">
        <v>0.0689627038615</v>
      </c>
      <c r="R384" s="68">
        <v>0.5288</v>
      </c>
      <c r="S384" s="23">
        <v>46203</v>
      </c>
      <c r="T384" s="23">
        <v>46216</v>
      </c>
      <c r="U384" s="39">
        <v>1517.6</v>
      </c>
      <c r="V384" s="39">
        <v>1368.23866667</v>
      </c>
      <c r="W384" t="inlineStr">
        <is>
          <t>Above 75 DMA</t>
        </is>
      </c>
    </row>
    <row r="385">
      <c r="A385" s="23">
        <v>46210.0</v>
      </c>
      <c r="B385" s="25" t="str">
        <f t="shared" si="6"/>
        <v>Tuesday</v>
      </c>
      <c r="C385" s="243" t="s">
        <v>156</v>
      </c>
      <c r="D385" s="31">
        <f>IFERROR(__xludf.DUMMYFUNCTION("GOOGLEFINANCE(""NSE:""&amp;UPPER(TRIM(E385)),""marketcap"")/10000000"),158.85185)</f>
        <v>158.85185</v>
      </c>
      <c r="E385" s="7" t="s">
        <v>171</v>
      </c>
      <c r="F385" s="39">
        <f>IFERROR(__xludf.DUMMYFUNCTION("IF(OR(E385="""",A385=""""),"""",
 IF(
   DATE(VALUE(RIGHT(A385,4)),VALUE(MID(A385,4,2)),VALUE(LEFT(A385,2)))&gt;=TODAY(),
   IFERROR(
     GOOGLEFINANCE(""NSE:""&amp;UPPER(TRIM(E385)),""price""),
     ""Not Available""
   ),
   IFERROR(
     INDEX(
       GOOGLE"&amp;"FINANCE(
         ""NSE:""&amp;UPPER(TRIM(E385)),
         ""close"",
         DATE(VALUE(RIGHT(A385,4)),VALUE(MID(A385,4,2)),VALUE(LEFT(A385,2))),
         DATE(VALUE(RIGHT(A385,4)),VALUE(MID(A385,4,2)),VALUE(LEFT(A385,2)))+1
       ),
       2,2
     ),
   "&amp;"  ""Not Available""
   )
 ))"),53.07)</f>
        <v>53.07</v>
      </c>
      <c r="G385" s="42">
        <f>IFERROR(__xludf.DUMMYFUNCTION("IF(E385="""","""",IFERROR(GOOGLEFINANCE(""NSE:""&amp;UPPER(TRIM(E385)),""price""),""Not Available""))"),50.0)</f>
        <v>50</v>
      </c>
      <c r="H385" s="53">
        <f t="shared" si="1"/>
        <v>79</v>
      </c>
      <c r="I385" s="58">
        <f t="shared" si="2"/>
        <v>-0.05784812512</v>
      </c>
      <c r="J385" s="60">
        <f t="shared" si="3"/>
        <v>-5784.812512</v>
      </c>
      <c r="K385" s="7">
        <v>65.78</v>
      </c>
      <c r="L385" s="7">
        <v>23.0</v>
      </c>
      <c r="M385" s="68">
        <f t="shared" si="4"/>
        <v>0.2394950066</v>
      </c>
      <c r="N385" s="68">
        <f t="shared" si="5"/>
        <v>-0.5666101376</v>
      </c>
      <c r="Q385" s="68">
        <v>0.17808043171</v>
      </c>
      <c r="R385" s="68">
        <v>0.5275</v>
      </c>
      <c r="S385" s="23">
        <v>46203</v>
      </c>
      <c r="T385" s="23">
        <v>46209</v>
      </c>
      <c r="U385" s="39">
        <v>57.48</v>
      </c>
      <c r="V385" s="39">
        <v>45.2889333333</v>
      </c>
      <c r="W385" t="inlineStr">
        <is>
          <t>Above 75 DMA</t>
        </is>
      </c>
    </row>
    <row r="386">
      <c r="A386" s="23">
        <v>46210.0</v>
      </c>
      <c r="B386" s="25" t="str">
        <f t="shared" si="6"/>
        <v>Tuesday</v>
      </c>
      <c r="C386" s="243" t="s">
        <v>156</v>
      </c>
      <c r="D386" s="31">
        <f>IFERROR(__xludf.DUMMYFUNCTION("GOOGLEFINANCE(""NSE:""&amp;UPPER(TRIM(E386)),""marketcap"")/10000000"),3221.383742)</f>
        <v>3221.383742</v>
      </c>
      <c r="E386" s="7" t="s">
        <v>172</v>
      </c>
      <c r="F386" s="39">
        <f>IFERROR(__xludf.DUMMYFUNCTION("IF(OR(E386="""",A386=""""),"""",
 IF(
   DATE(VALUE(RIGHT(A386,4)),VALUE(MID(A386,4,2)),VALUE(LEFT(A386,2)))&gt;=TODAY(),
   IFERROR(
     GOOGLEFINANCE(""NSE:""&amp;UPPER(TRIM(E386)),""price""),
     ""Not Available""
   ),
   IFERROR(
     INDEX(
       GOOGLE"&amp;"FINANCE(
         ""NSE:""&amp;UPPER(TRIM(E386)),
         ""close"",
         DATE(VALUE(RIGHT(A386,4)),VALUE(MID(A386,4,2)),VALUE(LEFT(A386,2))),
         DATE(VALUE(RIGHT(A386,4)),VALUE(MID(A386,4,2)),VALUE(LEFT(A386,2)))+1
       ),
       2,2
     ),
   "&amp;"  ""Not Available""
   )
 ))"),362.0)</f>
        <v>362</v>
      </c>
      <c r="G386" s="42">
        <f>IFERROR(__xludf.DUMMYFUNCTION("IF(E386="""","""",IFERROR(GOOGLEFINANCE(""NSE:""&amp;UPPER(TRIM(E386)),""price""),""Not Available""))"),398.0)</f>
        <v>398</v>
      </c>
      <c r="H386" s="53">
        <f t="shared" si="1"/>
        <v>79</v>
      </c>
      <c r="I386" s="58">
        <f t="shared" si="2"/>
        <v>0.09944751381</v>
      </c>
      <c r="J386" s="60">
        <f t="shared" si="3"/>
        <v>9944.751381</v>
      </c>
      <c r="K386" s="7">
        <v>570.0</v>
      </c>
      <c r="L386" s="7">
        <v>430.0</v>
      </c>
      <c r="M386" s="68">
        <f t="shared" si="4"/>
        <v>0.5745856354</v>
      </c>
      <c r="N386" s="68">
        <f t="shared" si="5"/>
        <v>0.1878453039</v>
      </c>
      <c r="O386" s="68">
        <v>0.436464088398</v>
      </c>
      <c r="P386" s="23">
        <v>46258</v>
      </c>
      <c r="Q386" s="68">
        <v>0.0836698394385</v>
      </c>
      <c r="R386" s="68">
        <v>0.7491</v>
      </c>
      <c r="S386" s="23">
        <v>46203</v>
      </c>
      <c r="T386" s="23">
        <v>46210</v>
      </c>
      <c r="U386" s="39">
        <v>362</v>
      </c>
      <c r="V386" s="39">
        <v>352.262666667</v>
      </c>
      <c r="W386" t="inlineStr">
        <is>
          <t>Above 75 DMA</t>
        </is>
      </c>
    </row>
    <row r="387">
      <c r="A387" s="23">
        <v>46206.0</v>
      </c>
      <c r="B387" s="25" t="str">
        <f t="shared" si="6"/>
        <v>Friday</v>
      </c>
      <c r="C387" s="243" t="s">
        <v>156</v>
      </c>
      <c r="D387" s="31">
        <f>IFERROR(__xludf.DUMMYFUNCTION("GOOGLEFINANCE(""NSE:""&amp;UPPER(TRIM(E387)),""marketcap"")/10000000"),7022.5161732)</f>
        <v>7022.516173</v>
      </c>
      <c r="E387" s="7" t="s">
        <v>175</v>
      </c>
      <c r="F387" s="39">
        <f>IFERROR(__xludf.DUMMYFUNCTION("IF(OR(E387="""",A387=""""),"""",
 IF(
   DATE(VALUE(RIGHT(A387,4)),VALUE(MID(A387,4,2)),VALUE(LEFT(A387,2)))&gt;=TODAY(),
   IFERROR(
     GOOGLEFINANCE(""NSE:""&amp;UPPER(TRIM(E387)),""price""),
     ""Not Available""
   ),
   IFERROR(
     INDEX(
       GOOGLE"&amp;"FINANCE(
         ""NSE:""&amp;UPPER(TRIM(E387)),
         ""close"",
         DATE(VALUE(RIGHT(A387,4)),VALUE(MID(A387,4,2)),VALUE(LEFT(A387,2))),
         DATE(VALUE(RIGHT(A387,4)),VALUE(MID(A387,4,2)),VALUE(LEFT(A387,2)))+1
       ),
       2,2
     ),
   "&amp;"  ""Not Available""
   )
 ))"),222.23)</f>
        <v>222.23</v>
      </c>
      <c r="G387" s="42">
        <f>IFERROR(__xludf.DUMMYFUNCTION("IF(E387="""","""",IFERROR(GOOGLEFINANCE(""NSE:""&amp;UPPER(TRIM(E387)),""price""),""Not Available""))"),159.21)</f>
        <v>159.21</v>
      </c>
      <c r="H387" s="53">
        <f t="shared" si="1"/>
        <v>83</v>
      </c>
      <c r="I387" s="58">
        <f t="shared" si="2"/>
        <v>-0.2835800747</v>
      </c>
      <c r="J387" s="60">
        <f t="shared" si="3"/>
        <v>-28358.00747</v>
      </c>
      <c r="K387" s="7">
        <v>211.0</v>
      </c>
      <c r="L387" s="7">
        <v>216.0</v>
      </c>
      <c r="M387" s="68">
        <f t="shared" si="4"/>
        <v>-0.05053323134</v>
      </c>
      <c r="N387" s="68">
        <f t="shared" si="5"/>
        <v>-0.02803401881</v>
      </c>
      <c r="O387" s="68">
        <v>0.0066147684831</v>
      </c>
      <c r="P387" s="23">
        <v>46209</v>
      </c>
      <c r="Q387" s="68">
        <v>0.0660379747293</v>
      </c>
      <c r="R387" s="68">
        <v>0</v>
      </c>
      <c r="S387" s="23">
        <v>46203</v>
      </c>
      <c r="T387" s="23">
        <v>46206</v>
      </c>
      <c r="U387" s="39">
        <v>222.23</v>
      </c>
      <c r="V387" s="39">
        <v>172.971733333</v>
      </c>
      <c r="W387" t="inlineStr">
        <is>
          <t>Above 75 DMA</t>
        </is>
      </c>
    </row>
    <row r="388">
      <c r="A388" s="23">
        <v>46206.0</v>
      </c>
      <c r="B388" s="25" t="str">
        <f t="shared" si="6"/>
        <v>Friday</v>
      </c>
      <c r="C388" s="243" t="s">
        <v>156</v>
      </c>
      <c r="D388" s="31">
        <f>IFERROR(__xludf.DUMMYFUNCTION("GOOGLEFINANCE(""NSE:""&amp;UPPER(TRIM(E388)),""marketcap"")/10000000"),713.6508343)</f>
        <v>713.6508343</v>
      </c>
      <c r="E388" s="7" t="s">
        <v>176</v>
      </c>
      <c r="F388" s="39">
        <f>IFERROR(__xludf.DUMMYFUNCTION("IF(OR(E388="""",A388=""""),"""",
 IF(
   DATE(VALUE(RIGHT(A388,4)),VALUE(MID(A388,4,2)),VALUE(LEFT(A388,2)))&gt;=TODAY(),
   IFERROR(
     GOOGLEFINANCE(""NSE:""&amp;UPPER(TRIM(E388)),""price""),
     ""Not Available""
   ),
   IFERROR(
     INDEX(
       GOOGLE"&amp;"FINANCE(
         ""NSE:""&amp;UPPER(TRIM(E388)),
         ""close"",
         DATE(VALUE(RIGHT(A388,4)),VALUE(MID(A388,4,2)),VALUE(LEFT(A388,2))),
         DATE(VALUE(RIGHT(A388,4)),VALUE(MID(A388,4,2)),VALUE(LEFT(A388,2)))+1
       ),
       2,2
     ),
   "&amp;"  ""Not Available""
   )
 ))"),139.15)</f>
        <v>139.15</v>
      </c>
      <c r="G388" s="42">
        <f>IFERROR(__xludf.DUMMYFUNCTION("IF(E388="""","""",IFERROR(GOOGLEFINANCE(""NSE:""&amp;UPPER(TRIM(E388)),""price""),""Not Available""))"),142.05)</f>
        <v>142.05</v>
      </c>
      <c r="H388" s="53">
        <f t="shared" si="1"/>
        <v>83</v>
      </c>
      <c r="I388" s="58">
        <f t="shared" si="2"/>
        <v>0.02084081926</v>
      </c>
      <c r="J388" s="60">
        <f t="shared" si="3"/>
        <v>2084.081926</v>
      </c>
      <c r="K388" s="7">
        <v>177.0</v>
      </c>
      <c r="L388" s="7">
        <v>76.0</v>
      </c>
      <c r="M388" s="68">
        <f t="shared" si="4"/>
        <v>0.2720086238</v>
      </c>
      <c r="N388" s="68">
        <f t="shared" si="5"/>
        <v>-0.4538268056</v>
      </c>
      <c r="O388" s="68">
        <v>0.106719367589</v>
      </c>
      <c r="P388" s="23">
        <v>46231</v>
      </c>
      <c r="Q388" s="68">
        <v>0.124881148464</v>
      </c>
      <c r="R388" s="68">
        <v>0.7498</v>
      </c>
      <c r="S388" s="23">
        <v>46203</v>
      </c>
      <c r="T388" s="23">
        <v>46206</v>
      </c>
      <c r="U388" s="39">
        <v>139.15</v>
      </c>
      <c r="V388" s="39">
        <v>115.3392</v>
      </c>
      <c r="W388" t="inlineStr">
        <is>
          <t>Above 75 DMA</t>
        </is>
      </c>
    </row>
    <row r="389">
      <c r="A389" s="23">
        <v>46206.0</v>
      </c>
      <c r="B389" s="25" t="str">
        <f t="shared" si="6"/>
        <v>Friday</v>
      </c>
      <c r="C389" s="243" t="s">
        <v>156</v>
      </c>
      <c r="D389" s="31">
        <f>IFERROR(__xludf.DUMMYFUNCTION("GOOGLEFINANCE(""NSE:""&amp;UPPER(TRIM(E389)),""marketcap"")/10000000"),16032.7847953)</f>
        <v>16032.7848</v>
      </c>
      <c r="E389" s="7" t="s">
        <v>179</v>
      </c>
      <c r="F389" s="39">
        <f>IFERROR(__xludf.DUMMYFUNCTION("IF(OR(E389="""",A389=""""),"""",
 IF(
   DATE(VALUE(RIGHT(A389,4)),VALUE(MID(A389,4,2)),VALUE(LEFT(A389,2)))&gt;=TODAY(),
   IFERROR(
     GOOGLEFINANCE(""NSE:""&amp;UPPER(TRIM(E389)),""price""),
     ""Not Available""
   ),
   IFERROR(
     INDEX(
       GOOGLE"&amp;"FINANCE(
         ""NSE:""&amp;UPPER(TRIM(E389)),
         ""close"",
         DATE(VALUE(RIGHT(A389,4)),VALUE(MID(A389,4,2)),VALUE(LEFT(A389,2))),
         DATE(VALUE(RIGHT(A389,4)),VALUE(MID(A389,4,2)),VALUE(LEFT(A389,2)))+1
       ),
       2,2
     ),
   "&amp;"  ""Not Available""
   )
 ))"),703.15)</f>
        <v>703.15</v>
      </c>
      <c r="G389" s="42">
        <f>IFERROR(__xludf.DUMMYFUNCTION("IF(E389="""","""",IFERROR(GOOGLEFINANCE(""NSE:""&amp;UPPER(TRIM(E389)),""price""),""Not Available""))"),681.2)</f>
        <v>681.2</v>
      </c>
      <c r="H389" s="53">
        <f t="shared" si="1"/>
        <v>83</v>
      </c>
      <c r="I389" s="58">
        <f t="shared" si="2"/>
        <v>-0.03121666785</v>
      </c>
      <c r="J389" s="60">
        <f t="shared" si="3"/>
        <v>-3121.666785</v>
      </c>
      <c r="K389" s="7">
        <v>629.0</v>
      </c>
      <c r="L389" s="7">
        <v>474.0</v>
      </c>
      <c r="M389" s="68">
        <f t="shared" si="4"/>
        <v>-0.1054540283</v>
      </c>
      <c r="N389" s="68">
        <f t="shared" si="5"/>
        <v>-0.325890635</v>
      </c>
      <c r="O389" s="68">
        <v>0.0936500035554</v>
      </c>
      <c r="P389" s="23">
        <v>46248</v>
      </c>
      <c r="Q389" s="68">
        <v>0.127871623753</v>
      </c>
      <c r="R389" s="68">
        <v>0.6484</v>
      </c>
      <c r="S389" s="23">
        <v>46203</v>
      </c>
      <c r="T389" s="23">
        <v>46206</v>
      </c>
      <c r="U389" s="39">
        <v>703.15</v>
      </c>
      <c r="V389" s="39">
        <v>567.541333333</v>
      </c>
      <c r="W389" t="inlineStr">
        <is>
          <t>Above 75 DMA</t>
        </is>
      </c>
    </row>
    <row r="390">
      <c r="A390" s="23">
        <v>46206.0</v>
      </c>
      <c r="B390" s="25" t="str">
        <f t="shared" si="6"/>
        <v>Friday</v>
      </c>
      <c r="C390" s="243" t="s">
        <v>156</v>
      </c>
      <c r="D390" s="31">
        <f>IFERROR(__xludf.DUMMYFUNCTION("GOOGLEFINANCE(""NSE:""&amp;UPPER(TRIM(E390)),""marketcap"")/10000000"),70691.4412652)</f>
        <v>70691.44127</v>
      </c>
      <c r="E390" s="7" t="s">
        <v>180</v>
      </c>
      <c r="F390" s="39">
        <f>IFERROR(__xludf.DUMMYFUNCTION("IF(OR(E390="""",A390=""""),"""",
 IF(
   DATE(VALUE(RIGHT(A390,4)),VALUE(MID(A390,4,2)),VALUE(LEFT(A390,2)))&gt;=TODAY(),
   IFERROR(
     GOOGLEFINANCE(""NSE:""&amp;UPPER(TRIM(E390)),""price""),
     ""Not Available""
   ),
   IFERROR(
     INDEX(
       GOOGLE"&amp;"FINANCE(
         ""NSE:""&amp;UPPER(TRIM(E390)),
         ""close"",
         DATE(VALUE(RIGHT(A390,4)),VALUE(MID(A390,4,2)),VALUE(LEFT(A390,2))),
         DATE(VALUE(RIGHT(A390,4)),VALUE(MID(A390,4,2)),VALUE(LEFT(A390,2)))+1
       ),
       2,2
     ),
   "&amp;"  ""Not Available""
   )
 ))"),2047.6)</f>
        <v>2047.6</v>
      </c>
      <c r="G390" s="42">
        <f>IFERROR(__xludf.DUMMYFUNCTION("IF(E390="""","""",IFERROR(GOOGLEFINANCE(""NSE:""&amp;UPPER(TRIM(E390)),""price""),""Not Available""))"),1976.4)</f>
        <v>1976.4</v>
      </c>
      <c r="H390" s="53">
        <f t="shared" si="1"/>
        <v>83</v>
      </c>
      <c r="I390" s="58">
        <f t="shared" si="2"/>
        <v>-0.03477241649</v>
      </c>
      <c r="J390" s="60">
        <f t="shared" si="3"/>
        <v>-3477.241649</v>
      </c>
      <c r="K390" s="7">
        <v>1924.0</v>
      </c>
      <c r="L390" s="7">
        <v>1380.0</v>
      </c>
      <c r="M390" s="68">
        <f t="shared" si="4"/>
        <v>-0.06036335222</v>
      </c>
      <c r="N390" s="68">
        <f t="shared" si="5"/>
        <v>-0.3260402422</v>
      </c>
      <c r="O390" s="68">
        <v>0.0596796249267</v>
      </c>
      <c r="P390" s="23">
        <v>46217</v>
      </c>
      <c r="Q390" s="68">
        <v>0.153817925571</v>
      </c>
      <c r="R390" s="68">
        <v>0.4725</v>
      </c>
      <c r="S390" s="23">
        <v>46203</v>
      </c>
      <c r="T390" s="23">
        <v>46206</v>
      </c>
      <c r="U390" s="39">
        <v>2047.6</v>
      </c>
      <c r="V390" s="39">
        <v>1747.988</v>
      </c>
      <c r="W390" t="inlineStr">
        <is>
          <t>Above 75 DMA</t>
        </is>
      </c>
    </row>
    <row r="391">
      <c r="A391" s="23">
        <v>46206.0</v>
      </c>
      <c r="B391" s="25" t="str">
        <f t="shared" si="6"/>
        <v>Friday</v>
      </c>
      <c r="C391" s="243" t="s">
        <v>156</v>
      </c>
      <c r="D391" s="31">
        <f>IFERROR(__xludf.DUMMYFUNCTION("GOOGLEFINANCE(""NSE:""&amp;UPPER(TRIM(E391)),""marketcap"")/10000000"),1651.817039)</f>
        <v>1651.817039</v>
      </c>
      <c r="E391" s="7" t="s">
        <v>183</v>
      </c>
      <c r="F391" s="39">
        <f>IFERROR(__xludf.DUMMYFUNCTION("IF(OR(E391="""",A391=""""),"""",
 IF(
   DATE(VALUE(RIGHT(A391,4)),VALUE(MID(A391,4,2)),VALUE(LEFT(A391,2)))&gt;=TODAY(),
   IFERROR(
     GOOGLEFINANCE(""NSE:""&amp;UPPER(TRIM(E391)),""price""),
     ""Not Available""
   ),
   IFERROR(
     INDEX(
       GOOGLE"&amp;"FINANCE(
         ""NSE:""&amp;UPPER(TRIM(E391)),
         ""close"",
         DATE(VALUE(RIGHT(A391,4)),VALUE(MID(A391,4,2)),VALUE(LEFT(A391,2))),
         DATE(VALUE(RIGHT(A391,4)),VALUE(MID(A391,4,2)),VALUE(LEFT(A391,2)))+1
       ),
       2,2
     ),
   "&amp;"  ""Not Available""
   )
 ))"),798.32)</f>
        <v>798.32</v>
      </c>
      <c r="G391" s="42">
        <f>IFERROR(__xludf.DUMMYFUNCTION("IF(E391="""","""",IFERROR(GOOGLEFINANCE(""NSE:""&amp;UPPER(TRIM(E391)),""price""),""Not Available""))"),1059.6)</f>
        <v>1059.6</v>
      </c>
      <c r="H391" s="53">
        <f t="shared" si="1"/>
        <v>83</v>
      </c>
      <c r="I391" s="58">
        <f t="shared" si="2"/>
        <v>0.3272873033</v>
      </c>
      <c r="J391" s="60">
        <f t="shared" si="3"/>
        <v>32728.73033</v>
      </c>
      <c r="K391" s="7">
        <v>883.0</v>
      </c>
      <c r="L391" s="7">
        <v>566.0</v>
      </c>
      <c r="M391" s="68">
        <f t="shared" si="4"/>
        <v>0.1060727528</v>
      </c>
      <c r="N391" s="68">
        <f t="shared" si="5"/>
        <v>-0.2910111234</v>
      </c>
      <c r="O391" s="68">
        <v>5.95209940876</v>
      </c>
      <c r="P391" s="23">
        <v>46276</v>
      </c>
      <c r="Q391" s="68">
        <v>0.329750682759</v>
      </c>
    </row>
    <row r="392">
      <c r="A392" s="23">
        <v>46206.0</v>
      </c>
      <c r="B392" s="25" t="str">
        <f t="shared" si="6"/>
        <v>Friday</v>
      </c>
      <c r="C392" s="243" t="s">
        <v>156</v>
      </c>
      <c r="D392" s="31">
        <f>IFERROR(__xludf.DUMMYFUNCTION("GOOGLEFINANCE(""NSE:""&amp;UPPER(TRIM(E392)),""marketcap"")/10000000"),18072.243324)</f>
        <v>18072.24332</v>
      </c>
      <c r="E392" s="7" t="s">
        <v>184</v>
      </c>
      <c r="F392" s="39">
        <f>IFERROR(__xludf.DUMMYFUNCTION("IF(OR(E392="""",A392=""""),"""",
 IF(
   DATE(VALUE(RIGHT(A392,4)),VALUE(MID(A392,4,2)),VALUE(LEFT(A392,2)))&gt;=TODAY(),
   IFERROR(
     GOOGLEFINANCE(""NSE:""&amp;UPPER(TRIM(E392)),""price""),
     ""Not Available""
   ),
   IFERROR(
     INDEX(
       GOOGLE"&amp;"FINANCE(
         ""NSE:""&amp;UPPER(TRIM(E392)),
         ""close"",
         DATE(VALUE(RIGHT(A392,4)),VALUE(MID(A392,4,2)),VALUE(LEFT(A392,2))),
         DATE(VALUE(RIGHT(A392,4)),VALUE(MID(A392,4,2)),VALUE(LEFT(A392,2)))+1
       ),
       2,2
     ),
   "&amp;"  ""Not Available""
   )
 ))"),1522.1)</f>
        <v>1522.1</v>
      </c>
      <c r="G392" s="42">
        <f>IFERROR(__xludf.DUMMYFUNCTION("IF(E392="""","""",IFERROR(GOOGLEFINANCE(""NSE:""&amp;UPPER(TRIM(E392)),""price""),""Not Available""))"),1697.4)</f>
        <v>1697.4</v>
      </c>
      <c r="H392" s="53">
        <f t="shared" si="1"/>
        <v>83</v>
      </c>
      <c r="I392" s="58">
        <f t="shared" si="2"/>
        <v>0.1151698312</v>
      </c>
      <c r="J392" s="60">
        <f t="shared" si="3"/>
        <v>11516.98312</v>
      </c>
      <c r="K392" s="7">
        <v>1691.0</v>
      </c>
      <c r="L392" s="7">
        <v>927.0</v>
      </c>
      <c r="M392" s="68">
        <f t="shared" si="4"/>
        <v>0.110965114</v>
      </c>
      <c r="N392" s="68">
        <f t="shared" si="5"/>
        <v>-0.3909729978</v>
      </c>
      <c r="O392" s="68">
        <v>0.149727350371</v>
      </c>
      <c r="P392" s="23">
        <v>46265</v>
      </c>
      <c r="Q392" s="68">
        <v>0.185902196962</v>
      </c>
      <c r="R392" s="68">
        <v>0.4441</v>
      </c>
      <c r="S392" s="23">
        <v>46203</v>
      </c>
      <c r="T392" s="23">
        <v>46206</v>
      </c>
      <c r="U392" s="39">
        <v>1522.1</v>
      </c>
      <c r="V392" s="39">
        <v>1246.756</v>
      </c>
      <c r="W392" t="inlineStr">
        <is>
          <t>Above 75 DMA</t>
        </is>
      </c>
    </row>
    <row r="393">
      <c r="A393" s="23">
        <v>46205.0</v>
      </c>
      <c r="B393" s="25" t="str">
        <f t="shared" si="6"/>
        <v>Thursday</v>
      </c>
      <c r="C393" s="243" t="s">
        <v>156</v>
      </c>
      <c r="D393" s="31">
        <f>IFERROR(__xludf.DUMMYFUNCTION("GOOGLEFINANCE(""NSE:""&amp;UPPER(TRIM(E393)),""marketcap"")/10000000"),19469.221169)</f>
        <v>19469.22117</v>
      </c>
      <c r="E393" s="7" t="s">
        <v>187</v>
      </c>
      <c r="F393" s="39">
        <f>IFERROR(__xludf.DUMMYFUNCTION("IF(OR(E393="""",A393=""""),"""",
 IF(
   DATE(VALUE(RIGHT(A393,4)),VALUE(MID(A393,4,2)),VALUE(LEFT(A393,2)))&gt;=TODAY(),
   IFERROR(
     GOOGLEFINANCE(""NSE:""&amp;UPPER(TRIM(E393)),""price""),
     ""Not Available""
   ),
   IFERROR(
     INDEX(
       GOOGLE"&amp;"FINANCE(
         ""NSE:""&amp;UPPER(TRIM(E393)),
         ""close"",
         DATE(VALUE(RIGHT(A393,4)),VALUE(MID(A393,4,2)),VALUE(LEFT(A393,2))),
         DATE(VALUE(RIGHT(A393,4)),VALUE(MID(A393,4,2)),VALUE(LEFT(A393,2)))+1
       ),
       2,2
     ),
   "&amp;"  ""Not Available""
   )
 ))"),672.95)</f>
        <v>672.95</v>
      </c>
      <c r="G393" s="42">
        <f>IFERROR(__xludf.DUMMYFUNCTION("IF(E393="""","""",IFERROR(GOOGLEFINANCE(""NSE:""&amp;UPPER(TRIM(E393)),""price""),""Not Available""))"),696.55)</f>
        <v>696.55</v>
      </c>
      <c r="H393" s="53">
        <f t="shared" si="1"/>
        <v>84</v>
      </c>
      <c r="I393" s="58">
        <f t="shared" si="2"/>
        <v>0.03506947024</v>
      </c>
      <c r="J393" s="60">
        <f t="shared" si="3"/>
        <v>3506.947024</v>
      </c>
      <c r="K393" s="7">
        <v>533.0</v>
      </c>
      <c r="L393" s="7">
        <v>571.0</v>
      </c>
      <c r="M393" s="68">
        <f t="shared" si="4"/>
        <v>-0.2079649305</v>
      </c>
      <c r="N393" s="68">
        <f t="shared" si="5"/>
        <v>-0.1514971395</v>
      </c>
      <c r="O393" s="68">
        <v>0.0575822869455</v>
      </c>
      <c r="P393" s="23">
        <v>46209</v>
      </c>
      <c r="Q393" s="68">
        <v>0.184882766171</v>
      </c>
      <c r="R393" s="68">
        <v>0.8091</v>
      </c>
      <c r="S393" s="23">
        <v>46203</v>
      </c>
      <c r="T393" s="23">
        <v>46205</v>
      </c>
      <c r="U393" s="39">
        <v>672.95</v>
      </c>
      <c r="V393" s="39">
        <v>537.347333333</v>
      </c>
      <c r="W393" t="inlineStr">
        <is>
          <t>Above 75 DMA</t>
        </is>
      </c>
    </row>
    <row r="394">
      <c r="A394" s="23">
        <v>46205.0</v>
      </c>
      <c r="B394" s="25" t="str">
        <f t="shared" si="6"/>
        <v>Thursday</v>
      </c>
      <c r="C394" s="243" t="s">
        <v>156</v>
      </c>
      <c r="D394" s="31">
        <f>IFERROR(__xludf.DUMMYFUNCTION("GOOGLEFINANCE(""NSE:""&amp;UPPER(TRIM(E394)),""marketcap"")/10000000"),306.2511001)</f>
        <v>306.2511001</v>
      </c>
      <c r="E394" s="7" t="s">
        <v>188</v>
      </c>
      <c r="F394" s="39">
        <f>IFERROR(__xludf.DUMMYFUNCTION("IF(OR(E394="""",A394=""""),"""",
 IF(
   DATE(VALUE(RIGHT(A394,4)),VALUE(MID(A394,4,2)),VALUE(LEFT(A394,2)))&gt;=TODAY(),
   IFERROR(
     GOOGLEFINANCE(""NSE:""&amp;UPPER(TRIM(E394)),""price""),
     ""Not Available""
   ),
   IFERROR(
     INDEX(
       GOOGLE"&amp;"FINANCE(
         ""NSE:""&amp;UPPER(TRIM(E394)),
         ""close"",
         DATE(VALUE(RIGHT(A394,4)),VALUE(MID(A394,4,2)),VALUE(LEFT(A394,2))),
         DATE(VALUE(RIGHT(A394,4)),VALUE(MID(A394,4,2)),VALUE(LEFT(A394,2)))+1
       ),
       2,2
     ),
   "&amp;"  ""Not Available""
   )
 ))"),209.04)</f>
        <v>209.04</v>
      </c>
      <c r="G394" s="42">
        <f>IFERROR(__xludf.DUMMYFUNCTION("IF(E394="""","""",IFERROR(GOOGLEFINANCE(""NSE:""&amp;UPPER(TRIM(E394)),""price""),""Not Available""))"),163.7)</f>
        <v>163.7</v>
      </c>
      <c r="H394" s="53">
        <f t="shared" si="1"/>
        <v>84</v>
      </c>
      <c r="I394" s="58">
        <f t="shared" si="2"/>
        <v>-0.2168962878</v>
      </c>
      <c r="J394" s="60">
        <f t="shared" si="3"/>
        <v>-21689.62878</v>
      </c>
      <c r="K394" s="7">
        <v>317.0</v>
      </c>
      <c r="L394" s="7">
        <v>81.0</v>
      </c>
      <c r="M394" s="68">
        <f t="shared" si="4"/>
        <v>0.5164561806</v>
      </c>
      <c r="N394" s="68">
        <f t="shared" si="5"/>
        <v>-0.6125143513</v>
      </c>
      <c r="Q394" s="68">
        <v>0.136537572011</v>
      </c>
      <c r="R394" s="68">
        <v>0.4123</v>
      </c>
      <c r="S394" s="23">
        <v>46203</v>
      </c>
      <c r="T394" s="23">
        <v>46205</v>
      </c>
      <c r="U394" s="39">
        <v>209.04</v>
      </c>
      <c r="V394" s="39">
        <v>163.882133333</v>
      </c>
      <c r="W394" t="inlineStr">
        <is>
          <t>Above 75 DMA</t>
        </is>
      </c>
    </row>
    <row r="395">
      <c r="A395" s="23">
        <v>46205.0</v>
      </c>
      <c r="B395" s="25" t="str">
        <f t="shared" si="6"/>
        <v>Thursday</v>
      </c>
      <c r="C395" s="243" t="s">
        <v>156</v>
      </c>
      <c r="D395" s="31">
        <f>IFERROR(__xludf.DUMMYFUNCTION("GOOGLEFINANCE(""NSE:""&amp;UPPER(TRIM(E395)),""marketcap"")/10000000"),50646.9706847)</f>
        <v>50646.97068</v>
      </c>
      <c r="E395" s="7" t="s">
        <v>191</v>
      </c>
      <c r="F395" s="39">
        <f>IFERROR(__xludf.DUMMYFUNCTION("IF(OR(E395="""",A395=""""),"""",
 IF(
   DATE(VALUE(RIGHT(A395,4)),VALUE(MID(A395,4,2)),VALUE(LEFT(A395,2)))&gt;=TODAY(),
   IFERROR(
     GOOGLEFINANCE(""NSE:""&amp;UPPER(TRIM(E395)),""price""),
     ""Not Available""
   ),
   IFERROR(
     INDEX(
       GOOGLE"&amp;"FINANCE(
         ""NSE:""&amp;UPPER(TRIM(E395)),
         ""close"",
         DATE(VALUE(RIGHT(A395,4)),VALUE(MID(A395,4,2)),VALUE(LEFT(A395,2))),
         DATE(VALUE(RIGHT(A395,4)),VALUE(MID(A395,4,2)),VALUE(LEFT(A395,2)))+1
       ),
       2,2
     ),
   "&amp;"  ""Not Available""
   )
 ))"),1719.4)</f>
        <v>1719.4</v>
      </c>
      <c r="G395" s="42">
        <f>IFERROR(__xludf.DUMMYFUNCTION("IF(E395="""","""",IFERROR(GOOGLEFINANCE(""NSE:""&amp;UPPER(TRIM(E395)),""price""),""Not Available""))"),1995.8)</f>
        <v>1995.8</v>
      </c>
      <c r="H395" s="53">
        <f t="shared" si="1"/>
        <v>84</v>
      </c>
      <c r="I395" s="58">
        <f t="shared" si="2"/>
        <v>0.1607537513</v>
      </c>
      <c r="J395" s="60">
        <f t="shared" si="3"/>
        <v>16075.37513</v>
      </c>
      <c r="K395" s="7">
        <v>1778.0</v>
      </c>
      <c r="L395" s="7">
        <v>1707.0</v>
      </c>
      <c r="M395" s="68">
        <f t="shared" si="4"/>
        <v>0.03408165639</v>
      </c>
      <c r="N395" s="68">
        <f t="shared" si="5"/>
        <v>-0.007211818076</v>
      </c>
      <c r="O395" s="68">
        <v>0.185297196697</v>
      </c>
      <c r="P395" s="23">
        <v>46283</v>
      </c>
      <c r="Q395" s="68">
        <v>0.192229174523</v>
      </c>
      <c r="R395" s="68">
        <v>0.4472</v>
      </c>
      <c r="S395" s="23">
        <v>46203</v>
      </c>
      <c r="T395" s="23">
        <v>46205</v>
      </c>
      <c r="U395" s="39">
        <v>1719.4</v>
      </c>
      <c r="V395" s="39">
        <v>1558.14133333</v>
      </c>
      <c r="W395" t="inlineStr">
        <is>
          <t>Above 75 DMA</t>
        </is>
      </c>
    </row>
    <row r="396">
      <c r="A396" s="23">
        <v>46205.0</v>
      </c>
      <c r="B396" s="25" t="str">
        <f t="shared" si="6"/>
        <v>Thursday</v>
      </c>
      <c r="C396" s="243" t="s">
        <v>156</v>
      </c>
      <c r="D396" s="31">
        <f>IFERROR(__xludf.DUMMYFUNCTION("GOOGLEFINANCE(""NSE:""&amp;UPPER(TRIM(E396)),""marketcap"")/10000000"),3273.559696)</f>
        <v>3273.559696</v>
      </c>
      <c r="E396" s="7" t="s">
        <v>192</v>
      </c>
      <c r="F396" s="39">
        <f>IFERROR(__xludf.DUMMYFUNCTION("IF(OR(E396="""",A396=""""),"""",
 IF(
   DATE(VALUE(RIGHT(A396,4)),VALUE(MID(A396,4,2)),VALUE(LEFT(A396,2)))&gt;=TODAY(),
   IFERROR(
     GOOGLEFINANCE(""NSE:""&amp;UPPER(TRIM(E396)),""price""),
     ""Not Available""
   ),
   IFERROR(
     INDEX(
       GOOGLE"&amp;"FINANCE(
         ""NSE:""&amp;UPPER(TRIM(E396)),
         ""close"",
         DATE(VALUE(RIGHT(A396,4)),VALUE(MID(A396,4,2)),VALUE(LEFT(A396,2))),
         DATE(VALUE(RIGHT(A396,4)),VALUE(MID(A396,4,2)),VALUE(LEFT(A396,2)))+1
       ),
       2,2
     ),
   "&amp;"  ""Not Available""
   )
 ))"),151.48)</f>
        <v>151.48</v>
      </c>
      <c r="G396" s="42">
        <f>IFERROR(__xludf.DUMMYFUNCTION("IF(E396="""","""",IFERROR(GOOGLEFINANCE(""NSE:""&amp;UPPER(TRIM(E396)),""price""),""Not Available""))"),118.21)</f>
        <v>118.21</v>
      </c>
      <c r="H396" s="53">
        <f t="shared" si="1"/>
        <v>84</v>
      </c>
      <c r="I396" s="58">
        <f t="shared" si="2"/>
        <v>-0.2196329548</v>
      </c>
      <c r="J396" s="60">
        <f t="shared" si="3"/>
        <v>-21963.29548</v>
      </c>
      <c r="K396" s="7">
        <v>154.0</v>
      </c>
      <c r="L396" s="7">
        <v>113.0</v>
      </c>
      <c r="M396" s="68">
        <f t="shared" si="4"/>
        <v>0.01663585952</v>
      </c>
      <c r="N396" s="68">
        <f t="shared" si="5"/>
        <v>-0.2540269342</v>
      </c>
      <c r="O396" s="68">
        <v>0.00798785318194</v>
      </c>
      <c r="P396" s="23">
        <v>46206</v>
      </c>
      <c r="Q396" s="68">
        <v>0.0937345060883</v>
      </c>
      <c r="R396" s="68">
        <v>0.7498</v>
      </c>
      <c r="S396" s="23">
        <v>46203</v>
      </c>
      <c r="T396" s="23">
        <v>46205</v>
      </c>
      <c r="U396" s="39">
        <v>151.48</v>
      </c>
      <c r="V396" s="39">
        <v>131.1528</v>
      </c>
      <c r="W396" t="inlineStr">
        <is>
          <t>Above 75 DMA</t>
        </is>
      </c>
    </row>
    <row r="397">
      <c r="A397" s="23">
        <v>46205.0</v>
      </c>
      <c r="B397" s="25" t="str">
        <f t="shared" si="6"/>
        <v>Thursday</v>
      </c>
      <c r="C397" s="243" t="s">
        <v>156</v>
      </c>
      <c r="D397" s="31">
        <f>IFERROR(__xludf.DUMMYFUNCTION("GOOGLEFINANCE(""NSE:""&amp;UPPER(TRIM(E397)),""marketcap"")/10000000"),5962.7061705)</f>
        <v>5962.706171</v>
      </c>
      <c r="E397" s="7" t="s">
        <v>194</v>
      </c>
      <c r="F397" s="39">
        <f>IFERROR(__xludf.DUMMYFUNCTION("IF(OR(E397="""",A397=""""),"""",
 IF(
   DATE(VALUE(RIGHT(A397,4)),VALUE(MID(A397,4,2)),VALUE(LEFT(A397,2)))&gt;=TODAY(),
   IFERROR(
     GOOGLEFINANCE(""NSE:""&amp;UPPER(TRIM(E397)),""price""),
     ""Not Available""
   ),
   IFERROR(
     INDEX(
       GOOGLE"&amp;"FINANCE(
         ""NSE:""&amp;UPPER(TRIM(E397)),
         ""close"",
         DATE(VALUE(RIGHT(A397,4)),VALUE(MID(A397,4,2)),VALUE(LEFT(A397,2))),
         DATE(VALUE(RIGHT(A397,4)),VALUE(MID(A397,4,2)),VALUE(LEFT(A397,2)))+1
       ),
       2,2
     ),
   "&amp;"  ""Not Available""
   )
 ))"),248.06)</f>
        <v>248.06</v>
      </c>
      <c r="G397" s="42">
        <f>IFERROR(__xludf.DUMMYFUNCTION("IF(E397="""","""",IFERROR(GOOGLEFINANCE(""NSE:""&amp;UPPER(TRIM(E397)),""price""),""Not Available""))"),379.15)</f>
        <v>379.15</v>
      </c>
      <c r="H397" s="53">
        <f t="shared" si="1"/>
        <v>84</v>
      </c>
      <c r="I397" s="58">
        <f t="shared" si="2"/>
        <v>0.5284608562</v>
      </c>
      <c r="J397" s="60">
        <f t="shared" si="3"/>
        <v>52846.08562</v>
      </c>
      <c r="K397" s="7">
        <v>363.0</v>
      </c>
      <c r="L397" s="7">
        <v>162.0</v>
      </c>
      <c r="M397" s="68">
        <f t="shared" si="4"/>
        <v>0.4633556398</v>
      </c>
      <c r="N397" s="68">
        <f t="shared" si="5"/>
        <v>-0.3469321938</v>
      </c>
      <c r="O397" s="68">
        <v>0.571595581714</v>
      </c>
      <c r="P397" s="23">
        <v>46287</v>
      </c>
      <c r="Q397" s="68">
        <v>0.1597582773</v>
      </c>
      <c r="R397" s="68">
        <v>0.6114</v>
      </c>
      <c r="S397" s="23">
        <v>46203</v>
      </c>
      <c r="T397" s="23">
        <v>46205</v>
      </c>
      <c r="U397" s="39">
        <v>248.06</v>
      </c>
      <c r="V397" s="39">
        <v>210.400666667</v>
      </c>
      <c r="W397" t="inlineStr">
        <is>
          <t>Above 75 DMA</t>
        </is>
      </c>
    </row>
    <row r="398">
      <c r="A398" s="23">
        <v>46205.0</v>
      </c>
      <c r="B398" s="25" t="str">
        <f t="shared" si="6"/>
        <v>Thursday</v>
      </c>
      <c r="C398" s="243" t="s">
        <v>156</v>
      </c>
      <c r="D398" s="31">
        <f>IFERROR(__xludf.DUMMYFUNCTION("GOOGLEFINANCE(""NSE:""&amp;UPPER(TRIM(E398)),""marketcap"")/10000000"),1651.817039)</f>
        <v>1651.817039</v>
      </c>
      <c r="E398" s="7" t="s">
        <v>183</v>
      </c>
      <c r="F398" s="39">
        <f>IFERROR(__xludf.DUMMYFUNCTION("IF(OR(E398="""",A398=""""),"""",
 IF(
   DATE(VALUE(RIGHT(A398,4)),VALUE(MID(A398,4,2)),VALUE(LEFT(A398,2)))&gt;=TODAY(),
   IFERROR(
     GOOGLEFINANCE(""NSE:""&amp;UPPER(TRIM(E398)),""price""),
     ""Not Available""
   ),
   IFERROR(
     INDEX(
       GOOGLE"&amp;"FINANCE(
         ""NSE:""&amp;UPPER(TRIM(E398)),
         ""close"",
         DATE(VALUE(RIGHT(A398,4)),VALUE(MID(A398,4,2)),VALUE(LEFT(A398,2))),
         DATE(VALUE(RIGHT(A398,4)),VALUE(MID(A398,4,2)),VALUE(LEFT(A398,2)))+1
       ),
       2,2
     ),
   "&amp;"  ""Not Available""
   )
 ))"),724.5)</f>
        <v>724.5</v>
      </c>
      <c r="G398" s="42">
        <f>IFERROR(__xludf.DUMMYFUNCTION("IF(E398="""","""",IFERROR(GOOGLEFINANCE(""NSE:""&amp;UPPER(TRIM(E398)),""price""),""Not Available""))"),1059.6)</f>
        <v>1059.6</v>
      </c>
      <c r="H398" s="53">
        <f t="shared" si="1"/>
        <v>84</v>
      </c>
      <c r="I398" s="58">
        <f t="shared" si="2"/>
        <v>0.4625258799</v>
      </c>
      <c r="J398" s="60">
        <f t="shared" si="3"/>
        <v>46252.58799</v>
      </c>
      <c r="K398" s="7">
        <v>883.0</v>
      </c>
      <c r="L398" s="7">
        <v>566.0</v>
      </c>
      <c r="M398" s="68">
        <f t="shared" si="4"/>
        <v>0.2187715666</v>
      </c>
      <c r="N398" s="68">
        <f t="shared" si="5"/>
        <v>-0.2187715666</v>
      </c>
      <c r="O398" s="68">
        <v>6.66045548654</v>
      </c>
      <c r="P398" s="23">
        <v>46276</v>
      </c>
      <c r="Q398" s="68">
        <v>0.329750682759</v>
      </c>
    </row>
    <row r="399">
      <c r="A399" s="23">
        <v>46205.0</v>
      </c>
      <c r="B399" s="25" t="str">
        <f t="shared" si="6"/>
        <v>Thursday</v>
      </c>
      <c r="C399" s="243" t="s">
        <v>156</v>
      </c>
      <c r="D399" s="31">
        <f>IFERROR(__xludf.DUMMYFUNCTION("GOOGLEFINANCE(""NSE:""&amp;UPPER(TRIM(E399)),""marketcap"")/10000000"),2331.250243)</f>
        <v>2331.250243</v>
      </c>
      <c r="E399" s="7" t="s">
        <v>197</v>
      </c>
      <c r="F399" s="39">
        <f>IFERROR(__xludf.DUMMYFUNCTION("IF(OR(E399="""",A399=""""),"""",
 IF(
   DATE(VALUE(RIGHT(A399,4)),VALUE(MID(A399,4,2)),VALUE(LEFT(A399,2)))&gt;=TODAY(),
   IFERROR(
     GOOGLEFINANCE(""NSE:""&amp;UPPER(TRIM(E399)),""price""),
     ""Not Available""
   ),
   IFERROR(
     INDEX(
       GOOGLE"&amp;"FINANCE(
         ""NSE:""&amp;UPPER(TRIM(E399)),
         ""close"",
         DATE(VALUE(RIGHT(A399,4)),VALUE(MID(A399,4,2)),VALUE(LEFT(A399,2))),
         DATE(VALUE(RIGHT(A399,4)),VALUE(MID(A399,4,2)),VALUE(LEFT(A399,2)))+1
       ),
       2,2
     ),
   "&amp;"  ""Not Available""
   )
 ))"),1894.8)</f>
        <v>1894.8</v>
      </c>
      <c r="G399" s="42">
        <f>IFERROR(__xludf.DUMMYFUNCTION("IF(E399="""","""",IFERROR(GOOGLEFINANCE(""NSE:""&amp;UPPER(TRIM(E399)),""price""),""Not Available""))"),2149.0)</f>
        <v>2149</v>
      </c>
      <c r="H399" s="53">
        <f t="shared" si="1"/>
        <v>84</v>
      </c>
      <c r="I399" s="58">
        <f t="shared" si="2"/>
        <v>0.1341566392</v>
      </c>
      <c r="J399" s="60">
        <f t="shared" si="3"/>
        <v>13415.66392</v>
      </c>
      <c r="K399" s="7">
        <v>1205.0</v>
      </c>
      <c r="L399" s="42"/>
      <c r="M399" s="68">
        <f t="shared" si="4"/>
        <v>-0.3640489761</v>
      </c>
      <c r="N399" s="68">
        <f t="shared" si="5"/>
        <v>-1</v>
      </c>
      <c r="O399" s="68">
        <v>0.206776440785</v>
      </c>
      <c r="P399" s="23">
        <v>46245</v>
      </c>
      <c r="Q399" s="68">
        <v>0.199084383342</v>
      </c>
      <c r="R399" s="68">
        <v>0.5361</v>
      </c>
      <c r="S399" s="23">
        <v>46203</v>
      </c>
      <c r="T399" s="23">
        <v>46205</v>
      </c>
      <c r="U399" s="39">
        <v>1894.8</v>
      </c>
      <c r="V399" s="39">
        <v>1682.064</v>
      </c>
      <c r="W399" t="inlineStr">
        <is>
          <t>Above 75 DMA</t>
        </is>
      </c>
    </row>
    <row r="400">
      <c r="A400" s="23">
        <v>46203.0</v>
      </c>
      <c r="B400" s="25" t="str">
        <f t="shared" si="6"/>
        <v>Tuesday</v>
      </c>
      <c r="C400" s="243" t="s">
        <v>156</v>
      </c>
      <c r="D400" s="207">
        <f>IFERROR(__xludf.DUMMYFUNCTION("GOOGLEFINANCE(""NSE:""&amp;UPPER(TRIM(E400)),""marketcap"")/10000000"),80.9854248)</f>
        <v>80.9854248</v>
      </c>
      <c r="E400" s="7" t="s">
        <v>198</v>
      </c>
      <c r="F400" s="39">
        <f>IFERROR(__xludf.DUMMYFUNCTION("IF(OR(E400="""",A400=""""),"""",
 IF(
   DATE(VALUE(RIGHT(A400,4)),VALUE(MID(A400,4,2)),VALUE(LEFT(A400,2)))&gt;=TODAY(),
   IFERROR(
     GOOGLEFINANCE(""NSE:""&amp;UPPER(TRIM(E400)),""price""),
     ""Not Available""
   ),
   IFERROR(
     INDEX(
       GOOGLE"&amp;"FINANCE(
         ""NSE:""&amp;UPPER(TRIM(E400)),
         ""close"",
         DATE(VALUE(RIGHT(A400,4)),VALUE(MID(A400,4,2)),VALUE(LEFT(A400,2))),
         DATE(VALUE(RIGHT(A400,4)),VALUE(MID(A400,4,2)),VALUE(LEFT(A400,2)))+1
       ),
       2,2
     ),
   "&amp;"  ""Not Available""
   )
 ))"),17.45)</f>
        <v>17.45</v>
      </c>
      <c r="G400" s="42">
        <f>IFERROR(__xludf.DUMMYFUNCTION("IF(E400="""","""",IFERROR(GOOGLEFINANCE(""NSE:""&amp;UPPER(TRIM(E400)),""price""),""Not Available""))"),14.1)</f>
        <v>14.1</v>
      </c>
      <c r="H400" s="53">
        <f t="shared" si="1"/>
        <v>86</v>
      </c>
      <c r="I400" s="58">
        <f t="shared" si="2"/>
        <v>-0.1919770774</v>
      </c>
      <c r="J400" s="60">
        <f t="shared" si="3"/>
        <v>-19197.70774</v>
      </c>
      <c r="K400" s="7">
        <v>22.62</v>
      </c>
      <c r="L400" s="7">
        <v>198.0</v>
      </c>
      <c r="M400" s="68">
        <f t="shared" si="4"/>
        <v>0.2962750716</v>
      </c>
      <c r="N400" s="68">
        <f t="shared" si="5"/>
        <v>10.34670487</v>
      </c>
      <c r="O400" s="68">
        <v>0.0286532951289</v>
      </c>
      <c r="P400" s="23">
        <v>46204</v>
      </c>
      <c r="Q400" s="68">
        <v>0.144483599892</v>
      </c>
      <c r="R400" s="68">
        <v>0.6749</v>
      </c>
      <c r="S400" s="23">
        <v>46203</v>
      </c>
      <c r="T400" s="23">
        <v>46203</v>
      </c>
      <c r="U400" s="39">
        <v>17.45</v>
      </c>
      <c r="V400" s="39">
        <v>15.4728</v>
      </c>
      <c r="W400" t="inlineStr">
        <is>
          <t>Above 75 DMA</t>
        </is>
      </c>
    </row>
    <row r="401">
      <c r="A401" s="23">
        <v>46203.0</v>
      </c>
      <c r="B401" s="25" t="str">
        <f t="shared" si="6"/>
        <v>Tuesday</v>
      </c>
      <c r="C401" s="243" t="s">
        <v>156</v>
      </c>
      <c r="D401" s="31">
        <f>IFERROR(__xludf.DUMMYFUNCTION("GOOGLEFINANCE(""NSE:""&amp;UPPER(TRIM(E401)),""marketcap"")/10000000"),1592.1596827)</f>
        <v>1592.159683</v>
      </c>
      <c r="E401" s="7" t="s">
        <v>200</v>
      </c>
      <c r="F401" s="39">
        <f>IFERROR(__xludf.DUMMYFUNCTION("IF(OR(E401="""",A401=""""),"""",
 IF(
   DATE(VALUE(RIGHT(A401,4)),VALUE(MID(A401,4,2)),VALUE(LEFT(A401,2)))&gt;=TODAY(),
   IFERROR(
     GOOGLEFINANCE(""NSE:""&amp;UPPER(TRIM(E401)),""price""),
     ""Not Available""
   ),
   IFERROR(
     INDEX(
       GOOGLE"&amp;"FINANCE(
         ""NSE:""&amp;UPPER(TRIM(E401)),
         ""close"",
         DATE(VALUE(RIGHT(A401,4)),VALUE(MID(A401,4,2)),VALUE(LEFT(A401,2))),
         DATE(VALUE(RIGHT(A401,4)),VALUE(MID(A401,4,2)),VALUE(LEFT(A401,2)))+1
       ),
       2,2
     ),
   "&amp;"  ""Not Available""
   )
 ))"),424.2)</f>
        <v>424.2</v>
      </c>
      <c r="G401" s="42">
        <f>IFERROR(__xludf.DUMMYFUNCTION("IF(E401="""","""",IFERROR(GOOGLEFINANCE(""NSE:""&amp;UPPER(TRIM(E401)),""price""),""Not Available""))"),428.85)</f>
        <v>428.85</v>
      </c>
      <c r="H401" s="53">
        <f t="shared" si="1"/>
        <v>86</v>
      </c>
      <c r="I401" s="58">
        <f t="shared" si="2"/>
        <v>0.01096181047</v>
      </c>
      <c r="J401" s="60">
        <f t="shared" si="3"/>
        <v>1096.181047</v>
      </c>
      <c r="K401" s="7">
        <v>451.0</v>
      </c>
      <c r="L401" s="7">
        <v>237.0</v>
      </c>
      <c r="M401" s="68">
        <f t="shared" si="4"/>
        <v>0.06317774635</v>
      </c>
      <c r="N401" s="68">
        <f t="shared" si="5"/>
        <v>-0.441301273</v>
      </c>
      <c r="O401" s="68">
        <v>0.225601131542</v>
      </c>
      <c r="P401" s="23">
        <v>46269</v>
      </c>
      <c r="Q401" s="68">
        <v>0.162708744566</v>
      </c>
      <c r="R401" s="68">
        <v>0.6976</v>
      </c>
      <c r="S401" s="23">
        <v>46203</v>
      </c>
      <c r="T401" s="23">
        <v>46203</v>
      </c>
      <c r="U401" s="39">
        <v>424.2</v>
      </c>
      <c r="V401" s="39">
        <v>310.747466667</v>
      </c>
      <c r="W401" t="inlineStr">
        <is>
          <t>Above 75 DMA</t>
        </is>
      </c>
    </row>
    <row r="402">
      <c r="A402" s="23">
        <v>46203.0</v>
      </c>
      <c r="B402" s="25" t="str">
        <f t="shared" si="6"/>
        <v>Tuesday</v>
      </c>
      <c r="C402" s="243" t="s">
        <v>156</v>
      </c>
      <c r="D402" s="31">
        <f>IFERROR(__xludf.DUMMYFUNCTION("GOOGLEFINANCE(""NSE:""&amp;UPPER(TRIM(E402)),""marketcap"")/10000000"),641.01178)</f>
        <v>641.01178</v>
      </c>
      <c r="E402" s="7" t="s">
        <v>203</v>
      </c>
      <c r="F402" s="39">
        <f>IFERROR(__xludf.DUMMYFUNCTION("IF(OR(E402="""",A402=""""),"""",
 IF(
   DATE(VALUE(RIGHT(A402,4)),VALUE(MID(A402,4,2)),VALUE(LEFT(A402,2)))&gt;=TODAY(),
   IFERROR(
     GOOGLEFINANCE(""NSE:""&amp;UPPER(TRIM(E402)),""price""),
     ""Not Available""
   ),
   IFERROR(
     INDEX(
       GOOGLE"&amp;"FINANCE(
         ""NSE:""&amp;UPPER(TRIM(E402)),
         ""close"",
         DATE(VALUE(RIGHT(A402,4)),VALUE(MID(A402,4,2)),VALUE(LEFT(A402,2))),
         DATE(VALUE(RIGHT(A402,4)),VALUE(MID(A402,4,2)),VALUE(LEFT(A402,2)))+1
       ),
       2,2
     ),
   "&amp;"  ""Not Available""
   )
 ))"),323.58)</f>
        <v>323.58</v>
      </c>
      <c r="G402" s="42">
        <f>IFERROR(__xludf.DUMMYFUNCTION("IF(E402="""","""",IFERROR(GOOGLEFINANCE(""NSE:""&amp;UPPER(TRIM(E402)),""price""),""Not Available""))"),268.0)</f>
        <v>268</v>
      </c>
      <c r="H402" s="53">
        <f t="shared" si="1"/>
        <v>86</v>
      </c>
      <c r="I402" s="58">
        <f t="shared" si="2"/>
        <v>-0.1717658693</v>
      </c>
      <c r="J402" s="60">
        <f t="shared" si="3"/>
        <v>-17176.58693</v>
      </c>
      <c r="K402" s="7">
        <v>435.0</v>
      </c>
      <c r="L402" s="7">
        <v>66.0</v>
      </c>
      <c r="M402" s="68">
        <f t="shared" si="4"/>
        <v>0.3443352494</v>
      </c>
      <c r="N402" s="68">
        <f t="shared" si="5"/>
        <v>-0.7960318932</v>
      </c>
      <c r="Q402" s="68">
        <v>0.125322536231</v>
      </c>
      <c r="R402" s="68">
        <v>0.445</v>
      </c>
      <c r="S402" s="23">
        <v>46203</v>
      </c>
      <c r="T402" s="23">
        <v>46203</v>
      </c>
      <c r="U402" s="39">
        <v>323.58</v>
      </c>
      <c r="V402" s="39">
        <v>212.828533333</v>
      </c>
      <c r="W402" t="inlineStr">
        <is>
          <t>Above 75 DMA</t>
        </is>
      </c>
    </row>
    <row r="403">
      <c r="A403" s="23">
        <v>46203.0</v>
      </c>
      <c r="B403" s="25" t="str">
        <f t="shared" si="6"/>
        <v>Tuesday</v>
      </c>
      <c r="C403" s="243" t="s">
        <v>156</v>
      </c>
      <c r="D403" s="31">
        <f>IFERROR(__xludf.DUMMYFUNCTION("GOOGLEFINANCE(""NSE:""&amp;UPPER(TRIM(E403)),""marketcap"")/10000000"),1004.0380559)</f>
        <v>1004.038056</v>
      </c>
      <c r="E403" s="7" t="s">
        <v>204</v>
      </c>
      <c r="F403" s="39">
        <f>IFERROR(__xludf.DUMMYFUNCTION("IF(OR(E403="""",A403=""""),"""",
 IF(
   DATE(VALUE(RIGHT(A403,4)),VALUE(MID(A403,4,2)),VALUE(LEFT(A403,2)))&gt;=TODAY(),
   IFERROR(
     GOOGLEFINANCE(""NSE:""&amp;UPPER(TRIM(E403)),""price""),
     ""Not Available""
   ),
   IFERROR(
     INDEX(
       GOOGLE"&amp;"FINANCE(
         ""NSE:""&amp;UPPER(TRIM(E403)),
         ""close"",
         DATE(VALUE(RIGHT(A403,4)),VALUE(MID(A403,4,2)),VALUE(LEFT(A403,2))),
         DATE(VALUE(RIGHT(A403,4)),VALUE(MID(A403,4,2)),VALUE(LEFT(A403,2)))+1
       ),
       2,2
     ),
   "&amp;"  ""Not Available""
   )
 ))"),64.07)</f>
        <v>64.07</v>
      </c>
      <c r="G403" s="42">
        <f>IFERROR(__xludf.DUMMYFUNCTION("IF(E403="""","""",IFERROR(GOOGLEFINANCE(""NSE:""&amp;UPPER(TRIM(E403)),""price""),""Not Available""))"),77.21)</f>
        <v>77.21</v>
      </c>
      <c r="H403" s="53">
        <f t="shared" si="1"/>
        <v>86</v>
      </c>
      <c r="I403" s="58">
        <f t="shared" si="2"/>
        <v>0.2050881848</v>
      </c>
      <c r="J403" s="60">
        <f t="shared" si="3"/>
        <v>20508.81848</v>
      </c>
      <c r="K403" s="7">
        <v>50.0</v>
      </c>
      <c r="L403" s="7">
        <v>51.0</v>
      </c>
      <c r="M403" s="68">
        <f t="shared" si="4"/>
        <v>-0.2196035586</v>
      </c>
      <c r="N403" s="68">
        <f t="shared" si="5"/>
        <v>-0.2039956298</v>
      </c>
      <c r="O403" s="68">
        <v>0.309505228656</v>
      </c>
      <c r="P403" s="23">
        <v>46225</v>
      </c>
      <c r="Q403" s="68">
        <v>0.0753382434055</v>
      </c>
      <c r="R403" s="68">
        <v>0.4975</v>
      </c>
      <c r="S403" s="23">
        <v>46203</v>
      </c>
      <c r="T403" s="23">
        <v>46203</v>
      </c>
      <c r="U403" s="39">
        <v>64.07</v>
      </c>
      <c r="V403" s="39">
        <v>44.4890666667</v>
      </c>
      <c r="W403" t="inlineStr">
        <is>
          <t>Above 75 DMA</t>
        </is>
      </c>
    </row>
    <row r="404">
      <c r="A404" s="23">
        <v>46202.0</v>
      </c>
      <c r="B404" s="25" t="str">
        <f t="shared" si="6"/>
        <v>Monday</v>
      </c>
      <c r="C404" s="243" t="s">
        <v>156</v>
      </c>
      <c r="D404" s="31">
        <f>IFERROR(__xludf.DUMMYFUNCTION("GOOGLEFINANCE(""NSE:""&amp;UPPER(TRIM(E404)),""marketcap"")/10000000"),1154.4719677)</f>
        <v>1154.471968</v>
      </c>
      <c r="E404" s="7" t="s">
        <v>206</v>
      </c>
      <c r="F404" s="39">
        <f>IFERROR(__xludf.DUMMYFUNCTION("IF(OR(E404="""",A404=""""),"""",
 IF(
   DATE(VALUE(RIGHT(A404,4)),VALUE(MID(A404,4,2)),VALUE(LEFT(A404,2)))&gt;=TODAY(),
   IFERROR(
     GOOGLEFINANCE(""NSE:""&amp;UPPER(TRIM(E404)),""price""),
     ""Not Available""
   ),
   IFERROR(
     INDEX(
       GOOGLE"&amp;"FINANCE(
         ""NSE:""&amp;UPPER(TRIM(E404)),
         ""close"",
         DATE(VALUE(RIGHT(A404,4)),VALUE(MID(A404,4,2)),VALUE(LEFT(A404,2))),
         DATE(VALUE(RIGHT(A404,4)),VALUE(MID(A404,4,2)),VALUE(LEFT(A404,2)))+1
       ),
       2,2
     ),
   "&amp;"  ""Not Available""
   )
 ))"),1777.1)</f>
        <v>1777.1</v>
      </c>
      <c r="G404" s="42">
        <f>IFERROR(__xludf.DUMMYFUNCTION("IF(E404="""","""",IFERROR(GOOGLEFINANCE(""NSE:""&amp;UPPER(TRIM(E404)),""price""),""Not Available""))"),1749.2)</f>
        <v>1749.2</v>
      </c>
      <c r="H404" s="53">
        <f t="shared" si="1"/>
        <v>87</v>
      </c>
      <c r="I404" s="58">
        <f t="shared" si="2"/>
        <v>-0.01569973552</v>
      </c>
      <c r="J404" s="60">
        <f t="shared" si="3"/>
        <v>-1569.973552</v>
      </c>
      <c r="K404" s="7">
        <v>1783.0</v>
      </c>
      <c r="L404" s="7">
        <v>2211.0</v>
      </c>
      <c r="M404" s="68">
        <f t="shared" si="4"/>
        <v>0.003320015756</v>
      </c>
      <c r="N404" s="68">
        <f t="shared" si="5"/>
        <v>0.2441618367</v>
      </c>
      <c r="O404" s="68">
        <v>0.0550897529683</v>
      </c>
      <c r="P404" s="23">
        <v>46217</v>
      </c>
      <c r="Q404" s="68">
        <v>0.0946758179516</v>
      </c>
    </row>
    <row r="405">
      <c r="A405" s="23">
        <v>46202.0</v>
      </c>
      <c r="B405" s="25" t="str">
        <f t="shared" si="6"/>
        <v>Monday</v>
      </c>
      <c r="C405" s="243" t="s">
        <v>156</v>
      </c>
      <c r="D405" s="31">
        <f>IFERROR(__xludf.DUMMYFUNCTION("GOOGLEFINANCE(""NSE:""&amp;UPPER(TRIM(E405)),""marketcap"")/10000000"),689.725125)</f>
        <v>689.725125</v>
      </c>
      <c r="E405" s="7" t="s">
        <v>209</v>
      </c>
      <c r="F405" s="39">
        <f>IFERROR(__xludf.DUMMYFUNCTION("IF(OR(E405="""",A405=""""),"""",
 IF(
   DATE(VALUE(RIGHT(A405,4)),VALUE(MID(A405,4,2)),VALUE(LEFT(A405,2)))&gt;=TODAY(),
   IFERROR(
     GOOGLEFINANCE(""NSE:""&amp;UPPER(TRIM(E405)),""price""),
     ""Not Available""
   ),
   IFERROR(
     INDEX(
       GOOGLE"&amp;"FINANCE(
         ""NSE:""&amp;UPPER(TRIM(E405)),
         ""close"",
         DATE(VALUE(RIGHT(A405,4)),VALUE(MID(A405,4,2)),VALUE(LEFT(A405,2))),
         DATE(VALUE(RIGHT(A405,4)),VALUE(MID(A405,4,2)),VALUE(LEFT(A405,2)))+1
       ),
       2,2
     ),
   "&amp;"  ""Not Available""
   )
 ))"),473.1)</f>
        <v>473.1</v>
      </c>
      <c r="G405" s="42">
        <f>IFERROR(__xludf.DUMMYFUNCTION("IF(E405="""","""",IFERROR(GOOGLEFINANCE(""NSE:""&amp;UPPER(TRIM(E405)),""price""),""Not Available""))"),435.0)</f>
        <v>435</v>
      </c>
      <c r="H405" s="53">
        <f t="shared" si="1"/>
        <v>87</v>
      </c>
      <c r="I405" s="58">
        <f t="shared" si="2"/>
        <v>-0.08053265694</v>
      </c>
      <c r="J405" s="60">
        <f t="shared" si="3"/>
        <v>-8053.265694</v>
      </c>
      <c r="K405" s="7">
        <v>705.0</v>
      </c>
      <c r="L405" s="7">
        <v>-14959.0</v>
      </c>
      <c r="M405" s="68">
        <f t="shared" si="4"/>
        <v>0.4901712112</v>
      </c>
      <c r="N405" s="68">
        <f t="shared" si="5"/>
        <v>-32.61910801</v>
      </c>
      <c r="O405" s="68">
        <v>0.113506658212</v>
      </c>
      <c r="P405" s="23">
        <v>46203</v>
      </c>
      <c r="Q405" s="68">
        <v>-0.102683647942</v>
      </c>
      <c r="R405" s="68">
        <v>0.5022</v>
      </c>
      <c r="S405" s="23">
        <v>46203</v>
      </c>
      <c r="T405" s="23">
        <v>46202</v>
      </c>
      <c r="U405" s="39">
        <v>472.6</v>
      </c>
      <c r="V405" s="39">
        <v>371.962</v>
      </c>
      <c r="W405" t="inlineStr">
        <is>
          <t>Above 75 DMA</t>
        </is>
      </c>
    </row>
    <row r="406">
      <c r="A406" s="23">
        <v>46202.0</v>
      </c>
      <c r="B406" s="25" t="str">
        <f t="shared" si="6"/>
        <v>Monday</v>
      </c>
      <c r="C406" s="243" t="s">
        <v>156</v>
      </c>
      <c r="D406" s="31">
        <f>IFERROR(__xludf.DUMMYFUNCTION("GOOGLEFINANCE(""NSE:""&amp;UPPER(TRIM(E406)),""marketcap"")/10000000"),402.144)</f>
        <v>402.144</v>
      </c>
      <c r="E406" s="7" t="s">
        <v>211</v>
      </c>
      <c r="F406" s="39">
        <f>IFERROR(__xludf.DUMMYFUNCTION("IF(OR(E406="""",A406=""""),"""",
 IF(
   DATE(VALUE(RIGHT(A406,4)),VALUE(MID(A406,4,2)),VALUE(LEFT(A406,2)))&gt;=TODAY(),
   IFERROR(
     GOOGLEFINANCE(""NSE:""&amp;UPPER(TRIM(E406)),""price""),
     ""Not Available""
   ),
   IFERROR(
     INDEX(
       GOOGLE"&amp;"FINANCE(
         ""NSE:""&amp;UPPER(TRIM(E406)),
         ""close"",
         DATE(VALUE(RIGHT(A406,4)),VALUE(MID(A406,4,2)),VALUE(LEFT(A406,2))),
         DATE(VALUE(RIGHT(A406,4)),VALUE(MID(A406,4,2)),VALUE(LEFT(A406,2)))+1
       ),
       2,2
     ),
   "&amp;"  ""Not Available""
   )
 ))"),273.64)</f>
        <v>273.64</v>
      </c>
      <c r="G406" s="42">
        <f>IFERROR(__xludf.DUMMYFUNCTION("IF(E406="""","""",IFERROR(GOOGLEFINANCE(""NSE:""&amp;UPPER(TRIM(E406)),""price""),""Not Available""))"),236.0)</f>
        <v>236</v>
      </c>
      <c r="H406" s="53">
        <f t="shared" si="1"/>
        <v>87</v>
      </c>
      <c r="I406" s="58">
        <f t="shared" si="2"/>
        <v>-0.1375529893</v>
      </c>
      <c r="J406" s="60">
        <f t="shared" si="3"/>
        <v>-13755.29893</v>
      </c>
      <c r="K406" s="7">
        <v>443.0</v>
      </c>
      <c r="L406" s="7">
        <v>141.0</v>
      </c>
      <c r="M406" s="68">
        <f t="shared" si="4"/>
        <v>0.6189153633</v>
      </c>
      <c r="N406" s="68">
        <f t="shared" si="5"/>
        <v>-0.4847244555</v>
      </c>
      <c r="O406" s="68">
        <v>0.0596038590849</v>
      </c>
      <c r="P406" s="23">
        <v>46220</v>
      </c>
      <c r="Q406" s="68">
        <v>0.0794935018236</v>
      </c>
      <c r="R406" s="68">
        <v>0.5933</v>
      </c>
      <c r="S406" s="23">
        <v>46203</v>
      </c>
      <c r="T406" s="23">
        <v>46202</v>
      </c>
      <c r="U406" s="39">
        <v>273.64</v>
      </c>
      <c r="V406" s="39">
        <v>247.922533333</v>
      </c>
      <c r="W406" t="inlineStr">
        <is>
          <t>Above 75 DMA</t>
        </is>
      </c>
    </row>
    <row r="407">
      <c r="A407" s="23">
        <v>46202.0</v>
      </c>
      <c r="B407" s="25" t="str">
        <f t="shared" si="6"/>
        <v>Monday</v>
      </c>
      <c r="C407" s="243" t="s">
        <v>156</v>
      </c>
      <c r="D407" s="31">
        <f>IFERROR(__xludf.DUMMYFUNCTION("GOOGLEFINANCE(""NSE:""&amp;UPPER(TRIM(E407)),""marketcap"")/10000000"),273.9732421)</f>
        <v>273.9732421</v>
      </c>
      <c r="E407" s="7" t="s">
        <v>213</v>
      </c>
      <c r="F407" s="39">
        <f>IFERROR(__xludf.DUMMYFUNCTION("IF(OR(E407="""",A407=""""),"""",
 IF(
   DATE(VALUE(RIGHT(A407,4)),VALUE(MID(A407,4,2)),VALUE(LEFT(A407,2)))&gt;=TODAY(),
   IFERROR(
     GOOGLEFINANCE(""NSE:""&amp;UPPER(TRIM(E407)),""price""),
     ""Not Available""
   ),
   IFERROR(
     INDEX(
       GOOGLE"&amp;"FINANCE(
         ""NSE:""&amp;UPPER(TRIM(E407)),
         ""close"",
         DATE(VALUE(RIGHT(A407,4)),VALUE(MID(A407,4,2)),VALUE(LEFT(A407,2))),
         DATE(VALUE(RIGHT(A407,4)),VALUE(MID(A407,4,2)),VALUE(LEFT(A407,2)))+1
       ),
       2,2
     ),
   "&amp;"  ""Not Available""
   )
 ))"),118.66)</f>
        <v>118.66</v>
      </c>
      <c r="G407" s="42">
        <f>IFERROR(__xludf.DUMMYFUNCTION("IF(E407="""","""",IFERROR(GOOGLEFINANCE(""NSE:""&amp;UPPER(TRIM(E407)),""price""),""Not Available""))"),98.02)</f>
        <v>98.02</v>
      </c>
      <c r="H407" s="53">
        <f t="shared" si="1"/>
        <v>87</v>
      </c>
      <c r="I407" s="58">
        <f t="shared" si="2"/>
        <v>-0.1739423563</v>
      </c>
      <c r="J407" s="60">
        <f t="shared" si="3"/>
        <v>-17394.23563</v>
      </c>
      <c r="K407" s="7">
        <v>193.0</v>
      </c>
      <c r="L407" s="7">
        <v>72.6</v>
      </c>
      <c r="M407" s="68">
        <f t="shared" si="4"/>
        <v>0.6264958706</v>
      </c>
      <c r="N407" s="68">
        <f t="shared" si="5"/>
        <v>-0.3881678746</v>
      </c>
      <c r="O407" s="68">
        <v>0.0512388336423</v>
      </c>
      <c r="P407" s="23">
        <v>46218</v>
      </c>
      <c r="Q407" s="68">
        <v>0.0939841725611</v>
      </c>
      <c r="R407" s="68">
        <v>0.5418</v>
      </c>
      <c r="S407" s="23">
        <v>46203</v>
      </c>
      <c r="T407" s="23">
        <v>46202</v>
      </c>
      <c r="U407" s="39">
        <v>118.66</v>
      </c>
      <c r="V407" s="39">
        <v>114.860933333</v>
      </c>
      <c r="W407" t="inlineStr">
        <is>
          <t>Above 75 DMA</t>
        </is>
      </c>
    </row>
    <row r="408">
      <c r="A408" s="23">
        <v>46202.0</v>
      </c>
      <c r="B408" s="25" t="str">
        <f t="shared" si="6"/>
        <v>Monday</v>
      </c>
      <c r="C408" s="243" t="s">
        <v>156</v>
      </c>
      <c r="D408" s="31">
        <f>IFERROR(__xludf.DUMMYFUNCTION("GOOGLEFINANCE(""NSE:""&amp;UPPER(TRIM(E408)),""marketcap"")/10000000"),366.0995285)</f>
        <v>366.0995285</v>
      </c>
      <c r="E408" s="7" t="s">
        <v>215</v>
      </c>
      <c r="F408" s="39">
        <f>IFERROR(__xludf.DUMMYFUNCTION("IF(OR(E408="""",A408=""""),"""",
 IF(
   DATE(VALUE(RIGHT(A408,4)),VALUE(MID(A408,4,2)),VALUE(LEFT(A408,2)))&gt;=TODAY(),
   IFERROR(
     GOOGLEFINANCE(""NSE:""&amp;UPPER(TRIM(E408)),""price""),
     ""Not Available""
   ),
   IFERROR(
     INDEX(
       GOOGLE"&amp;"FINANCE(
         ""NSE:""&amp;UPPER(TRIM(E408)),
         ""close"",
         DATE(VALUE(RIGHT(A408,4)),VALUE(MID(A408,4,2)),VALUE(LEFT(A408,2))),
         DATE(VALUE(RIGHT(A408,4)),VALUE(MID(A408,4,2)),VALUE(LEFT(A408,2)))+1
       ),
       2,2
     ),
   "&amp;"  ""Not Available""
   )
 ))"),178.74)</f>
        <v>178.74</v>
      </c>
      <c r="G408" s="42">
        <f>IFERROR(__xludf.DUMMYFUNCTION("IF(E408="""","""",IFERROR(GOOGLEFINANCE(""NSE:""&amp;UPPER(TRIM(E408)),""price""),""Not Available""))"),166.1)</f>
        <v>166.1</v>
      </c>
      <c r="H408" s="53">
        <f t="shared" si="1"/>
        <v>87</v>
      </c>
      <c r="I408" s="58">
        <f t="shared" si="2"/>
        <v>-0.07071724292</v>
      </c>
      <c r="J408" s="60">
        <f t="shared" si="3"/>
        <v>-7071.724292</v>
      </c>
      <c r="K408" s="7">
        <v>197.0</v>
      </c>
      <c r="L408" s="7">
        <v>147.0</v>
      </c>
      <c r="M408" s="68">
        <f t="shared" si="4"/>
        <v>0.1021595614</v>
      </c>
      <c r="N408" s="68">
        <f t="shared" si="5"/>
        <v>-0.1775763679</v>
      </c>
      <c r="O408" s="68">
        <v>0.0727872887994</v>
      </c>
      <c r="P408" s="23">
        <v>46206</v>
      </c>
      <c r="Q408" s="68">
        <v>0.156141411089</v>
      </c>
      <c r="R408" s="68">
        <v>0.55</v>
      </c>
      <c r="S408" s="23">
        <v>46203</v>
      </c>
      <c r="T408" s="23">
        <v>46202</v>
      </c>
      <c r="U408" s="39">
        <v>178.74</v>
      </c>
      <c r="V408" s="39">
        <v>158.3792</v>
      </c>
      <c r="W408" t="inlineStr">
        <is>
          <t>Above 75 DMA</t>
        </is>
      </c>
    </row>
    <row r="409">
      <c r="A409" s="23">
        <v>46202.0</v>
      </c>
      <c r="B409" s="25" t="str">
        <f t="shared" si="6"/>
        <v>Monday</v>
      </c>
      <c r="C409" s="243" t="s">
        <v>156</v>
      </c>
      <c r="D409" s="31">
        <f>IFERROR(__xludf.DUMMYFUNCTION("GOOGLEFINANCE(""NSE:""&amp;UPPER(TRIM(E409)),""marketcap"")/10000000"),400.78522)</f>
        <v>400.78522</v>
      </c>
      <c r="E409" s="7" t="s">
        <v>217</v>
      </c>
      <c r="F409" s="39">
        <f>IFERROR(__xludf.DUMMYFUNCTION("IF(OR(E409="""",A409=""""),"""",
 IF(
   DATE(VALUE(RIGHT(A409,4)),VALUE(MID(A409,4,2)),VALUE(LEFT(A409,2)))&gt;=TODAY(),
   IFERROR(
     GOOGLEFINANCE(""NSE:""&amp;UPPER(TRIM(E409)),""price""),
     ""Not Available""
   ),
   IFERROR(
     INDEX(
       GOOGLE"&amp;"FINANCE(
         ""NSE:""&amp;UPPER(TRIM(E409)),
         ""close"",
         DATE(VALUE(RIGHT(A409,4)),VALUE(MID(A409,4,2)),VALUE(LEFT(A409,2))),
         DATE(VALUE(RIGHT(A409,4)),VALUE(MID(A409,4,2)),VALUE(LEFT(A409,2)))+1
       ),
       2,2
     ),
   "&amp;"  ""Not Available""
   )
 ))"),35.06)</f>
        <v>35.06</v>
      </c>
      <c r="G409" s="42">
        <f>IFERROR(__xludf.DUMMYFUNCTION("IF(E409="""","""",IFERROR(GOOGLEFINANCE(""NSE:""&amp;UPPER(TRIM(E409)),""price""),""Not Available""))"),29.0)</f>
        <v>29</v>
      </c>
      <c r="H409" s="53">
        <f t="shared" si="1"/>
        <v>87</v>
      </c>
      <c r="I409" s="58">
        <f t="shared" si="2"/>
        <v>-0.1728465488</v>
      </c>
      <c r="J409" s="60">
        <f t="shared" si="3"/>
        <v>-17284.65488</v>
      </c>
      <c r="K409" s="7">
        <v>42.0</v>
      </c>
      <c r="L409" s="7">
        <v>237.0</v>
      </c>
      <c r="M409" s="68">
        <f t="shared" si="4"/>
        <v>0.1979463776</v>
      </c>
      <c r="N409" s="68">
        <f t="shared" si="5"/>
        <v>5.759840274</v>
      </c>
      <c r="O409" s="68">
        <v>0.195094124358</v>
      </c>
      <c r="P409" s="23">
        <v>46211</v>
      </c>
      <c r="Q409" s="68">
        <v>0.00857877606783</v>
      </c>
      <c r="R409" s="68">
        <v>0.7299</v>
      </c>
      <c r="S409" s="23">
        <v>46203</v>
      </c>
      <c r="T409" s="23">
        <v>46202</v>
      </c>
      <c r="U409" s="39">
        <v>35.06</v>
      </c>
      <c r="V409" s="39">
        <v>31.2446666667</v>
      </c>
      <c r="W409" t="inlineStr">
        <is>
          <t>Above 75 DMA</t>
        </is>
      </c>
    </row>
    <row r="410">
      <c r="A410" s="23">
        <v>46202.0</v>
      </c>
      <c r="B410" s="25" t="str">
        <f t="shared" si="6"/>
        <v>Monday</v>
      </c>
      <c r="C410" s="243" t="s">
        <v>156</v>
      </c>
      <c r="D410" s="31">
        <f>IFERROR(__xludf.DUMMYFUNCTION("GOOGLEFINANCE(""NSE:""&amp;UPPER(TRIM(E410)),""marketcap"")/10000000"),557.2981202)</f>
        <v>557.2981202</v>
      </c>
      <c r="E410" s="7" t="s">
        <v>219</v>
      </c>
      <c r="F410" s="39">
        <f>IFERROR(__xludf.DUMMYFUNCTION("IF(OR(E410="""",A410=""""),"""",
 IF(
   DATE(VALUE(RIGHT(A410,4)),VALUE(MID(A410,4,2)),VALUE(LEFT(A410,2)))&gt;=TODAY(),
   IFERROR(
     GOOGLEFINANCE(""NSE:""&amp;UPPER(TRIM(E410)),""price""),
     ""Not Available""
   ),
   IFERROR(
     INDEX(
       GOOGLE"&amp;"FINANCE(
         ""NSE:""&amp;UPPER(TRIM(E410)),
         ""close"",
         DATE(VALUE(RIGHT(A410,4)),VALUE(MID(A410,4,2)),VALUE(LEFT(A410,2))),
         DATE(VALUE(RIGHT(A410,4)),VALUE(MID(A410,4,2)),VALUE(LEFT(A410,2)))+1
       ),
       2,2
     ),
   "&amp;"  ""Not Available""
   )
 ))"),60.22)</f>
        <v>60.22</v>
      </c>
      <c r="G410" s="42">
        <f>IFERROR(__xludf.DUMMYFUNCTION("IF(E410="""","""",IFERROR(GOOGLEFINANCE(""NSE:""&amp;UPPER(TRIM(E410)),""price""),""Not Available""))"),52.4)</f>
        <v>52.4</v>
      </c>
      <c r="H410" s="53">
        <f t="shared" si="1"/>
        <v>87</v>
      </c>
      <c r="I410" s="58">
        <f t="shared" si="2"/>
        <v>-0.1298571903</v>
      </c>
      <c r="J410" s="60">
        <f t="shared" si="3"/>
        <v>-12985.71903</v>
      </c>
      <c r="K410" s="7">
        <v>81.0</v>
      </c>
      <c r="L410" s="7">
        <v>-86.0</v>
      </c>
      <c r="M410" s="68">
        <f t="shared" si="4"/>
        <v>0.3450680837</v>
      </c>
      <c r="N410" s="68">
        <f t="shared" si="5"/>
        <v>-2.428096978</v>
      </c>
      <c r="O410" s="68">
        <v>0.394885420126</v>
      </c>
      <c r="P410" s="23">
        <v>46206</v>
      </c>
      <c r="Q410" s="68">
        <v>-0.00143265428444</v>
      </c>
      <c r="R410" s="68">
        <v>0.479</v>
      </c>
      <c r="S410" s="23">
        <v>46203</v>
      </c>
      <c r="T410" s="23">
        <v>46202</v>
      </c>
      <c r="U410" s="39">
        <v>59.7</v>
      </c>
      <c r="V410" s="39">
        <v>50.6633333333</v>
      </c>
      <c r="W410" t="inlineStr">
        <is>
          <t>Above 75 DMA</t>
        </is>
      </c>
    </row>
    <row r="411">
      <c r="A411" s="23">
        <v>46202.0</v>
      </c>
      <c r="B411" s="25" t="str">
        <f t="shared" si="6"/>
        <v>Monday</v>
      </c>
      <c r="C411" s="243" t="s">
        <v>156</v>
      </c>
      <c r="D411" s="31">
        <f>IFERROR(__xludf.DUMMYFUNCTION("GOOGLEFINANCE(""NSE:""&amp;UPPER(TRIM(E411)),""marketcap"")/10000000"),2196.2168174)</f>
        <v>2196.216817</v>
      </c>
      <c r="E411" s="7" t="s">
        <v>221</v>
      </c>
      <c r="F411" s="39">
        <f>IFERROR(__xludf.DUMMYFUNCTION("IF(OR(E411="""",A411=""""),"""",
 IF(
   DATE(VALUE(RIGHT(A411,4)),VALUE(MID(A411,4,2)),VALUE(LEFT(A411,2)))&gt;=TODAY(),
   IFERROR(
     GOOGLEFINANCE(""NSE:""&amp;UPPER(TRIM(E411)),""price""),
     ""Not Available""
   ),
   IFERROR(
     INDEX(
       GOOGLE"&amp;"FINANCE(
         ""NSE:""&amp;UPPER(TRIM(E411)),
         ""close"",
         DATE(VALUE(RIGHT(A411,4)),VALUE(MID(A411,4,2)),VALUE(LEFT(A411,2))),
         DATE(VALUE(RIGHT(A411,4)),VALUE(MID(A411,4,2)),VALUE(LEFT(A411,2)))+1
       ),
       2,2
     ),
   "&amp;"  ""Not Available""
   )
 ))"),421.45)</f>
        <v>421.45</v>
      </c>
      <c r="G411" s="42">
        <f>IFERROR(__xludf.DUMMYFUNCTION("IF(E411="""","""",IFERROR(GOOGLEFINANCE(""NSE:""&amp;UPPER(TRIM(E411)),""price""),""Not Available""))"),351.05)</f>
        <v>351.05</v>
      </c>
      <c r="H411" s="53">
        <f t="shared" si="1"/>
        <v>87</v>
      </c>
      <c r="I411" s="58">
        <f t="shared" si="2"/>
        <v>-0.1670423538</v>
      </c>
      <c r="J411" s="60">
        <f t="shared" si="3"/>
        <v>-16704.23538</v>
      </c>
      <c r="K411" s="7">
        <v>467.0</v>
      </c>
      <c r="L411" s="7">
        <v>363.0</v>
      </c>
      <c r="M411" s="68">
        <f t="shared" si="4"/>
        <v>0.1080792502</v>
      </c>
      <c r="N411" s="68">
        <f t="shared" si="5"/>
        <v>-0.1386878633</v>
      </c>
      <c r="O411" s="68">
        <v>0.0437774350457</v>
      </c>
      <c r="P411" s="23">
        <v>46206</v>
      </c>
      <c r="Q411" s="68">
        <v>0.101039792042</v>
      </c>
      <c r="R411" s="68">
        <v>0.3713</v>
      </c>
      <c r="S411" s="23">
        <v>46203</v>
      </c>
      <c r="T411" s="23">
        <v>46202</v>
      </c>
      <c r="U411" s="39">
        <v>421.45</v>
      </c>
      <c r="V411" s="39">
        <v>384.987333333</v>
      </c>
      <c r="W411" t="inlineStr">
        <is>
          <t>Above 75 DMA</t>
        </is>
      </c>
    </row>
    <row r="412">
      <c r="A412" s="23">
        <v>46202.0</v>
      </c>
      <c r="B412" s="25" t="str">
        <f t="shared" si="6"/>
        <v>Monday</v>
      </c>
      <c r="C412" s="243" t="s">
        <v>156</v>
      </c>
      <c r="D412" s="31">
        <f>IFERROR(__xludf.DUMMYFUNCTION("GOOGLEFINANCE(""NSE:""&amp;UPPER(TRIM(E412)),""marketcap"")/10000000"),151.6805146)</f>
        <v>151.6805146</v>
      </c>
      <c r="E412" s="7" t="s">
        <v>224</v>
      </c>
      <c r="F412" s="39">
        <f>IFERROR(__xludf.DUMMYFUNCTION("IF(OR(E412="""",A412=""""),"""",
 IF(
   DATE(VALUE(RIGHT(A412,4)),VALUE(MID(A412,4,2)),VALUE(LEFT(A412,2)))&gt;=TODAY(),
   IFERROR(
     GOOGLEFINANCE(""NSE:""&amp;UPPER(TRIM(E412)),""price""),
     ""Not Available""
   ),
   IFERROR(
     INDEX(
       GOOGLE"&amp;"FINANCE(
         ""NSE:""&amp;UPPER(TRIM(E412)),
         ""close"",
         DATE(VALUE(RIGHT(A412,4)),VALUE(MID(A412,4,2)),VALUE(LEFT(A412,2))),
         DATE(VALUE(RIGHT(A412,4)),VALUE(MID(A412,4,2)),VALUE(LEFT(A412,2)))+1
       ),
       2,2
     ),
   "&amp;"  ""Not Available""
   )
 ))"),20.46)</f>
        <v>20.46</v>
      </c>
      <c r="G412" s="42">
        <f>IFERROR(__xludf.DUMMYFUNCTION("IF(E412="""","""",IFERROR(GOOGLEFINANCE(""NSE:""&amp;UPPER(TRIM(E412)),""price""),""Not Available""))"),20.43)</f>
        <v>20.43</v>
      </c>
      <c r="H412" s="53">
        <f t="shared" si="1"/>
        <v>87</v>
      </c>
      <c r="I412" s="58">
        <f t="shared" si="2"/>
        <v>-0.00146627566</v>
      </c>
      <c r="J412" s="60">
        <f t="shared" si="3"/>
        <v>-146.627566</v>
      </c>
      <c r="K412" s="7">
        <v>33.79</v>
      </c>
      <c r="L412" s="7">
        <v>10.7</v>
      </c>
      <c r="M412" s="68">
        <f t="shared" si="4"/>
        <v>0.6515151515</v>
      </c>
      <c r="N412" s="68">
        <f t="shared" si="5"/>
        <v>-0.477028348</v>
      </c>
      <c r="O412" s="68">
        <v>0.318181818182</v>
      </c>
      <c r="P412" s="23">
        <v>46241</v>
      </c>
      <c r="Q412" s="68">
        <v>0.112536257398</v>
      </c>
      <c r="R412" s="68">
        <v>0.4422</v>
      </c>
      <c r="S412" s="23">
        <v>46203</v>
      </c>
      <c r="T412" s="23">
        <v>46202</v>
      </c>
      <c r="U412" s="39">
        <v>20.1</v>
      </c>
      <c r="V412" s="39">
        <v>16.9504</v>
      </c>
      <c r="W412" t="inlineStr">
        <is>
          <t>Above 75 DMA</t>
        </is>
      </c>
    </row>
    <row r="413">
      <c r="A413" s="23">
        <v>46202.0</v>
      </c>
      <c r="B413" s="25" t="str">
        <f t="shared" si="6"/>
        <v>Monday</v>
      </c>
      <c r="C413" s="243" t="s">
        <v>156</v>
      </c>
      <c r="D413" s="31">
        <f>IFERROR(__xludf.DUMMYFUNCTION("GOOGLEFINANCE(""NSE:""&amp;UPPER(TRIM(E413)),""marketcap"")/10000000"),3107.6220687)</f>
        <v>3107.622069</v>
      </c>
      <c r="E413" s="7" t="s">
        <v>225</v>
      </c>
      <c r="F413" s="39">
        <f>IFERROR(__xludf.DUMMYFUNCTION("IF(OR(E413="""",A413=""""),"""",
 IF(
   DATE(VALUE(RIGHT(A413,4)),VALUE(MID(A413,4,2)),VALUE(LEFT(A413,2)))&gt;=TODAY(),
   IFERROR(
     GOOGLEFINANCE(""NSE:""&amp;UPPER(TRIM(E413)),""price""),
     ""Not Available""
   ),
   IFERROR(
     INDEX(
       GOOGLE"&amp;"FINANCE(
         ""NSE:""&amp;UPPER(TRIM(E413)),
         ""close"",
         DATE(VALUE(RIGHT(A413,4)),VALUE(MID(A413,4,2)),VALUE(LEFT(A413,2))),
         DATE(VALUE(RIGHT(A413,4)),VALUE(MID(A413,4,2)),VALUE(LEFT(A413,2)))+1
       ),
       2,2
     ),
   "&amp;"  ""Not Available""
   )
 ))"),206.46)</f>
        <v>206.46</v>
      </c>
      <c r="G413" s="42">
        <f>IFERROR(__xludf.DUMMYFUNCTION("IF(E413="""","""",IFERROR(GOOGLEFINANCE(""NSE:""&amp;UPPER(TRIM(E413)),""price""),""Not Available""))"),193.02)</f>
        <v>193.02</v>
      </c>
      <c r="H413" s="53">
        <f t="shared" si="1"/>
        <v>87</v>
      </c>
      <c r="I413" s="58">
        <f t="shared" si="2"/>
        <v>-0.06509735542</v>
      </c>
      <c r="J413" s="60">
        <f t="shared" si="3"/>
        <v>-6509.735542</v>
      </c>
      <c r="K413" s="7">
        <v>146.0</v>
      </c>
      <c r="L413" s="7">
        <v>260.0</v>
      </c>
      <c r="M413" s="68">
        <f t="shared" si="4"/>
        <v>-0.2928412283</v>
      </c>
      <c r="N413" s="68">
        <f t="shared" si="5"/>
        <v>0.25932384</v>
      </c>
      <c r="O413" s="68">
        <v>0.162259033227</v>
      </c>
      <c r="P413" s="23">
        <v>46209</v>
      </c>
    </row>
    <row r="414">
      <c r="A414" s="23">
        <v>46202.0</v>
      </c>
      <c r="B414" s="25" t="str">
        <f t="shared" si="6"/>
        <v>Monday</v>
      </c>
      <c r="C414" s="243" t="s">
        <v>156</v>
      </c>
      <c r="D414" s="31">
        <f>IFERROR(__xludf.DUMMYFUNCTION("GOOGLEFINANCE(""NSE:""&amp;UPPER(TRIM(E414)),""marketcap"")/10000000"),8802.5050311)</f>
        <v>8802.505031</v>
      </c>
      <c r="E414" s="7" t="s">
        <v>228</v>
      </c>
      <c r="F414" s="39">
        <f>IFERROR(__xludf.DUMMYFUNCTION("IF(OR(E414="""",A414=""""),"""",
 IF(
   DATE(VALUE(RIGHT(A414,4)),VALUE(MID(A414,4,2)),VALUE(LEFT(A414,2)))&gt;=TODAY(),
   IFERROR(
     GOOGLEFINANCE(""NSE:""&amp;UPPER(TRIM(E414)),""price""),
     ""Not Available""
   ),
   IFERROR(
     INDEX(
       GOOGLE"&amp;"FINANCE(
         ""NSE:""&amp;UPPER(TRIM(E414)),
         ""close"",
         DATE(VALUE(RIGHT(A414,4)),VALUE(MID(A414,4,2)),VALUE(LEFT(A414,2))),
         DATE(VALUE(RIGHT(A414,4)),VALUE(MID(A414,4,2)),VALUE(LEFT(A414,2)))+1
       ),
       2,2
     ),
   "&amp;"  ""Not Available""
   )
 ))"),179.56)</f>
        <v>179.56</v>
      </c>
      <c r="G414" s="42">
        <f>IFERROR(__xludf.DUMMYFUNCTION("IF(E414="""","""",IFERROR(GOOGLEFINANCE(""NSE:""&amp;UPPER(TRIM(E414)),""price""),""Not Available""))"),178.32)</f>
        <v>178.32</v>
      </c>
      <c r="H414" s="53">
        <f t="shared" si="1"/>
        <v>87</v>
      </c>
      <c r="I414" s="58">
        <f t="shared" si="2"/>
        <v>-0.006905769659</v>
      </c>
      <c r="J414" s="60">
        <f t="shared" si="3"/>
        <v>-690.5769659</v>
      </c>
      <c r="K414" s="7">
        <v>245.0</v>
      </c>
      <c r="L414" s="7">
        <v>120.0</v>
      </c>
      <c r="M414" s="68">
        <f t="shared" si="4"/>
        <v>0.3644464246</v>
      </c>
      <c r="N414" s="68">
        <f t="shared" si="5"/>
        <v>-0.3316997104</v>
      </c>
      <c r="O414" s="68">
        <v>0.209567832479</v>
      </c>
      <c r="P414" s="23">
        <v>46232</v>
      </c>
      <c r="Q414" s="68">
        <v>0.170025491628</v>
      </c>
      <c r="R414" s="68">
        <v>0.4756</v>
      </c>
      <c r="S414" s="23">
        <v>46203</v>
      </c>
      <c r="T414" s="23">
        <v>46202</v>
      </c>
      <c r="U414" s="39">
        <v>179.56</v>
      </c>
      <c r="V414" s="39">
        <v>176.1796</v>
      </c>
      <c r="W414" t="inlineStr">
        <is>
          <t>Above 75 DMA</t>
        </is>
      </c>
    </row>
    <row r="415">
      <c r="A415" s="23">
        <v>46202.0</v>
      </c>
      <c r="B415" s="25" t="str">
        <f t="shared" si="6"/>
        <v>Monday</v>
      </c>
      <c r="C415" s="243" t="s">
        <v>156</v>
      </c>
      <c r="D415" s="31">
        <f>IFERROR(__xludf.DUMMYFUNCTION("GOOGLEFINANCE(""NSE:""&amp;UPPER(TRIM(E415)),""marketcap"")/10000000"),745.5569807)</f>
        <v>745.5569807</v>
      </c>
      <c r="E415" s="7" t="s">
        <v>229</v>
      </c>
      <c r="F415" s="39">
        <f>IFERROR(__xludf.DUMMYFUNCTION("IF(OR(E415="""",A415=""""),"""",
 IF(
   DATE(VALUE(RIGHT(A415,4)),VALUE(MID(A415,4,2)),VALUE(LEFT(A415,2)))&gt;=TODAY(),
   IFERROR(
     GOOGLEFINANCE(""NSE:""&amp;UPPER(TRIM(E415)),""price""),
     ""Not Available""
   ),
   IFERROR(
     INDEX(
       GOOGLE"&amp;"FINANCE(
         ""NSE:""&amp;UPPER(TRIM(E415)),
         ""close"",
         DATE(VALUE(RIGHT(A415,4)),VALUE(MID(A415,4,2)),VALUE(LEFT(A415,2))),
         DATE(VALUE(RIGHT(A415,4)),VALUE(MID(A415,4,2)),VALUE(LEFT(A415,2)))+1
       ),
       2,2
     ),
   "&amp;"  ""Not Available""
   )
 ))"),257.23)</f>
        <v>257.23</v>
      </c>
      <c r="G415" s="42">
        <f>IFERROR(__xludf.DUMMYFUNCTION("IF(E415="""","""",IFERROR(GOOGLEFINANCE(""NSE:""&amp;UPPER(TRIM(E415)),""price""),""Not Available""))"),237.6)</f>
        <v>237.6</v>
      </c>
      <c r="H415" s="53">
        <f t="shared" si="1"/>
        <v>87</v>
      </c>
      <c r="I415" s="58">
        <f t="shared" si="2"/>
        <v>-0.07631302725</v>
      </c>
      <c r="J415" s="60">
        <f t="shared" si="3"/>
        <v>-7631.302725</v>
      </c>
      <c r="K415" s="7">
        <v>347.0</v>
      </c>
      <c r="L415" s="7">
        <v>212.0</v>
      </c>
      <c r="M415" s="68">
        <f t="shared" si="4"/>
        <v>0.3489872876</v>
      </c>
      <c r="N415" s="68">
        <f t="shared" si="5"/>
        <v>-0.175834856</v>
      </c>
      <c r="O415" s="68">
        <v>0.0768572872527</v>
      </c>
      <c r="P415" s="23">
        <v>46246</v>
      </c>
      <c r="Q415" s="68">
        <v>0.00961089816547</v>
      </c>
      <c r="R415" s="68">
        <v>0.5638</v>
      </c>
      <c r="S415" s="23">
        <v>46203</v>
      </c>
      <c r="T415" s="23">
        <v>46202</v>
      </c>
      <c r="U415" s="39">
        <v>257.23</v>
      </c>
      <c r="V415" s="39">
        <v>233.2292</v>
      </c>
      <c r="W415" t="inlineStr">
        <is>
          <t>Above 75 DMA</t>
        </is>
      </c>
    </row>
    <row r="416">
      <c r="A416" s="23">
        <v>46202.0</v>
      </c>
      <c r="B416" s="25" t="str">
        <f t="shared" si="6"/>
        <v>Monday</v>
      </c>
      <c r="C416" s="243" t="s">
        <v>156</v>
      </c>
      <c r="D416" s="31">
        <f>IFERROR(__xludf.DUMMYFUNCTION("GOOGLEFINANCE(""NSE:""&amp;UPPER(TRIM(E416)),""marketcap"")/10000000"),4227.1912391)</f>
        <v>4227.191239</v>
      </c>
      <c r="E416" s="7" t="s">
        <v>231</v>
      </c>
      <c r="F416" s="39">
        <f>IFERROR(__xludf.DUMMYFUNCTION("IF(OR(E416="""",A416=""""),"""",
 IF(
   DATE(VALUE(RIGHT(A416,4)),VALUE(MID(A416,4,2)),VALUE(LEFT(A416,2)))&gt;=TODAY(),
   IFERROR(
     GOOGLEFINANCE(""NSE:""&amp;UPPER(TRIM(E416)),""price""),
     ""Not Available""
   ),
   IFERROR(
     INDEX(
       GOOGLE"&amp;"FINANCE(
         ""NSE:""&amp;UPPER(TRIM(E416)),
         ""close"",
         DATE(VALUE(RIGHT(A416,4)),VALUE(MID(A416,4,2)),VALUE(LEFT(A416,2))),
         DATE(VALUE(RIGHT(A416,4)),VALUE(MID(A416,4,2)),VALUE(LEFT(A416,2)))+1
       ),
       2,2
     ),
   "&amp;"  ""Not Available""
   )
 ))"),493.05)</f>
        <v>493.05</v>
      </c>
      <c r="G416" s="42">
        <f>IFERROR(__xludf.DUMMYFUNCTION("IF(E416="""","""",IFERROR(GOOGLEFINANCE(""NSE:""&amp;UPPER(TRIM(E416)),""price""),""Not Available""))"),432.8)</f>
        <v>432.8</v>
      </c>
      <c r="H416" s="53">
        <f t="shared" si="1"/>
        <v>87</v>
      </c>
      <c r="I416" s="58">
        <f t="shared" si="2"/>
        <v>-0.12219856</v>
      </c>
      <c r="J416" s="60">
        <f t="shared" si="3"/>
        <v>-12219.856</v>
      </c>
      <c r="K416" s="7">
        <v>489.0</v>
      </c>
      <c r="L416" s="7">
        <v>278.0</v>
      </c>
      <c r="M416" s="68">
        <f t="shared" si="4"/>
        <v>-0.008214177061</v>
      </c>
      <c r="N416" s="68">
        <f t="shared" si="5"/>
        <v>-0.436162661</v>
      </c>
      <c r="O416" s="68">
        <v>0.0311327451577</v>
      </c>
      <c r="P416" s="23">
        <v>46203</v>
      </c>
    </row>
    <row r="417">
      <c r="A417" s="23">
        <v>46198.0</v>
      </c>
      <c r="B417" s="25" t="str">
        <f t="shared" si="6"/>
        <v>Thursday</v>
      </c>
      <c r="C417" s="243" t="s">
        <v>156</v>
      </c>
      <c r="D417" s="31">
        <f>IFERROR(__xludf.DUMMYFUNCTION("GOOGLEFINANCE(""NSE:""&amp;UPPER(TRIM(E417)),""marketcap"")/10000000"),8474.02731)</f>
        <v>8474.02731</v>
      </c>
      <c r="E417" s="7" t="s">
        <v>232</v>
      </c>
      <c r="F417" s="39">
        <f>IFERROR(__xludf.DUMMYFUNCTION("IF(OR(E417="""",A417=""""),"""",
 IF(
   DATE(VALUE(RIGHT(A417,4)),VALUE(MID(A417,4,2)),VALUE(LEFT(A417,2)))&gt;=TODAY(),
   IFERROR(
     GOOGLEFINANCE(""NSE:""&amp;UPPER(TRIM(E417)),""price""),
     ""Not Available""
   ),
   IFERROR(
     INDEX(
       GOOGLE"&amp;"FINANCE(
         ""NSE:""&amp;UPPER(TRIM(E417)),
         ""close"",
         DATE(VALUE(RIGHT(A417,4)),VALUE(MID(A417,4,2)),VALUE(LEFT(A417,2))),
         DATE(VALUE(RIGHT(A417,4)),VALUE(MID(A417,4,2)),VALUE(LEFT(A417,2)))+1
       ),
       2,2
     ),
   "&amp;"  ""Not Available""
   )
 ))"),690.7)</f>
        <v>690.7</v>
      </c>
      <c r="G417" s="42">
        <f>IFERROR(__xludf.DUMMYFUNCTION("IF(E417="""","""",IFERROR(GOOGLEFINANCE(""NSE:""&amp;UPPER(TRIM(E417)),""price""),""Not Available""))"),935.1)</f>
        <v>935.1</v>
      </c>
      <c r="H417" s="53">
        <f t="shared" si="1"/>
        <v>91</v>
      </c>
      <c r="I417" s="58">
        <f t="shared" si="2"/>
        <v>0.3538439265</v>
      </c>
      <c r="J417" s="60">
        <f t="shared" si="3"/>
        <v>35384.39265</v>
      </c>
      <c r="K417" s="7">
        <v>836.0</v>
      </c>
      <c r="L417" s="7">
        <v>467.0</v>
      </c>
      <c r="M417" s="68">
        <f t="shared" si="4"/>
        <v>0.2103662951</v>
      </c>
      <c r="N417" s="68">
        <f t="shared" si="5"/>
        <v>-0.3238743304</v>
      </c>
      <c r="O417" s="68">
        <v>0.385985232373</v>
      </c>
      <c r="P417" s="23">
        <v>46288</v>
      </c>
      <c r="Q417" s="68">
        <v>0.105952491391</v>
      </c>
      <c r="R417" s="68">
        <v>0.4286</v>
      </c>
      <c r="S417" s="23">
        <v>46203</v>
      </c>
      <c r="T417" s="23">
        <v>46198</v>
      </c>
      <c r="U417" s="39">
        <v>690.7</v>
      </c>
      <c r="V417" s="39">
        <v>679.174</v>
      </c>
      <c r="W417" t="inlineStr">
        <is>
          <t>Above 75 DMA</t>
        </is>
      </c>
    </row>
    <row r="418">
      <c r="A418" s="23">
        <v>46198.0</v>
      </c>
      <c r="B418" s="25" t="str">
        <f t="shared" si="6"/>
        <v>Thursday</v>
      </c>
      <c r="C418" s="243" t="s">
        <v>156</v>
      </c>
      <c r="D418" s="31">
        <f>IFERROR(__xludf.DUMMYFUNCTION("GOOGLEFINANCE(""NSE:""&amp;UPPER(TRIM(E418)),""marketcap"")/10000000"),392.7384187)</f>
        <v>392.7384187</v>
      </c>
      <c r="E418" s="7" t="s">
        <v>46</v>
      </c>
      <c r="F418" s="39">
        <f>IFERROR(__xludf.DUMMYFUNCTION("IF(OR(E418="""",A418=""""),"""",
 IF(
   DATE(VALUE(RIGHT(A418,4)),VALUE(MID(A418,4,2)),VALUE(LEFT(A418,2)))&gt;=TODAY(),
   IFERROR(
     GOOGLEFINANCE(""NSE:""&amp;UPPER(TRIM(E418)),""price""),
     ""Not Available""
   ),
   IFERROR(
     INDEX(
       GOOGLE"&amp;"FINANCE(
         ""NSE:""&amp;UPPER(TRIM(E418)),
         ""close"",
         DATE(VALUE(RIGHT(A418,4)),VALUE(MID(A418,4,2)),VALUE(LEFT(A418,2))),
         DATE(VALUE(RIGHT(A418,4)),VALUE(MID(A418,4,2)),VALUE(LEFT(A418,2)))+1
       ),
       2,2
     ),
   "&amp;"  ""Not Available""
   )
 ))"),84.83)</f>
        <v>84.83</v>
      </c>
      <c r="G418" s="42">
        <f>IFERROR(__xludf.DUMMYFUNCTION("IF(E418="""","""",IFERROR(GOOGLEFINANCE(""NSE:""&amp;UPPER(TRIM(E418)),""price""),""Not Available""))"),83.16)</f>
        <v>83.16</v>
      </c>
      <c r="H418" s="53">
        <f t="shared" si="1"/>
        <v>91</v>
      </c>
      <c r="I418" s="58">
        <f t="shared" si="2"/>
        <v>-0.01968643169</v>
      </c>
      <c r="J418" s="60">
        <f t="shared" si="3"/>
        <v>-1968.643169</v>
      </c>
      <c r="K418" s="7">
        <v>91.0</v>
      </c>
      <c r="L418" s="7">
        <v>47.0</v>
      </c>
      <c r="M418" s="68">
        <f t="shared" si="4"/>
        <v>0.0727337027</v>
      </c>
      <c r="N418" s="68">
        <f t="shared" si="5"/>
        <v>-0.445950725</v>
      </c>
      <c r="O418" s="68">
        <v>0.255452080632</v>
      </c>
      <c r="P418" s="23">
        <v>46240</v>
      </c>
      <c r="Q418" s="68">
        <v>-0.00390625</v>
      </c>
    </row>
    <row r="419">
      <c r="A419" s="23">
        <v>46198.0</v>
      </c>
      <c r="B419" s="25" t="str">
        <f t="shared" si="6"/>
        <v>Thursday</v>
      </c>
      <c r="C419" s="243" t="s">
        <v>156</v>
      </c>
      <c r="D419" s="31">
        <f>IFERROR(__xludf.DUMMYFUNCTION("GOOGLEFINANCE(""NSE:""&amp;UPPER(TRIM(E419)),""marketcap"")/10000000"),31815.0406813)</f>
        <v>31815.04068</v>
      </c>
      <c r="E419" s="7" t="s">
        <v>235</v>
      </c>
      <c r="F419" s="39">
        <f>IFERROR(__xludf.DUMMYFUNCTION("IF(OR(E419="""",A419=""""),"""",
 IF(
   DATE(VALUE(RIGHT(A419,4)),VALUE(MID(A419,4,2)),VALUE(LEFT(A419,2)))&gt;=TODAY(),
   IFERROR(
     GOOGLEFINANCE(""NSE:""&amp;UPPER(TRIM(E419)),""price""),
     ""Not Available""
   ),
   IFERROR(
     INDEX(
       GOOGLE"&amp;"FINANCE(
         ""NSE:""&amp;UPPER(TRIM(E419)),
         ""close"",
         DATE(VALUE(RIGHT(A419,4)),VALUE(MID(A419,4,2)),VALUE(LEFT(A419,2))),
         DATE(VALUE(RIGHT(A419,4)),VALUE(MID(A419,4,2)),VALUE(LEFT(A419,2)))+1
       ),
       2,2
     ),
   "&amp;"  ""Not Available""
   )
 ))"),464.8)</f>
        <v>464.8</v>
      </c>
      <c r="G419" s="42">
        <f>IFERROR(__xludf.DUMMYFUNCTION("IF(E419="""","""",IFERROR(GOOGLEFINANCE(""NSE:""&amp;UPPER(TRIM(E419)),""price""),""Not Available""))"),424.6)</f>
        <v>424.6</v>
      </c>
      <c r="H419" s="53">
        <f t="shared" si="1"/>
        <v>91</v>
      </c>
      <c r="I419" s="58">
        <f t="shared" si="2"/>
        <v>-0.08648881239</v>
      </c>
      <c r="J419" s="60">
        <f t="shared" si="3"/>
        <v>-8648.881239</v>
      </c>
      <c r="K419" s="7">
        <v>445.0</v>
      </c>
      <c r="L419" s="7">
        <v>680.0</v>
      </c>
      <c r="M419" s="68">
        <f t="shared" si="4"/>
        <v>-0.0425989673</v>
      </c>
      <c r="N419" s="68">
        <f t="shared" si="5"/>
        <v>0.4629948365</v>
      </c>
      <c r="O419" s="68">
        <v>0.127366609294</v>
      </c>
      <c r="P419" s="23">
        <v>46213</v>
      </c>
      <c r="Q419" s="68">
        <v>0.0258625077716</v>
      </c>
      <c r="R419" s="68">
        <v>0</v>
      </c>
      <c r="S419" s="23">
        <v>46203</v>
      </c>
      <c r="T419" s="23">
        <v>46198</v>
      </c>
      <c r="U419" s="39">
        <v>464.8</v>
      </c>
      <c r="V419" s="39">
        <v>448.164666667</v>
      </c>
      <c r="W419" t="inlineStr">
        <is>
          <t>Above 75 DMA</t>
        </is>
      </c>
    </row>
    <row r="420">
      <c r="A420" s="23">
        <v>46198.0</v>
      </c>
      <c r="B420" s="25" t="str">
        <f t="shared" si="6"/>
        <v>Thursday</v>
      </c>
      <c r="C420" s="243" t="s">
        <v>156</v>
      </c>
      <c r="D420" s="31">
        <f>IFERROR(__xludf.DUMMYFUNCTION("GOOGLEFINANCE(""NSE:""&amp;UPPER(TRIM(E420)),""marketcap"")/10000000"),1393.0162913)</f>
        <v>1393.016291</v>
      </c>
      <c r="E420" s="7" t="s">
        <v>237</v>
      </c>
      <c r="F420" s="39">
        <f>IFERROR(__xludf.DUMMYFUNCTION("IF(OR(E420="""",A420=""""),"""",
 IF(
   DATE(VALUE(RIGHT(A420,4)),VALUE(MID(A420,4,2)),VALUE(LEFT(A420,2)))&gt;=TODAY(),
   IFERROR(
     GOOGLEFINANCE(""NSE:""&amp;UPPER(TRIM(E420)),""price""),
     ""Not Available""
   ),
   IFERROR(
     INDEX(
       GOOGLE"&amp;"FINANCE(
         ""NSE:""&amp;UPPER(TRIM(E420)),
         ""close"",
         DATE(VALUE(RIGHT(A420,4)),VALUE(MID(A420,4,2)),VALUE(LEFT(A420,2))),
         DATE(VALUE(RIGHT(A420,4)),VALUE(MID(A420,4,2)),VALUE(LEFT(A420,2)))+1
       ),
       2,2
     ),
   "&amp;"  ""Not Available""
   )
 ))"),366.35)</f>
        <v>366.35</v>
      </c>
      <c r="G420" s="42">
        <f>IFERROR(__xludf.DUMMYFUNCTION("IF(E420="""","""",IFERROR(GOOGLEFINANCE(""NSE:""&amp;UPPER(TRIM(E420)),""price""),""Not Available""))"),485.7)</f>
        <v>485.7</v>
      </c>
      <c r="H420" s="53">
        <f t="shared" si="1"/>
        <v>91</v>
      </c>
      <c r="I420" s="58">
        <f t="shared" si="2"/>
        <v>0.3257813566</v>
      </c>
      <c r="J420" s="60">
        <f t="shared" si="3"/>
        <v>32578.13566</v>
      </c>
      <c r="K420" s="7">
        <v>546.0</v>
      </c>
      <c r="L420" s="7">
        <v>373.0</v>
      </c>
      <c r="M420" s="68">
        <f t="shared" si="4"/>
        <v>0.4903780538</v>
      </c>
      <c r="N420" s="68">
        <f t="shared" si="5"/>
        <v>0.0181520404</v>
      </c>
      <c r="O420" s="68">
        <v>0.584413811928</v>
      </c>
      <c r="P420" s="23">
        <v>46244</v>
      </c>
      <c r="Q420" s="68">
        <v>0.217658149144</v>
      </c>
    </row>
    <row r="421">
      <c r="A421" s="23">
        <v>46198.0</v>
      </c>
      <c r="B421" s="25" t="str">
        <f t="shared" si="6"/>
        <v>Thursday</v>
      </c>
      <c r="C421" s="243" t="s">
        <v>156</v>
      </c>
      <c r="D421" s="31">
        <f>IFERROR(__xludf.DUMMYFUNCTION("GOOGLEFINANCE(""NSE:""&amp;UPPER(TRIM(E421)),""marketcap"")/10000000"),157.8812583)</f>
        <v>157.8812583</v>
      </c>
      <c r="E421" s="7" t="s">
        <v>239</v>
      </c>
      <c r="F421" s="39">
        <f>IFERROR(__xludf.DUMMYFUNCTION("IF(OR(E421="""",A421=""""),"""",
 IF(
   DATE(VALUE(RIGHT(A421,4)),VALUE(MID(A421,4,2)),VALUE(LEFT(A421,2)))&gt;=TODAY(),
   IFERROR(
     GOOGLEFINANCE(""NSE:""&amp;UPPER(TRIM(E421)),""price""),
     ""Not Available""
   ),
   IFERROR(
     INDEX(
       GOOGLE"&amp;"FINANCE(
         ""NSE:""&amp;UPPER(TRIM(E421)),
         ""close"",
         DATE(VALUE(RIGHT(A421,4)),VALUE(MID(A421,4,2)),VALUE(LEFT(A421,2))),
         DATE(VALUE(RIGHT(A421,4)),VALUE(MID(A421,4,2)),VALUE(LEFT(A421,2)))+1
       ),
       2,2
     ),
   "&amp;"  ""Not Available""
   )
 ))"),9.17)</f>
        <v>9.17</v>
      </c>
      <c r="G421" s="7">
        <v>8.57</v>
      </c>
      <c r="H421" s="53">
        <f t="shared" si="1"/>
        <v>91</v>
      </c>
      <c r="I421" s="58">
        <f t="shared" si="2"/>
        <v>-0.06543075245</v>
      </c>
      <c r="J421" s="60">
        <f t="shared" si="3"/>
        <v>-6543.075245</v>
      </c>
      <c r="K421" s="7">
        <v>13.0</v>
      </c>
      <c r="L421" s="7">
        <v>3.0</v>
      </c>
      <c r="M421" s="68">
        <f t="shared" si="4"/>
        <v>0.4176663032</v>
      </c>
      <c r="N421" s="68">
        <f t="shared" si="5"/>
        <v>-0.6728462377</v>
      </c>
      <c r="O421" s="68">
        <v>0.12213740458</v>
      </c>
      <c r="P421" s="23">
        <v>46262</v>
      </c>
      <c r="Q421" s="68">
        <v>0.124864613956</v>
      </c>
      <c r="R421" s="68">
        <v>0.5617</v>
      </c>
      <c r="S421" s="23">
        <v>46203</v>
      </c>
      <c r="T421" s="23">
        <v>46198</v>
      </c>
      <c r="U421" s="39">
        <v>9.17</v>
      </c>
      <c r="V421" s="39">
        <v>7.25106666667</v>
      </c>
      <c r="W421" t="inlineStr">
        <is>
          <t>Above 75 DMA</t>
        </is>
      </c>
    </row>
    <row r="422">
      <c r="A422" s="23">
        <v>46198.0</v>
      </c>
      <c r="B422" s="25" t="str">
        <f t="shared" si="6"/>
        <v>Thursday</v>
      </c>
      <c r="C422" s="243" t="s">
        <v>156</v>
      </c>
      <c r="D422" s="31">
        <f>IFERROR(__xludf.DUMMYFUNCTION("GOOGLEFINANCE(""NSE:""&amp;UPPER(TRIM(E422)),""marketcap"")/10000000"),869.7561065)</f>
        <v>869.7561065</v>
      </c>
      <c r="E422" s="7" t="s">
        <v>241</v>
      </c>
      <c r="F422" s="39">
        <f>IFERROR(__xludf.DUMMYFUNCTION("IF(OR(E422="""",A422=""""),"""",
 IF(
   DATE(VALUE(RIGHT(A422,4)),VALUE(MID(A422,4,2)),VALUE(LEFT(A422,2)))&gt;=TODAY(),
   IFERROR(
     GOOGLEFINANCE(""NSE:""&amp;UPPER(TRIM(E422)),""price""),
     ""Not Available""
   ),
   IFERROR(
     INDEX(
       GOOGLE"&amp;"FINANCE(
         ""NSE:""&amp;UPPER(TRIM(E422)),
         ""close"",
         DATE(VALUE(RIGHT(A422,4)),VALUE(MID(A422,4,2)),VALUE(LEFT(A422,2))),
         DATE(VALUE(RIGHT(A422,4)),VALUE(MID(A422,4,2)),VALUE(LEFT(A422,2)))+1
       ),
       2,2
     ),
   "&amp;"  ""Not Available""
   )
 ))"),143.54)</f>
        <v>143.54</v>
      </c>
      <c r="G422" s="42">
        <f>IFERROR(__xludf.DUMMYFUNCTION("IF(E422="""","""",IFERROR(GOOGLEFINANCE(""NSE:""&amp;UPPER(TRIM(E422)),""price""),""Not Available""))"),120.5)</f>
        <v>120.5</v>
      </c>
      <c r="H422" s="53">
        <f t="shared" si="1"/>
        <v>91</v>
      </c>
      <c r="I422" s="58">
        <f t="shared" si="2"/>
        <v>-0.1605127491</v>
      </c>
      <c r="J422" s="60">
        <f t="shared" si="3"/>
        <v>-16051.27491</v>
      </c>
      <c r="K422" s="7">
        <v>204.0</v>
      </c>
      <c r="L422" s="7">
        <v>96.0</v>
      </c>
      <c r="M422" s="68">
        <f t="shared" si="4"/>
        <v>0.4212066323</v>
      </c>
      <c r="N422" s="68">
        <f t="shared" si="5"/>
        <v>-0.3311968789</v>
      </c>
      <c r="O422" s="68">
        <v>0.043890204821</v>
      </c>
      <c r="P422" s="23">
        <v>46203</v>
      </c>
      <c r="Q422" s="68">
        <v>0.12561425248</v>
      </c>
    </row>
    <row r="423">
      <c r="A423" s="23">
        <v>46198.0</v>
      </c>
      <c r="B423" s="25" t="str">
        <f t="shared" si="6"/>
        <v>Thursday</v>
      </c>
      <c r="C423" s="243" t="s">
        <v>156</v>
      </c>
      <c r="D423" s="31">
        <f>IFERROR(__xludf.DUMMYFUNCTION("GOOGLEFINANCE(""NSE:""&amp;UPPER(TRIM(E423)),""marketcap"")/10000000"),151.6805146)</f>
        <v>151.6805146</v>
      </c>
      <c r="E423" s="7" t="s">
        <v>224</v>
      </c>
      <c r="F423" s="39">
        <f>IFERROR(__xludf.DUMMYFUNCTION("IF(OR(E423="""",A423=""""),"""",
 IF(
   DATE(VALUE(RIGHT(A423,4)),VALUE(MID(A423,4,2)),VALUE(LEFT(A423,2)))&gt;=TODAY(),
   IFERROR(
     GOOGLEFINANCE(""NSE:""&amp;UPPER(TRIM(E423)),""price""),
     ""Not Available""
   ),
   IFERROR(
     INDEX(
       GOOGLE"&amp;"FINANCE(
         ""NSE:""&amp;UPPER(TRIM(E423)),
         ""close"",
         DATE(VALUE(RIGHT(A423,4)),VALUE(MID(A423,4,2)),VALUE(LEFT(A423,2))),
         DATE(VALUE(RIGHT(A423,4)),VALUE(MID(A423,4,2)),VALUE(LEFT(A423,2)))+1
       ),
       2,2
     ),
   "&amp;"  ""Not Available""
   )
 ))"),20.94)</f>
        <v>20.94</v>
      </c>
      <c r="G423" s="42">
        <f>IFERROR(__xludf.DUMMYFUNCTION("IF(E423="""","""",IFERROR(GOOGLEFINANCE(""NSE:""&amp;UPPER(TRIM(E423)),""price""),""Not Available""))"),20.43)</f>
        <v>20.43</v>
      </c>
      <c r="H423" s="53">
        <f t="shared" si="1"/>
        <v>91</v>
      </c>
      <c r="I423" s="58">
        <f t="shared" si="2"/>
        <v>-0.02435530086</v>
      </c>
      <c r="J423" s="60">
        <f t="shared" si="3"/>
        <v>-2435.530086</v>
      </c>
      <c r="K423" s="7">
        <v>33.0</v>
      </c>
      <c r="L423" s="7">
        <v>10.7</v>
      </c>
      <c r="M423" s="68">
        <f t="shared" si="4"/>
        <v>0.5759312321</v>
      </c>
      <c r="N423" s="68">
        <f t="shared" si="5"/>
        <v>-0.4890162369</v>
      </c>
      <c r="O423" s="68">
        <v>0.287965616046</v>
      </c>
      <c r="P423" s="23">
        <v>46241</v>
      </c>
      <c r="Q423" s="68">
        <v>0.112536257398</v>
      </c>
      <c r="R423" s="68">
        <v>0.4422</v>
      </c>
      <c r="S423" s="23">
        <v>46203</v>
      </c>
      <c r="T423" s="23">
        <v>46198</v>
      </c>
      <c r="U423" s="39">
        <v>20.94</v>
      </c>
      <c r="V423" s="39">
        <v>16.8924</v>
      </c>
      <c r="W423" t="inlineStr">
        <is>
          <t>Above 75 DMA</t>
        </is>
      </c>
    </row>
    <row r="424">
      <c r="A424" s="23">
        <v>46198.0</v>
      </c>
      <c r="B424" s="25" t="str">
        <f t="shared" si="6"/>
        <v>Thursday</v>
      </c>
      <c r="C424" s="243" t="s">
        <v>156</v>
      </c>
      <c r="D424" s="31">
        <f>IFERROR(__xludf.DUMMYFUNCTION("GOOGLEFINANCE(""NSE:""&amp;UPPER(TRIM(E424)),""marketcap"")/10000000"),28772.9531763)</f>
        <v>28772.95318</v>
      </c>
      <c r="E424" s="7" t="s">
        <v>243</v>
      </c>
      <c r="F424" s="39">
        <f>IFERROR(__xludf.DUMMYFUNCTION("IF(OR(E424="""",A424=""""),"""",
 IF(
   DATE(VALUE(RIGHT(A424,4)),VALUE(MID(A424,4,2)),VALUE(LEFT(A424,2)))&gt;=TODAY(),
   IFERROR(
     GOOGLEFINANCE(""NSE:""&amp;UPPER(TRIM(E424)),""price""),
     ""Not Available""
   ),
   IFERROR(
     INDEX(
       GOOGLE"&amp;"FINANCE(
         ""NSE:""&amp;UPPER(TRIM(E424)),
         ""close"",
         DATE(VALUE(RIGHT(A424,4)),VALUE(MID(A424,4,2)),VALUE(LEFT(A424,2))),
         DATE(VALUE(RIGHT(A424,4)),VALUE(MID(A424,4,2)),VALUE(LEFT(A424,2)))+1
       ),
       2,2
     ),
   "&amp;"  ""Not Available""
   )
 ))"),3146.2)</f>
        <v>3146.2</v>
      </c>
      <c r="G424" s="42">
        <f>IFERROR(__xludf.DUMMYFUNCTION("IF(E424="""","""",IFERROR(GOOGLEFINANCE(""NSE:""&amp;UPPER(TRIM(E424)),""price""),""Not Available""))"),4627.0)</f>
        <v>4627</v>
      </c>
      <c r="H424" s="53">
        <f t="shared" si="1"/>
        <v>91</v>
      </c>
      <c r="I424" s="58">
        <f t="shared" si="2"/>
        <v>0.4706630221</v>
      </c>
      <c r="J424" s="60">
        <f t="shared" si="3"/>
        <v>47066.30221</v>
      </c>
      <c r="K424" s="7">
        <v>2666.0</v>
      </c>
      <c r="L424" s="7">
        <v>3536.0</v>
      </c>
      <c r="M424" s="68">
        <f t="shared" si="4"/>
        <v>-0.1526285678</v>
      </c>
      <c r="N424" s="68">
        <f t="shared" si="5"/>
        <v>0.123895493</v>
      </c>
      <c r="O424" s="68">
        <v>0.507691818702</v>
      </c>
      <c r="P424" s="23">
        <v>46288</v>
      </c>
      <c r="Q424" s="68">
        <v>0.132025863142</v>
      </c>
      <c r="R424" s="68">
        <v>0.2921</v>
      </c>
      <c r="S424" s="23">
        <v>46203</v>
      </c>
      <c r="T424" s="23">
        <v>46198</v>
      </c>
      <c r="U424" s="39">
        <v>3146.2</v>
      </c>
      <c r="V424" s="39">
        <v>2515.51066667</v>
      </c>
      <c r="W424" t="inlineStr">
        <is>
          <t>Above 75 DMA</t>
        </is>
      </c>
    </row>
    <row r="425">
      <c r="A425" s="23">
        <v>46198.0</v>
      </c>
      <c r="B425" s="25" t="str">
        <f t="shared" si="6"/>
        <v>Thursday</v>
      </c>
      <c r="C425" s="243" t="s">
        <v>156</v>
      </c>
      <c r="D425" s="31">
        <f>IFERROR(__xludf.DUMMYFUNCTION("GOOGLEFINANCE(""NSE:""&amp;UPPER(TRIM(E425)),""marketcap"")/10000000"),5751.5761943)</f>
        <v>5751.576194</v>
      </c>
      <c r="E425" s="7" t="s">
        <v>244</v>
      </c>
      <c r="F425" s="39">
        <f>IFERROR(__xludf.DUMMYFUNCTION("IF(OR(E425="""",A425=""""),"""",
 IF(
   DATE(VALUE(RIGHT(A425,4)),VALUE(MID(A425,4,2)),VALUE(LEFT(A425,2)))&gt;=TODAY(),
   IFERROR(
     GOOGLEFINANCE(""NSE:""&amp;UPPER(TRIM(E425)),""price""),
     ""Not Available""
   ),
   IFERROR(
     INDEX(
       GOOGLE"&amp;"FINANCE(
         ""NSE:""&amp;UPPER(TRIM(E425)),
         ""close"",
         DATE(VALUE(RIGHT(A425,4)),VALUE(MID(A425,4,2)),VALUE(LEFT(A425,2))),
         DATE(VALUE(RIGHT(A425,4)),VALUE(MID(A425,4,2)),VALUE(LEFT(A425,2)))+1
       ),
       2,2
     ),
   "&amp;"  ""Not Available""
   )
 ))"),580.9)</f>
        <v>580.9</v>
      </c>
      <c r="G425" s="42">
        <f>IFERROR(__xludf.DUMMYFUNCTION("IF(E425="""","""",IFERROR(GOOGLEFINANCE(""NSE:""&amp;UPPER(TRIM(E425)),""price""),""Not Available""))"),466.1)</f>
        <v>466.1</v>
      </c>
      <c r="H425" s="53">
        <f t="shared" si="1"/>
        <v>91</v>
      </c>
      <c r="I425" s="58">
        <f t="shared" si="2"/>
        <v>-0.197624376</v>
      </c>
      <c r="J425" s="60">
        <f t="shared" si="3"/>
        <v>-19762.4376</v>
      </c>
      <c r="K425" s="7">
        <v>802.0</v>
      </c>
      <c r="L425" s="7">
        <v>215.0</v>
      </c>
      <c r="M425" s="68">
        <f t="shared" si="4"/>
        <v>0.3806162851</v>
      </c>
      <c r="N425" s="68">
        <f t="shared" si="5"/>
        <v>-0.6298846617</v>
      </c>
      <c r="O425" s="68">
        <v>0.0705801342744</v>
      </c>
      <c r="P425" s="23">
        <v>46209</v>
      </c>
      <c r="Q425" s="68">
        <v>0.236167737709</v>
      </c>
      <c r="R425" s="68">
        <v>0.5036</v>
      </c>
      <c r="S425" s="23">
        <v>46203</v>
      </c>
      <c r="T425" s="23">
        <v>46198</v>
      </c>
      <c r="U425" s="39">
        <v>580.9</v>
      </c>
      <c r="V425" s="39">
        <v>525.364666667</v>
      </c>
      <c r="W425" t="inlineStr">
        <is>
          <t>Above 75 DMA</t>
        </is>
      </c>
    </row>
    <row r="426">
      <c r="A426" s="23">
        <v>46198.0</v>
      </c>
      <c r="B426" s="25" t="str">
        <f t="shared" si="6"/>
        <v>Thursday</v>
      </c>
      <c r="C426" s="243" t="s">
        <v>156</v>
      </c>
      <c r="D426" s="31">
        <f>IFERROR(__xludf.DUMMYFUNCTION("GOOGLEFINANCE(""NSE:""&amp;UPPER(TRIM(E426)),""marketcap"")/10000000"),1172.7386293)</f>
        <v>1172.738629</v>
      </c>
      <c r="E426" s="7" t="s">
        <v>247</v>
      </c>
      <c r="F426" s="39">
        <f>IFERROR(__xludf.DUMMYFUNCTION("IF(OR(E426="""",A426=""""),"""",
 IF(
   DATE(VALUE(RIGHT(A426,4)),VALUE(MID(A426,4,2)),VALUE(LEFT(A426,2)))&gt;=TODAY(),
   IFERROR(
     GOOGLEFINANCE(""NSE:""&amp;UPPER(TRIM(E426)),""price""),
     ""Not Available""
   ),
   IFERROR(
     INDEX(
       GOOGLE"&amp;"FINANCE(
         ""NSE:""&amp;UPPER(TRIM(E426)),
         ""close"",
         DATE(VALUE(RIGHT(A426,4)),VALUE(MID(A426,4,2)),VALUE(LEFT(A426,2))),
         DATE(VALUE(RIGHT(A426,4)),VALUE(MID(A426,4,2)),VALUE(LEFT(A426,2)))+1
       ),
       2,2
     ),
   "&amp;"  ""Not Available""
   )
 ))"),276.01)</f>
        <v>276.01</v>
      </c>
      <c r="G426" s="42">
        <f>IFERROR(__xludf.DUMMYFUNCTION("IF(E426="""","""",IFERROR(GOOGLEFINANCE(""NSE:""&amp;UPPER(TRIM(E426)),""price""),""Not Available""))"),222.7)</f>
        <v>222.7</v>
      </c>
      <c r="H426" s="53">
        <f t="shared" si="1"/>
        <v>91</v>
      </c>
      <c r="I426" s="58">
        <f t="shared" si="2"/>
        <v>-0.1931451759</v>
      </c>
      <c r="J426" s="60">
        <f t="shared" si="3"/>
        <v>-19314.51759</v>
      </c>
      <c r="K426" s="7">
        <v>272.0</v>
      </c>
      <c r="L426" s="7">
        <v>272.0</v>
      </c>
      <c r="M426" s="68">
        <f t="shared" si="4"/>
        <v>-0.01452845911</v>
      </c>
      <c r="N426" s="68">
        <f t="shared" si="5"/>
        <v>-0.01452845911</v>
      </c>
      <c r="O426" s="68">
        <v>0.347777254447</v>
      </c>
      <c r="P426" s="23">
        <v>46216</v>
      </c>
      <c r="Q426" s="68">
        <v>0.307499570616</v>
      </c>
      <c r="R426" s="68">
        <v>0.5747</v>
      </c>
      <c r="S426" s="23">
        <v>46203</v>
      </c>
      <c r="T426" s="23">
        <v>46198</v>
      </c>
      <c r="U426" s="39">
        <v>276.01</v>
      </c>
      <c r="V426" s="39">
        <v>188.305866667</v>
      </c>
      <c r="W426" t="inlineStr">
        <is>
          <t>Above 75 DMA</t>
        </is>
      </c>
    </row>
    <row r="427">
      <c r="A427" s="23">
        <v>46192.0</v>
      </c>
      <c r="B427" s="25" t="str">
        <f t="shared" si="6"/>
        <v>Friday</v>
      </c>
      <c r="C427" s="243" t="s">
        <v>156</v>
      </c>
      <c r="D427" s="31">
        <f>IFERROR(__xludf.DUMMYFUNCTION("GOOGLEFINANCE(""NSE:""&amp;UPPER(TRIM(E427)),""marketcap"")/10000000"),79779.3700279)</f>
        <v>79779.37003</v>
      </c>
      <c r="E427" s="7" t="s">
        <v>249</v>
      </c>
      <c r="F427" s="39">
        <f>IFERROR(__xludf.DUMMYFUNCTION("IF(OR(E427="""",A427=""""),"""",
 IF(
   DATE(VALUE(RIGHT(A427,4)),VALUE(MID(A427,4,2)),VALUE(LEFT(A427,2)))&gt;=TODAY(),
   IFERROR(
     GOOGLEFINANCE(""NSE:""&amp;UPPER(TRIM(E427)),""price""),
     ""Not Available""
   ),
   IFERROR(
     INDEX(
       GOOGLE"&amp;"FINANCE(
         ""NSE:""&amp;UPPER(TRIM(E427)),
         ""close"",
         DATE(VALUE(RIGHT(A427,4)),VALUE(MID(A427,4,2)),VALUE(LEFT(A427,2))),
         DATE(VALUE(RIGHT(A427,4)),VALUE(MID(A427,4,2)),VALUE(LEFT(A427,2)))+1
       ),
       2,2
     ),
   "&amp;"  ""Not Available""
   )
 ))"),12517.0)</f>
        <v>12517</v>
      </c>
      <c r="G427" s="42">
        <f>IFERROR(__xludf.DUMMYFUNCTION("IF(E427="""","""",IFERROR(GOOGLEFINANCE(""NSE:""&amp;UPPER(TRIM(E427)),""price""),""Not Available""))"),13214.0)</f>
        <v>13214</v>
      </c>
      <c r="H427" s="53">
        <f t="shared" si="1"/>
        <v>97</v>
      </c>
      <c r="I427" s="58">
        <f t="shared" si="2"/>
        <v>0.05568426939</v>
      </c>
      <c r="J427" s="60">
        <f t="shared" si="3"/>
        <v>5568.426939</v>
      </c>
      <c r="K427" s="7">
        <v>12513.0</v>
      </c>
      <c r="L427" s="7">
        <v>7099.0</v>
      </c>
      <c r="M427" s="68">
        <f t="shared" si="4"/>
        <v>-0.0003195653911</v>
      </c>
      <c r="N427" s="68">
        <f t="shared" si="5"/>
        <v>-0.4328513222</v>
      </c>
      <c r="O427" s="68">
        <v>0.198370216506</v>
      </c>
      <c r="P427" s="23">
        <v>46258</v>
      </c>
      <c r="Q427" s="68">
        <v>0.472914494683</v>
      </c>
      <c r="R427" s="68">
        <v>0.2855</v>
      </c>
      <c r="S427" s="23">
        <v>46203</v>
      </c>
      <c r="T427" s="23">
        <v>46192</v>
      </c>
      <c r="U427" s="39">
        <v>12517</v>
      </c>
      <c r="V427" s="39">
        <v>10959.6066667</v>
      </c>
      <c r="W427" t="inlineStr">
        <is>
          <t>Above 75 DMA</t>
        </is>
      </c>
    </row>
    <row r="428">
      <c r="A428" s="23">
        <v>46192.0</v>
      </c>
      <c r="B428" s="25" t="str">
        <f t="shared" si="6"/>
        <v>Friday</v>
      </c>
      <c r="C428" s="243" t="s">
        <v>156</v>
      </c>
      <c r="D428" s="31">
        <f>IFERROR(__xludf.DUMMYFUNCTION("GOOGLEFINANCE(""NSE:""&amp;UPPER(TRIM(E428)),""marketcap"")/10000000"),1311.2168272)</f>
        <v>1311.216827</v>
      </c>
      <c r="E428" s="7" t="s">
        <v>251</v>
      </c>
      <c r="F428" s="39">
        <f>IFERROR(__xludf.DUMMYFUNCTION("IF(OR(E428="""",A428=""""),"""",
 IF(
   DATE(VALUE(RIGHT(A428,4)),VALUE(MID(A428,4,2)),VALUE(LEFT(A428,2)))&gt;=TODAY(),
   IFERROR(
     GOOGLEFINANCE(""NSE:""&amp;UPPER(TRIM(E428)),""price""),
     ""Not Available""
   ),
   IFERROR(
     INDEX(
       GOOGLE"&amp;"FINANCE(
         ""NSE:""&amp;UPPER(TRIM(E428)),
         ""close"",
         DATE(VALUE(RIGHT(A428,4)),VALUE(MID(A428,4,2)),VALUE(LEFT(A428,2))),
         DATE(VALUE(RIGHT(A428,4)),VALUE(MID(A428,4,2)),VALUE(LEFT(A428,2)))+1
       ),
       2,2
     ),
   "&amp;"  ""Not Available""
   )
 ))"),39.03)</f>
        <v>39.03</v>
      </c>
      <c r="G428" s="7">
        <v>67.2</v>
      </c>
      <c r="H428" s="53">
        <f t="shared" si="1"/>
        <v>97</v>
      </c>
      <c r="I428" s="58">
        <f t="shared" si="2"/>
        <v>0.7217524981</v>
      </c>
      <c r="J428" s="60">
        <f t="shared" si="3"/>
        <v>72175.24981</v>
      </c>
      <c r="K428" s="7">
        <v>51.0</v>
      </c>
      <c r="L428" s="7">
        <v>20.0</v>
      </c>
      <c r="M428" s="68">
        <f t="shared" si="4"/>
        <v>0.3066871637</v>
      </c>
      <c r="N428" s="68">
        <f t="shared" si="5"/>
        <v>-0.4875736613</v>
      </c>
      <c r="O428" s="68">
        <v>0.86446323341</v>
      </c>
      <c r="P428" s="23">
        <v>46287</v>
      </c>
      <c r="Q428" s="68">
        <v>0.128945152192</v>
      </c>
    </row>
    <row r="429">
      <c r="A429" s="23">
        <v>46192.0</v>
      </c>
      <c r="B429" s="25" t="str">
        <f t="shared" si="6"/>
        <v>Friday</v>
      </c>
      <c r="C429" s="243" t="s">
        <v>156</v>
      </c>
      <c r="D429" s="31">
        <f>IFERROR(__xludf.DUMMYFUNCTION("GOOGLEFINANCE(""NSE:""&amp;UPPER(TRIM(E429)),""marketcap"")/10000000"),2519.1924226)</f>
        <v>2519.192423</v>
      </c>
      <c r="E429" s="7" t="s">
        <v>253</v>
      </c>
      <c r="F429" s="39">
        <f>IFERROR(__xludf.DUMMYFUNCTION("IF(OR(E429="""",A429=""""),"""",
 IF(
   DATE(VALUE(RIGHT(A429,4)),VALUE(MID(A429,4,2)),VALUE(LEFT(A429,2)))&gt;=TODAY(),
   IFERROR(
     GOOGLEFINANCE(""NSE:""&amp;UPPER(TRIM(E429)),""price""),
     ""Not Available""
   ),
   IFERROR(
     INDEX(
       GOOGLE"&amp;"FINANCE(
         ""NSE:""&amp;UPPER(TRIM(E429)),
         ""close"",
         DATE(VALUE(RIGHT(A429,4)),VALUE(MID(A429,4,2)),VALUE(LEFT(A429,2))),
         DATE(VALUE(RIGHT(A429,4)),VALUE(MID(A429,4,2)),VALUE(LEFT(A429,2)))+1
       ),
       2,2
     ),
   "&amp;"  ""Not Available""
   )
 ))"),151.24)</f>
        <v>151.24</v>
      </c>
      <c r="G429" s="42">
        <f>IFERROR(__xludf.DUMMYFUNCTION("IF(E429="""","""",IFERROR(GOOGLEFINANCE(""NSE:""&amp;UPPER(TRIM(E429)),""price""),""Not Available""))"),124.21)</f>
        <v>124.21</v>
      </c>
      <c r="H429" s="53">
        <f t="shared" si="1"/>
        <v>97</v>
      </c>
      <c r="I429" s="58">
        <f t="shared" si="2"/>
        <v>-0.1787225602</v>
      </c>
      <c r="J429" s="60">
        <f t="shared" si="3"/>
        <v>-17872.25602</v>
      </c>
      <c r="K429" s="7">
        <v>244.0</v>
      </c>
      <c r="L429" s="7">
        <v>0.0</v>
      </c>
      <c r="M429" s="68">
        <f t="shared" si="4"/>
        <v>0.6133298069</v>
      </c>
      <c r="N429" s="68">
        <f t="shared" si="5"/>
        <v>-1</v>
      </c>
      <c r="O429" s="68">
        <v>0.0241999471039</v>
      </c>
      <c r="P429" s="23">
        <v>46198</v>
      </c>
      <c r="Q429" s="68">
        <v>0.408706102989</v>
      </c>
      <c r="R429" s="68">
        <v>0.792</v>
      </c>
      <c r="S429" s="23">
        <v>46203</v>
      </c>
      <c r="T429" s="23">
        <v>46192</v>
      </c>
      <c r="U429" s="39">
        <v>151.24</v>
      </c>
      <c r="V429" s="39">
        <v>120.325733333</v>
      </c>
      <c r="W429" t="inlineStr">
        <is>
          <t>Above 75 DMA</t>
        </is>
      </c>
    </row>
    <row r="430">
      <c r="A430" s="23">
        <v>46192.0</v>
      </c>
      <c r="B430" s="25" t="str">
        <f t="shared" si="6"/>
        <v>Friday</v>
      </c>
      <c r="C430" s="243" t="s">
        <v>156</v>
      </c>
      <c r="D430" s="31">
        <f>IFERROR(__xludf.DUMMYFUNCTION("GOOGLEFINANCE(""NSE:""&amp;UPPER(TRIM(E430)),""marketcap"")/10000000"),9756.6684875)</f>
        <v>9756.668488</v>
      </c>
      <c r="E430" s="7" t="s">
        <v>257</v>
      </c>
      <c r="F430" s="39">
        <f>IFERROR(__xludf.DUMMYFUNCTION("IF(OR(E430="""",A430=""""),"""",
 IF(
   DATE(VALUE(RIGHT(A430,4)),VALUE(MID(A430,4,2)),VALUE(LEFT(A430,2)))&gt;=TODAY(),
   IFERROR(
     GOOGLEFINANCE(""NSE:""&amp;UPPER(TRIM(E430)),""price""),
     ""Not Available""
   ),
   IFERROR(
     INDEX(
       GOOGLE"&amp;"FINANCE(
         ""NSE:""&amp;UPPER(TRIM(E430)),
         ""close"",
         DATE(VALUE(RIGHT(A430,4)),VALUE(MID(A430,4,2)),VALUE(LEFT(A430,2))),
         DATE(VALUE(RIGHT(A430,4)),VALUE(MID(A430,4,2)),VALUE(LEFT(A430,2)))+1
       ),
       2,2
     ),
   "&amp;"  ""Not Available""
   )
 ))"),2089.4)</f>
        <v>2089.4</v>
      </c>
      <c r="G430" s="42">
        <f>IFERROR(__xludf.DUMMYFUNCTION("IF(E430="""","""",IFERROR(GOOGLEFINANCE(""NSE:""&amp;UPPER(TRIM(E430)),""price""),""Not Available""))"),1622.5)</f>
        <v>1622.5</v>
      </c>
      <c r="H430" s="53">
        <f t="shared" si="1"/>
        <v>97</v>
      </c>
      <c r="I430" s="58">
        <f t="shared" si="2"/>
        <v>-0.2234612808</v>
      </c>
      <c r="J430" s="60">
        <f t="shared" si="3"/>
        <v>-22346.12808</v>
      </c>
      <c r="K430" s="7">
        <v>2292.0</v>
      </c>
      <c r="L430" s="7">
        <v>1906.0</v>
      </c>
      <c r="M430" s="68">
        <f t="shared" si="4"/>
        <v>0.09696563607</v>
      </c>
      <c r="N430" s="68">
        <f t="shared" si="5"/>
        <v>-0.08777639514</v>
      </c>
      <c r="O430" s="68">
        <v>0.00268019527137</v>
      </c>
      <c r="P430" s="23">
        <v>46195</v>
      </c>
      <c r="Q430" s="68">
        <v>0.28045956211</v>
      </c>
      <c r="R430" s="68">
        <v>0.4907</v>
      </c>
      <c r="S430" s="23">
        <v>46203</v>
      </c>
      <c r="T430" s="23">
        <v>46192</v>
      </c>
      <c r="U430" s="39">
        <v>2089.4</v>
      </c>
      <c r="V430" s="39">
        <v>2063.28</v>
      </c>
      <c r="W430" t="inlineStr">
        <is>
          <t>Above 75 DMA</t>
        </is>
      </c>
    </row>
    <row r="431">
      <c r="A431" s="23">
        <v>46192.0</v>
      </c>
      <c r="B431" s="25" t="str">
        <f t="shared" si="6"/>
        <v>Friday</v>
      </c>
      <c r="C431" s="243" t="s">
        <v>156</v>
      </c>
      <c r="D431" s="31">
        <f>IFERROR(__xludf.DUMMYFUNCTION("GOOGLEFINANCE(""NSE:""&amp;UPPER(TRIM(E431)),""marketcap"")/10000000"),11036.9212)</f>
        <v>11036.9212</v>
      </c>
      <c r="E431" s="7" t="s">
        <v>259</v>
      </c>
      <c r="F431" s="39">
        <f>IFERROR(__xludf.DUMMYFUNCTION("IF(OR(E431="""",A431=""""),"""",
 IF(
   DATE(VALUE(RIGHT(A431,4)),VALUE(MID(A431,4,2)),VALUE(LEFT(A431,2)))&gt;=TODAY(),
   IFERROR(
     GOOGLEFINANCE(""NSE:""&amp;UPPER(TRIM(E431)),""price""),
     ""Not Available""
   ),
   IFERROR(
     INDEX(
       GOOGLE"&amp;"FINANCE(
         ""NSE:""&amp;UPPER(TRIM(E431)),
         ""close"",
         DATE(VALUE(RIGHT(A431,4)),VALUE(MID(A431,4,2)),VALUE(LEFT(A431,2))),
         DATE(VALUE(RIGHT(A431,4)),VALUE(MID(A431,4,2)),VALUE(LEFT(A431,2)))+1
       ),
       2,2
     ),
   "&amp;"  ""Not Available""
   )
 ))"),922.45)</f>
        <v>922.45</v>
      </c>
      <c r="G431" s="42">
        <f>IFERROR(__xludf.DUMMYFUNCTION("IF(E431="""","""",IFERROR(GOOGLEFINANCE(""NSE:""&amp;UPPER(TRIM(E431)),""price""),""Not Available""))"),820.15)</f>
        <v>820.15</v>
      </c>
      <c r="H431" s="53">
        <f t="shared" si="1"/>
        <v>97</v>
      </c>
      <c r="I431" s="58">
        <f t="shared" si="2"/>
        <v>-0.1109003198</v>
      </c>
      <c r="J431" s="60">
        <f t="shared" si="3"/>
        <v>-11090.03198</v>
      </c>
      <c r="K431" s="7">
        <v>1046.0</v>
      </c>
      <c r="L431" s="7">
        <v>415.0</v>
      </c>
      <c r="M431" s="68">
        <f t="shared" si="4"/>
        <v>0.1339367987</v>
      </c>
      <c r="N431" s="68">
        <f t="shared" si="5"/>
        <v>-0.5501111171</v>
      </c>
      <c r="O431" s="68">
        <v>0.0114369342512</v>
      </c>
      <c r="P431" s="23">
        <v>46196</v>
      </c>
      <c r="Q431" s="68">
        <v>0.0882287260813</v>
      </c>
      <c r="R431" s="68">
        <v>0.4046</v>
      </c>
      <c r="S431" s="23">
        <v>46203</v>
      </c>
      <c r="T431" s="23">
        <v>46192</v>
      </c>
      <c r="U431" s="39">
        <v>922.45</v>
      </c>
      <c r="V431" s="39">
        <v>746.096</v>
      </c>
      <c r="W431" t="inlineStr">
        <is>
          <t>Above 75 DMA</t>
        </is>
      </c>
    </row>
    <row r="432">
      <c r="A432" s="23">
        <v>46192.0</v>
      </c>
      <c r="B432" s="25" t="str">
        <f t="shared" si="6"/>
        <v>Friday</v>
      </c>
      <c r="C432" s="243" t="s">
        <v>156</v>
      </c>
      <c r="D432" s="31">
        <f>IFERROR(__xludf.DUMMYFUNCTION("GOOGLEFINANCE(""NSE:""&amp;UPPER(TRIM(E432)),""marketcap"")/10000000"),26561.0645336)</f>
        <v>26561.06453</v>
      </c>
      <c r="E432" s="7" t="s">
        <v>261</v>
      </c>
      <c r="F432" s="39">
        <f>IFERROR(__xludf.DUMMYFUNCTION("IF(OR(E432="""",A432=""""),"""",
 IF(
   DATE(VALUE(RIGHT(A432,4)),VALUE(MID(A432,4,2)),VALUE(LEFT(A432,2)))&gt;=TODAY(),
   IFERROR(
     GOOGLEFINANCE(""NSE:""&amp;UPPER(TRIM(E432)),""price""),
     ""Not Available""
   ),
   IFERROR(
     INDEX(
       GOOGLE"&amp;"FINANCE(
         ""NSE:""&amp;UPPER(TRIM(E432)),
         ""close"",
         DATE(VALUE(RIGHT(A432,4)),VALUE(MID(A432,4,2)),VALUE(LEFT(A432,2))),
         DATE(VALUE(RIGHT(A432,4)),VALUE(MID(A432,4,2)),VALUE(LEFT(A432,2)))+1
       ),
       2,2
     ),
   "&amp;"  ""Not Available""
   )
 ))"),2632.5)</f>
        <v>2632.5</v>
      </c>
      <c r="G432" s="7">
        <v>2357.0</v>
      </c>
      <c r="H432" s="53">
        <f t="shared" si="1"/>
        <v>97</v>
      </c>
      <c r="I432" s="58">
        <f t="shared" si="2"/>
        <v>-0.1046533713</v>
      </c>
      <c r="J432" s="60">
        <f t="shared" si="3"/>
        <v>-10465.33713</v>
      </c>
      <c r="K432" s="7">
        <v>2549.0</v>
      </c>
      <c r="L432" s="7">
        <v>2431.0</v>
      </c>
      <c r="M432" s="68">
        <f t="shared" si="4"/>
        <v>-0.03171889839</v>
      </c>
      <c r="N432" s="68">
        <f t="shared" si="5"/>
        <v>-0.07654320988</v>
      </c>
      <c r="O432" s="68">
        <v>0.156315289649</v>
      </c>
      <c r="P432" s="23">
        <v>46197</v>
      </c>
      <c r="Q432" s="68">
        <v>0.195648730678</v>
      </c>
      <c r="R432" s="68">
        <v>0.6</v>
      </c>
      <c r="S432" s="23">
        <v>46203</v>
      </c>
      <c r="T432" s="23">
        <v>46192</v>
      </c>
      <c r="U432" s="39">
        <v>2632</v>
      </c>
      <c r="V432" s="39">
        <v>2572</v>
      </c>
      <c r="W432" t="inlineStr">
        <is>
          <t>Above 75 DMA</t>
        </is>
      </c>
    </row>
    <row r="433">
      <c r="A433" s="23">
        <v>46191.0</v>
      </c>
      <c r="B433" s="25" t="str">
        <f t="shared" si="6"/>
        <v>Thursday</v>
      </c>
      <c r="C433" s="243" t="s">
        <v>156</v>
      </c>
      <c r="D433" s="31">
        <f>IFERROR(__xludf.DUMMYFUNCTION("GOOGLEFINANCE(""NSE:""&amp;UPPER(TRIM(E433)),""marketcap"")/10000000"),46932.4438043)</f>
        <v>46932.4438</v>
      </c>
      <c r="E433" s="7" t="s">
        <v>263</v>
      </c>
      <c r="F433" s="39">
        <f>IFERROR(__xludf.DUMMYFUNCTION("IF(OR(E433="""",A433=""""),"""",
 IF(
   DATE(VALUE(RIGHT(A433,4)),VALUE(MID(A433,4,2)),VALUE(LEFT(A433,2)))&gt;=TODAY(),
   IFERROR(
     GOOGLEFINANCE(""NSE:""&amp;UPPER(TRIM(E433)),""price""),
     ""Not Available""
   ),
   IFERROR(
     INDEX(
       GOOGLE"&amp;"FINANCE(
         ""NSE:""&amp;UPPER(TRIM(E433)),
         ""close"",
         DATE(VALUE(RIGHT(A433,4)),VALUE(MID(A433,4,2)),VALUE(LEFT(A433,2))),
         DATE(VALUE(RIGHT(A433,4)),VALUE(MID(A433,4,2)),VALUE(LEFT(A433,2)))+1
       ),
       2,2
     ),
   "&amp;"  ""Not Available""
   )
 ))"),551.55)</f>
        <v>551.55</v>
      </c>
      <c r="G433" s="42">
        <f>IFERROR(__xludf.DUMMYFUNCTION("IF(E433="""","""",IFERROR(GOOGLEFINANCE(""NSE:""&amp;UPPER(TRIM(E433)),""price""),""Not Available""))"),552.65)</f>
        <v>552.65</v>
      </c>
      <c r="H433" s="53">
        <f t="shared" si="1"/>
        <v>98</v>
      </c>
      <c r="I433" s="58">
        <f t="shared" si="2"/>
        <v>0.001994379476</v>
      </c>
      <c r="J433" s="60">
        <f t="shared" si="3"/>
        <v>199.4379476</v>
      </c>
      <c r="K433" s="7">
        <v>549.0</v>
      </c>
      <c r="L433" s="7">
        <v>533.0</v>
      </c>
      <c r="M433" s="68">
        <f t="shared" si="4"/>
        <v>-0.00462333424</v>
      </c>
      <c r="N433" s="68">
        <f t="shared" si="5"/>
        <v>-0.03363249025</v>
      </c>
      <c r="O433" s="68">
        <v>0.10180400689</v>
      </c>
      <c r="P433" s="23">
        <v>46240</v>
      </c>
      <c r="Q433" s="68">
        <v>0.136346905231</v>
      </c>
      <c r="R433" s="68">
        <v>0.6881</v>
      </c>
      <c r="S433" s="23">
        <v>46203</v>
      </c>
      <c r="T433" s="23">
        <v>46191</v>
      </c>
      <c r="U433" s="39">
        <v>551.55</v>
      </c>
      <c r="V433" s="39">
        <v>475.565333333</v>
      </c>
      <c r="W433" t="inlineStr">
        <is>
          <t>Above 75 DMA</t>
        </is>
      </c>
    </row>
    <row r="434">
      <c r="A434" s="23">
        <v>46191.0</v>
      </c>
      <c r="B434" s="25" t="str">
        <f t="shared" si="6"/>
        <v>Thursday</v>
      </c>
      <c r="C434" s="243" t="s">
        <v>156</v>
      </c>
      <c r="D434" s="31">
        <f>IFERROR(__xludf.DUMMYFUNCTION("GOOGLEFINANCE(""NSE:""&amp;UPPER(TRIM(E434)),""marketcap"")/10000000"),1549.368035)</f>
        <v>1549.368035</v>
      </c>
      <c r="E434" s="7" t="s">
        <v>264</v>
      </c>
      <c r="F434" s="39">
        <f>IFERROR(__xludf.DUMMYFUNCTION("IF(OR(E434="""",A434=""""),"""",
 IF(
   DATE(VALUE(RIGHT(A434,4)),VALUE(MID(A434,4,2)),VALUE(LEFT(A434,2)))&gt;=TODAY(),
   IFERROR(
     GOOGLEFINANCE(""NSE:""&amp;UPPER(TRIM(E434)),""price""),
     ""Not Available""
   ),
   IFERROR(
     INDEX(
       GOOGLE"&amp;"FINANCE(
         ""NSE:""&amp;UPPER(TRIM(E434)),
         ""close"",
         DATE(VALUE(RIGHT(A434,4)),VALUE(MID(A434,4,2)),VALUE(LEFT(A434,2))),
         DATE(VALUE(RIGHT(A434,4)),VALUE(MID(A434,4,2)),VALUE(LEFT(A434,2)))+1
       ),
       2,2
     ),
   "&amp;"  ""Not Available""
   )
 ))"),226.35)</f>
        <v>226.35</v>
      </c>
      <c r="G434" s="7">
        <v>352.0</v>
      </c>
      <c r="H434" s="53">
        <f t="shared" si="1"/>
        <v>98</v>
      </c>
      <c r="I434" s="58">
        <f t="shared" si="2"/>
        <v>0.5551137619</v>
      </c>
      <c r="J434" s="60">
        <f t="shared" si="3"/>
        <v>55511.37619</v>
      </c>
      <c r="K434" s="7">
        <v>318.0</v>
      </c>
      <c r="L434" s="7">
        <v>114.0</v>
      </c>
      <c r="M434" s="68">
        <f t="shared" si="4"/>
        <v>0.4049039099</v>
      </c>
      <c r="N434" s="68">
        <f t="shared" si="5"/>
        <v>-0.4963552021</v>
      </c>
      <c r="O434" s="68">
        <v>0.626684338414</v>
      </c>
      <c r="P434" s="23">
        <v>46286</v>
      </c>
      <c r="Q434" s="68">
        <v>0.116812327315</v>
      </c>
      <c r="R434" s="68">
        <v>0.7177</v>
      </c>
      <c r="S434" s="23">
        <v>46203</v>
      </c>
      <c r="T434" s="23">
        <v>46191</v>
      </c>
      <c r="U434" s="39">
        <v>226.35</v>
      </c>
      <c r="V434" s="39">
        <v>163.621733333</v>
      </c>
      <c r="W434" t="inlineStr">
        <is>
          <t>Above 75 DMA</t>
        </is>
      </c>
    </row>
    <row r="435">
      <c r="A435" s="23">
        <v>46191.0</v>
      </c>
      <c r="B435" s="25" t="str">
        <f t="shared" si="6"/>
        <v>Thursday</v>
      </c>
      <c r="C435" s="243" t="s">
        <v>156</v>
      </c>
      <c r="D435" s="31">
        <f>IFERROR(__xludf.DUMMYFUNCTION("GOOGLEFINANCE(""NSE:""&amp;UPPER(TRIM(E435)),""marketcap"")/10000000"),87750.3370562)</f>
        <v>87750.33706</v>
      </c>
      <c r="E435" s="7" t="s">
        <v>266</v>
      </c>
      <c r="F435" s="39">
        <f>IFERROR(__xludf.DUMMYFUNCTION("IF(OR(E435="""",A435=""""),"""",
 IF(
   DATE(VALUE(RIGHT(A435,4)),VALUE(MID(A435,4,2)),VALUE(LEFT(A435,2)))&gt;=TODAY(),
   IFERROR(
     GOOGLEFINANCE(""NSE:""&amp;UPPER(TRIM(E435)),""price""),
     ""Not Available""
   ),
   IFERROR(
     INDEX(
       GOOGLE"&amp;"FINANCE(
         ""NSE:""&amp;UPPER(TRIM(E435)),
         ""close"",
         DATE(VALUE(RIGHT(A435,4)),VALUE(MID(A435,4,2)),VALUE(LEFT(A435,2))),
         DATE(VALUE(RIGHT(A435,4)),VALUE(MID(A435,4,2)),VALUE(LEFT(A435,2)))+1
       ),
       2,2
     ),
   "&amp;"  ""Not Available""
   )
 ))"),84.62)</f>
        <v>84.62</v>
      </c>
      <c r="G435" s="42">
        <f>IFERROR(__xludf.DUMMYFUNCTION("IF(E435="""","""",IFERROR(GOOGLEFINANCE(""NSE:""&amp;UPPER(TRIM(E435)),""price""),""Not Available""))"),81.65)</f>
        <v>81.65</v>
      </c>
      <c r="H435" s="53">
        <f t="shared" si="1"/>
        <v>98</v>
      </c>
      <c r="I435" s="58">
        <f t="shared" si="2"/>
        <v>-0.03509808556</v>
      </c>
      <c r="J435" s="60">
        <f t="shared" si="3"/>
        <v>-3509.808556</v>
      </c>
      <c r="K435" s="7">
        <v>121.0</v>
      </c>
      <c r="L435" s="7">
        <v>48.7</v>
      </c>
      <c r="M435" s="68">
        <f t="shared" si="4"/>
        <v>0.4299220043</v>
      </c>
      <c r="N435" s="68">
        <f t="shared" si="5"/>
        <v>-0.4244859371</v>
      </c>
      <c r="O435" s="68">
        <v>0.13743795793</v>
      </c>
      <c r="P435" s="23">
        <v>46260</v>
      </c>
      <c r="Q435" s="68">
        <v>0.0591960711257</v>
      </c>
      <c r="R435" s="68">
        <v>0.9471</v>
      </c>
      <c r="S435" s="23">
        <v>46203</v>
      </c>
      <c r="T435" s="23">
        <v>46191</v>
      </c>
      <c r="U435" s="39">
        <v>84.62</v>
      </c>
      <c r="V435" s="39">
        <v>78.6949333333</v>
      </c>
      <c r="W435" t="inlineStr">
        <is>
          <t>Above 75 DMA</t>
        </is>
      </c>
    </row>
    <row r="436">
      <c r="A436" s="23">
        <v>46191.0</v>
      </c>
      <c r="B436" s="25" t="str">
        <f t="shared" si="6"/>
        <v>Thursday</v>
      </c>
      <c r="C436" s="243" t="s">
        <v>156</v>
      </c>
      <c r="D436" s="31">
        <f>IFERROR(__xludf.DUMMYFUNCTION("GOOGLEFINANCE(""NSE:""&amp;UPPER(TRIM(E436)),""marketcap"")/10000000"),61293.725823)</f>
        <v>61293.72582</v>
      </c>
      <c r="E436" s="7" t="s">
        <v>267</v>
      </c>
      <c r="F436" s="39">
        <f>IFERROR(__xludf.DUMMYFUNCTION("IF(OR(E436="""",A436=""""),"""",
 IF(
   DATE(VALUE(RIGHT(A436,4)),VALUE(MID(A436,4,2)),VALUE(LEFT(A436,2)))&gt;=TODAY(),
   IFERROR(
     GOOGLEFINANCE(""NSE:""&amp;UPPER(TRIM(E436)),""price""),
     ""Not Available""
   ),
   IFERROR(
     INDEX(
       GOOGLE"&amp;"FINANCE(
         ""NSE:""&amp;UPPER(TRIM(E436)),
         ""close"",
         DATE(VALUE(RIGHT(A436,4)),VALUE(MID(A436,4,2)),VALUE(LEFT(A436,2))),
         DATE(VALUE(RIGHT(A436,4)),VALUE(MID(A436,4,2)),VALUE(LEFT(A436,2)))+1
       ),
       2,2
     ),
   "&amp;"  ""Not Available""
   )
 ))"),35.23)</f>
        <v>35.23</v>
      </c>
      <c r="G436" s="42">
        <f>IFERROR(__xludf.DUMMYFUNCTION("IF(E436="""","""",IFERROR(GOOGLEFINANCE(""NSE:""&amp;UPPER(TRIM(E436)),""price""),""Not Available""))"),31.82)</f>
        <v>31.82</v>
      </c>
      <c r="H436" s="53">
        <f t="shared" si="1"/>
        <v>98</v>
      </c>
      <c r="I436" s="58">
        <f t="shared" si="2"/>
        <v>-0.09679250639</v>
      </c>
      <c r="J436" s="60">
        <f t="shared" si="3"/>
        <v>-9679.250639</v>
      </c>
      <c r="K436" s="7">
        <v>38.0</v>
      </c>
      <c r="L436" s="7">
        <v>25.0</v>
      </c>
      <c r="M436" s="68">
        <f t="shared" si="4"/>
        <v>0.07862617088</v>
      </c>
      <c r="N436" s="68">
        <f t="shared" si="5"/>
        <v>-0.2903775192</v>
      </c>
      <c r="O436" s="68">
        <v>0.0275333522566</v>
      </c>
      <c r="P436" s="23">
        <v>46224</v>
      </c>
      <c r="Q436" s="68">
        <v>0.0606915900757</v>
      </c>
      <c r="R436" s="68">
        <v>0.9244</v>
      </c>
      <c r="S436" s="23">
        <v>46203</v>
      </c>
      <c r="T436" s="23">
        <v>46191</v>
      </c>
      <c r="U436" s="39">
        <v>35.23</v>
      </c>
      <c r="V436" s="39">
        <v>33.8961333333</v>
      </c>
      <c r="W436" t="inlineStr">
        <is>
          <t>Above 75 DMA</t>
        </is>
      </c>
    </row>
    <row r="437">
      <c r="A437" s="23">
        <v>46191.0</v>
      </c>
      <c r="B437" s="25" t="str">
        <f t="shared" si="6"/>
        <v>Thursday</v>
      </c>
      <c r="C437" s="243" t="s">
        <v>156</v>
      </c>
      <c r="D437" s="31">
        <f>IFERROR(__xludf.DUMMYFUNCTION("GOOGLEFINANCE(""NSE:""&amp;UPPER(TRIM(E437)),""marketcap"")/10000000"),2844.198435)</f>
        <v>2844.198435</v>
      </c>
      <c r="E437" s="7" t="s">
        <v>269</v>
      </c>
      <c r="F437" s="39">
        <f>IFERROR(__xludf.DUMMYFUNCTION("IF(OR(E437="""",A437=""""),"""",
 IF(
   DATE(VALUE(RIGHT(A437,4)),VALUE(MID(A437,4,2)),VALUE(LEFT(A437,2)))&gt;=TODAY(),
   IFERROR(
     GOOGLEFINANCE(""NSE:""&amp;UPPER(TRIM(E437)),""price""),
     ""Not Available""
   ),
   IFERROR(
     INDEX(
       GOOGLE"&amp;"FINANCE(
         ""NSE:""&amp;UPPER(TRIM(E437)),
         ""close"",
         DATE(VALUE(RIGHT(A437,4)),VALUE(MID(A437,4,2)),VALUE(LEFT(A437,2))),
         DATE(VALUE(RIGHT(A437,4)),VALUE(MID(A437,4,2)),VALUE(LEFT(A437,2)))+1
       ),
       2,2
     ),
   "&amp;"  ""Not Available""
   )
 ))"),1136.2)</f>
        <v>1136.2</v>
      </c>
      <c r="G437" s="42">
        <f>IFERROR(__xludf.DUMMYFUNCTION("IF(E437="""","""",IFERROR(GOOGLEFINANCE(""NSE:""&amp;UPPER(TRIM(E437)),""price""),""Not Available""))"),977.0)</f>
        <v>977</v>
      </c>
      <c r="H437" s="53">
        <f t="shared" si="1"/>
        <v>98</v>
      </c>
      <c r="I437" s="58">
        <f t="shared" si="2"/>
        <v>-0.1401161767</v>
      </c>
      <c r="J437" s="60">
        <f t="shared" si="3"/>
        <v>-14011.61767</v>
      </c>
      <c r="K437" s="7">
        <v>1314.0</v>
      </c>
      <c r="L437" s="7">
        <v>789.0</v>
      </c>
      <c r="M437" s="68">
        <f t="shared" si="4"/>
        <v>0.1564865341</v>
      </c>
      <c r="N437" s="68">
        <f t="shared" si="5"/>
        <v>-0.3055800035</v>
      </c>
      <c r="O437" s="68">
        <v>0.0517514522091</v>
      </c>
      <c r="P437" s="23">
        <v>46272</v>
      </c>
      <c r="Q437" s="68">
        <v>0.149133201265</v>
      </c>
      <c r="R437" s="68">
        <v>0.7496</v>
      </c>
      <c r="S437" s="23">
        <v>46203</v>
      </c>
      <c r="T437" s="23">
        <v>46191</v>
      </c>
      <c r="U437" s="39">
        <v>1136.2</v>
      </c>
      <c r="V437" s="39">
        <v>976.196666667</v>
      </c>
      <c r="W437" t="inlineStr">
        <is>
          <t>Above 75 DMA</t>
        </is>
      </c>
    </row>
    <row r="438">
      <c r="A438" s="23">
        <v>46191.0</v>
      </c>
      <c r="B438" s="25" t="str">
        <f t="shared" si="6"/>
        <v>Thursday</v>
      </c>
      <c r="C438" s="243" t="s">
        <v>156</v>
      </c>
      <c r="D438" s="31">
        <f>IFERROR(__xludf.DUMMYFUNCTION("GOOGLEFINANCE(""NSE:""&amp;UPPER(TRIM(E438)),""marketcap"")/10000000"),2621.6057348)</f>
        <v>2621.605735</v>
      </c>
      <c r="E438" s="7" t="s">
        <v>270</v>
      </c>
      <c r="F438" s="39">
        <f>IFERROR(__xludf.DUMMYFUNCTION("IF(OR(E438="""",A438=""""),"""",
 IF(
   DATE(VALUE(RIGHT(A438,4)),VALUE(MID(A438,4,2)),VALUE(LEFT(A438,2)))&gt;=TODAY(),
   IFERROR(
     GOOGLEFINANCE(""NSE:""&amp;UPPER(TRIM(E438)),""price""),
     ""Not Available""
   ),
   IFERROR(
     INDEX(
       GOOGLE"&amp;"FINANCE(
         ""NSE:""&amp;UPPER(TRIM(E438)),
         ""close"",
         DATE(VALUE(RIGHT(A438,4)),VALUE(MID(A438,4,2)),VALUE(LEFT(A438,2))),
         DATE(VALUE(RIGHT(A438,4)),VALUE(MID(A438,4,2)),VALUE(LEFT(A438,2)))+1
       ),
       2,2
     ),
   "&amp;"  ""Not Available""
   )
 ))"),30.01)</f>
        <v>30.01</v>
      </c>
      <c r="G438" s="7">
        <v>27.3</v>
      </c>
      <c r="H438" s="53">
        <f t="shared" si="1"/>
        <v>98</v>
      </c>
      <c r="I438" s="58">
        <f t="shared" si="2"/>
        <v>-0.09030323226</v>
      </c>
      <c r="J438" s="60">
        <f t="shared" si="3"/>
        <v>-9030.323226</v>
      </c>
      <c r="K438" s="7">
        <v>52.0</v>
      </c>
      <c r="L438" s="7">
        <v>13.0</v>
      </c>
      <c r="M438" s="68">
        <f t="shared" si="4"/>
        <v>0.7327557481</v>
      </c>
      <c r="N438" s="68">
        <f t="shared" si="5"/>
        <v>-0.566811063</v>
      </c>
      <c r="O438" s="68">
        <v>0.197934021993</v>
      </c>
      <c r="P438" s="23">
        <v>46197</v>
      </c>
      <c r="Q438" s="68">
        <v>0.105189696968</v>
      </c>
      <c r="R438" s="68">
        <v>0.3148</v>
      </c>
      <c r="S438" s="23">
        <v>46203</v>
      </c>
      <c r="T438" s="23">
        <v>46191</v>
      </c>
      <c r="U438" s="39">
        <v>30.01</v>
      </c>
      <c r="V438" s="39">
        <v>26.6497333333</v>
      </c>
      <c r="W438" t="inlineStr">
        <is>
          <t>Above 75 DMA</t>
        </is>
      </c>
    </row>
    <row r="439">
      <c r="A439" s="23">
        <v>46191.0</v>
      </c>
      <c r="B439" s="25" t="str">
        <f t="shared" si="6"/>
        <v>Thursday</v>
      </c>
      <c r="C439" s="243" t="s">
        <v>156</v>
      </c>
      <c r="D439" s="31">
        <f>IFERROR(__xludf.DUMMYFUNCTION("GOOGLEFINANCE(""NSE:""&amp;UPPER(TRIM(E439)),""marketcap"")/10000000"),4537.68216)</f>
        <v>4537.68216</v>
      </c>
      <c r="E439" s="7" t="s">
        <v>272</v>
      </c>
      <c r="F439" s="39">
        <f>IFERROR(__xludf.DUMMYFUNCTION("IF(OR(E439="""",A439=""""),"""",
 IF(
   DATE(VALUE(RIGHT(A439,4)),VALUE(MID(A439,4,2)),VALUE(LEFT(A439,2)))&gt;=TODAY(),
   IFERROR(
     GOOGLEFINANCE(""NSE:""&amp;UPPER(TRIM(E439)),""price""),
     ""Not Available""
   ),
   IFERROR(
     INDEX(
       GOOGLE"&amp;"FINANCE(
         ""NSE:""&amp;UPPER(TRIM(E439)),
         ""close"",
         DATE(VALUE(RIGHT(A439,4)),VALUE(MID(A439,4,2)),VALUE(LEFT(A439,2))),
         DATE(VALUE(RIGHT(A439,4)),VALUE(MID(A439,4,2)),VALUE(LEFT(A439,2)))+1
       ),
       2,2
     ),
   "&amp;"  ""Not Available""
   )
 ))"),189.67)</f>
        <v>189.67</v>
      </c>
      <c r="G439" s="42">
        <f>IFERROR(__xludf.DUMMYFUNCTION("IF(E439="""","""",IFERROR(GOOGLEFINANCE(""NSE:""&amp;UPPER(TRIM(E439)),""price""),""Not Available""))"),680.0)</f>
        <v>680</v>
      </c>
      <c r="H439" s="53">
        <f t="shared" si="1"/>
        <v>98</v>
      </c>
      <c r="I439" s="58">
        <f t="shared" si="2"/>
        <v>2.58517425</v>
      </c>
      <c r="J439" s="60">
        <f t="shared" si="3"/>
        <v>258517.425</v>
      </c>
      <c r="K439" s="7">
        <v>307.0</v>
      </c>
      <c r="L439" s="7">
        <v>68.0</v>
      </c>
      <c r="M439" s="68">
        <f t="shared" si="4"/>
        <v>0.6186007276</v>
      </c>
      <c r="N439" s="68">
        <f t="shared" si="5"/>
        <v>-0.641482575</v>
      </c>
      <c r="O439" s="68">
        <v>2.18210576264</v>
      </c>
      <c r="P439" s="23">
        <v>46283</v>
      </c>
      <c r="Q439" s="68">
        <v>0.218748128937</v>
      </c>
      <c r="R439" s="68">
        <v>0.7412</v>
      </c>
      <c r="S439" s="23">
        <v>46203</v>
      </c>
      <c r="T439" s="23">
        <v>46191</v>
      </c>
      <c r="U439" s="39">
        <v>189.67</v>
      </c>
      <c r="V439" s="39">
        <v>145.841866667</v>
      </c>
      <c r="W439" t="inlineStr">
        <is>
          <t>Above 75 DMA</t>
        </is>
      </c>
    </row>
    <row r="440">
      <c r="A440" s="23">
        <v>46191.0</v>
      </c>
      <c r="B440" s="25" t="str">
        <f t="shared" si="6"/>
        <v>Thursday</v>
      </c>
      <c r="C440" s="243" t="s">
        <v>156</v>
      </c>
      <c r="D440" s="31">
        <f>IFERROR(__xludf.DUMMYFUNCTION("GOOGLEFINANCE(""NSE:""&amp;UPPER(TRIM(E440)),""marketcap"")/10000000"),12646.5411877)</f>
        <v>12646.54119</v>
      </c>
      <c r="E440" s="7" t="s">
        <v>274</v>
      </c>
      <c r="F440" s="39">
        <f>IFERROR(__xludf.DUMMYFUNCTION("IF(OR(E440="""",A440=""""),"""",
 IF(
   DATE(VALUE(RIGHT(A440,4)),VALUE(MID(A440,4,2)),VALUE(LEFT(A440,2)))&gt;=TODAY(),
   IFERROR(
     GOOGLEFINANCE(""NSE:""&amp;UPPER(TRIM(E440)),""price""),
     ""Not Available""
   ),
   IFERROR(
     INDEX(
       GOOGLE"&amp;"FINANCE(
         ""NSE:""&amp;UPPER(TRIM(E440)),
         ""close"",
         DATE(VALUE(RIGHT(A440,4)),VALUE(MID(A440,4,2)),VALUE(LEFT(A440,2))),
         DATE(VALUE(RIGHT(A440,4)),VALUE(MID(A440,4,2)),VALUE(LEFT(A440,2)))+1
       ),
       2,2
     ),
   "&amp;"  ""Not Available""
   )
 ))"),1821.8)</f>
        <v>1821.8</v>
      </c>
      <c r="G440" s="42">
        <f>IFERROR(__xludf.DUMMYFUNCTION("IF(E440="""","""",IFERROR(GOOGLEFINANCE(""NSE:""&amp;UPPER(TRIM(E440)),""price""),""Not Available""))"),2036.1)</f>
        <v>2036.1</v>
      </c>
      <c r="H440" s="53">
        <f t="shared" si="1"/>
        <v>98</v>
      </c>
      <c r="I440" s="58">
        <f t="shared" si="2"/>
        <v>0.1176309145</v>
      </c>
      <c r="J440" s="60">
        <f t="shared" si="3"/>
        <v>11763.09145</v>
      </c>
      <c r="K440" s="7">
        <v>2460.0</v>
      </c>
      <c r="L440" s="7">
        <v>920.0</v>
      </c>
      <c r="M440" s="68">
        <f t="shared" si="4"/>
        <v>0.3503128774</v>
      </c>
      <c r="N440" s="68">
        <f t="shared" si="5"/>
        <v>-0.4950049402</v>
      </c>
      <c r="O440" s="68">
        <v>0.272916895378</v>
      </c>
      <c r="P440" s="23">
        <v>46276</v>
      </c>
      <c r="Q440" s="68">
        <v>0.21194677739</v>
      </c>
      <c r="R440" s="68">
        <v>0.1908</v>
      </c>
      <c r="S440" s="23">
        <v>46203</v>
      </c>
      <c r="T440" s="23">
        <v>46191</v>
      </c>
      <c r="U440" s="39">
        <v>1821.8</v>
      </c>
      <c r="V440" s="39">
        <v>1398.436</v>
      </c>
      <c r="W440" t="inlineStr">
        <is>
          <t>Above 75 DMA</t>
        </is>
      </c>
    </row>
    <row r="441">
      <c r="A441" s="23">
        <v>46190.0</v>
      </c>
      <c r="B441" s="25" t="str">
        <f t="shared" si="6"/>
        <v>Wednesday</v>
      </c>
      <c r="C441" s="243" t="s">
        <v>156</v>
      </c>
      <c r="D441" s="31">
        <f>IFERROR(__xludf.DUMMYFUNCTION("GOOGLEFINANCE(""NSE:""&amp;UPPER(TRIM(E441)),""marketcap"")/10000000"),532.1178582)</f>
        <v>532.1178582</v>
      </c>
      <c r="E441" s="7" t="s">
        <v>276</v>
      </c>
      <c r="F441" s="39">
        <f>IFERROR(__xludf.DUMMYFUNCTION("IF(OR(E441="""",A441=""""),"""",
 IF(
   DATE(VALUE(RIGHT(A441,4)),VALUE(MID(A441,4,2)),VALUE(LEFT(A441,2)))&gt;=TODAY(),
   IFERROR(
     GOOGLEFINANCE(""NSE:""&amp;UPPER(TRIM(E441)),""price""),
     ""Not Available""
   ),
   IFERROR(
     INDEX(
       GOOGLE"&amp;"FINANCE(
         ""NSE:""&amp;UPPER(TRIM(E441)),
         ""close"",
         DATE(VALUE(RIGHT(A441,4)),VALUE(MID(A441,4,2)),VALUE(LEFT(A441,2))),
         DATE(VALUE(RIGHT(A441,4)),VALUE(MID(A441,4,2)),VALUE(LEFT(A441,2)))+1
       ),
       2,2
     ),
   "&amp;"  ""Not Available""
   )
 ))"),119.72)</f>
        <v>119.72</v>
      </c>
      <c r="G441" s="42">
        <f>IFERROR(__xludf.DUMMYFUNCTION("IF(E441="""","""",IFERROR(GOOGLEFINANCE(""NSE:""&amp;UPPER(TRIM(E441)),""price""),""Not Available""))"),91.74)</f>
        <v>91.74</v>
      </c>
      <c r="H441" s="53">
        <f t="shared" si="1"/>
        <v>99</v>
      </c>
      <c r="I441" s="58">
        <f t="shared" si="2"/>
        <v>-0.2337119947</v>
      </c>
      <c r="J441" s="60">
        <f t="shared" si="3"/>
        <v>-23371.19947</v>
      </c>
      <c r="K441" s="7">
        <v>151.0</v>
      </c>
      <c r="L441" s="7">
        <v>42.0</v>
      </c>
      <c r="M441" s="68">
        <f t="shared" si="4"/>
        <v>0.2612763114</v>
      </c>
      <c r="N441" s="68">
        <f t="shared" si="5"/>
        <v>-0.6491814233</v>
      </c>
      <c r="O441" s="68">
        <v>-0.0310725025058</v>
      </c>
      <c r="P441" s="23">
        <v>46191</v>
      </c>
      <c r="Q441" s="68">
        <v>0.144119855957</v>
      </c>
      <c r="R441" s="68">
        <v>0.4735</v>
      </c>
      <c r="S441" s="23">
        <v>46203</v>
      </c>
      <c r="T441" s="23">
        <v>46190</v>
      </c>
      <c r="U441" s="39">
        <v>119.72</v>
      </c>
      <c r="V441" s="39">
        <v>92.316</v>
      </c>
      <c r="W441" t="inlineStr">
        <is>
          <t>Above 75 DMA</t>
        </is>
      </c>
    </row>
    <row r="442">
      <c r="A442" s="23">
        <v>46189.0</v>
      </c>
      <c r="B442" s="25" t="str">
        <f t="shared" si="6"/>
        <v>Tuesday</v>
      </c>
      <c r="C442" s="243" t="s">
        <v>156</v>
      </c>
      <c r="D442" s="31">
        <f>IFERROR(__xludf.DUMMYFUNCTION("GOOGLEFINANCE(""NSE:""&amp;UPPER(TRIM(E442)),""marketcap"")/10000000"),3128.0986261)</f>
        <v>3128.098626</v>
      </c>
      <c r="E442" s="244" t="s">
        <v>280</v>
      </c>
      <c r="F442" s="39">
        <f>IFERROR(__xludf.DUMMYFUNCTION("IF(OR(E442="""",A442=""""),"""",
 IF(
   DATE(VALUE(RIGHT(A442,4)),VALUE(MID(A442,4,2)),VALUE(LEFT(A442,2)))&gt;=TODAY(),
   IFERROR(
     GOOGLEFINANCE(""NSE:""&amp;UPPER(TRIM(E442)),""price""),
     ""Not Available""
   ),
   IFERROR(
     INDEX(
       GOOGLE"&amp;"FINANCE(
         ""NSE:""&amp;UPPER(TRIM(E442)),
         ""close"",
         DATE(VALUE(RIGHT(A442,4)),VALUE(MID(A442,4,2)),VALUE(LEFT(A442,2))),
         DATE(VALUE(RIGHT(A442,4)),VALUE(MID(A442,4,2)),VALUE(LEFT(A442,2)))+1
       ),
       2,2
     ),
   "&amp;"  ""Not Available""
   )
 ))"),132.61)</f>
        <v>132.61</v>
      </c>
      <c r="G442" s="42">
        <f>IFERROR(__xludf.DUMMYFUNCTION("IF(E442="""","""",IFERROR(GOOGLEFINANCE(""NSE:""&amp;UPPER(TRIM(E442)),""price""),""Not Available""))"),111.38)</f>
        <v>111.38</v>
      </c>
      <c r="H442" s="53">
        <f t="shared" si="1"/>
        <v>100</v>
      </c>
      <c r="I442" s="58">
        <f t="shared" si="2"/>
        <v>-0.1600935073</v>
      </c>
      <c r="J442" s="60">
        <f t="shared" si="3"/>
        <v>-16009.35073</v>
      </c>
      <c r="K442" s="7">
        <v>215.0</v>
      </c>
      <c r="L442" s="7">
        <v>54.0</v>
      </c>
      <c r="M442" s="68">
        <f t="shared" si="4"/>
        <v>0.6212955282</v>
      </c>
      <c r="N442" s="68">
        <f t="shared" si="5"/>
        <v>-0.5927908906</v>
      </c>
      <c r="O442" s="68">
        <v>0.0541437297338</v>
      </c>
      <c r="P442" s="23">
        <v>46196</v>
      </c>
      <c r="R442" s="68">
        <v>0.5448</v>
      </c>
      <c r="S442" s="23">
        <v>46203</v>
      </c>
      <c r="T442" s="23">
        <v>46189</v>
      </c>
      <c r="U442" s="39">
        <v>132.61</v>
      </c>
      <c r="V442" s="39">
        <v>125.249866667</v>
      </c>
      <c r="W442" t="inlineStr">
        <is>
          <t>Above 75 DMA</t>
        </is>
      </c>
    </row>
    <row r="443">
      <c r="A443" s="23">
        <v>46189.0</v>
      </c>
      <c r="B443" s="25" t="str">
        <f t="shared" si="6"/>
        <v>Tuesday</v>
      </c>
      <c r="C443" s="243" t="s">
        <v>156</v>
      </c>
      <c r="D443" s="31">
        <f>IFERROR(__xludf.DUMMYFUNCTION("GOOGLEFINANCE(""NSE:""&amp;UPPER(TRIM(E443)),""marketcap"")/10000000"),4309.6135954)</f>
        <v>4309.613595</v>
      </c>
      <c r="E443" s="244" t="s">
        <v>282</v>
      </c>
      <c r="F443" s="39">
        <f>IFERROR(__xludf.DUMMYFUNCTION("IF(OR(E443="""",A443=""""),"""",
 IF(
   DATE(VALUE(RIGHT(A443,4)),VALUE(MID(A443,4,2)),VALUE(LEFT(A443,2)))&gt;=TODAY(),
   IFERROR(
     GOOGLEFINANCE(""NSE:""&amp;UPPER(TRIM(E443)),""price""),
     ""Not Available""
   ),
   IFERROR(
     INDEX(
       GOOGLE"&amp;"FINANCE(
         ""NSE:""&amp;UPPER(TRIM(E443)),
         ""close"",
         DATE(VALUE(RIGHT(A443,4)),VALUE(MID(A443,4,2)),VALUE(LEFT(A443,2))),
         DATE(VALUE(RIGHT(A443,4)),VALUE(MID(A443,4,2)),VALUE(LEFT(A443,2)))+1
       ),
       2,2
     ),
   "&amp;"  ""Not Available""
   )
 ))"),201.75)</f>
        <v>201.75</v>
      </c>
      <c r="G443" s="7">
        <v>222.0</v>
      </c>
      <c r="H443" s="53">
        <f t="shared" si="1"/>
        <v>100</v>
      </c>
      <c r="I443" s="58">
        <f t="shared" si="2"/>
        <v>0.1003717472</v>
      </c>
      <c r="J443" s="60">
        <f t="shared" si="3"/>
        <v>10037.17472</v>
      </c>
      <c r="K443" s="7">
        <v>175.0</v>
      </c>
      <c r="L443" s="7">
        <v>48.0</v>
      </c>
      <c r="M443" s="68">
        <f t="shared" si="4"/>
        <v>-0.1325898389</v>
      </c>
      <c r="N443" s="68">
        <f t="shared" si="5"/>
        <v>-0.7620817844</v>
      </c>
      <c r="O443" s="68">
        <v>0.24312267658</v>
      </c>
      <c r="P443" s="23">
        <v>46255</v>
      </c>
    </row>
    <row r="444">
      <c r="A444" s="23">
        <v>46185.0</v>
      </c>
      <c r="B444" s="25" t="str">
        <f t="shared" si="6"/>
        <v>Friday</v>
      </c>
      <c r="C444" s="243" t="s">
        <v>156</v>
      </c>
      <c r="D444" s="31">
        <f>IFERROR(__xludf.DUMMYFUNCTION("GOOGLEFINANCE(""NSE:""&amp;UPPER(TRIM(E444)),""marketcap"")/10000000"),367049.8152613)</f>
        <v>367049.8153</v>
      </c>
      <c r="E444" s="244" t="s">
        <v>283</v>
      </c>
      <c r="F444" s="39">
        <f>IFERROR(__xludf.DUMMYFUNCTION("IF(OR(E444="""",A444=""""),"""",
 IF(
   DATE(VALUE(RIGHT(A444,4)),VALUE(MID(A444,4,2)),VALUE(LEFT(A444,2)))&gt;=TODAY(),
   IFERROR(
     GOOGLEFINANCE(""NSE:""&amp;UPPER(TRIM(E444)),""price""),
     ""Not Available""
   ),
   IFERROR(
     INDEX(
       GOOGLE"&amp;"FINANCE(
         ""NSE:""&amp;UPPER(TRIM(E444)),
         ""close"",
         DATE(VALUE(RIGHT(A444,4)),VALUE(MID(A444,4,2)),VALUE(LEFT(A444,2))),
         DATE(VALUE(RIGHT(A444,4)),VALUE(MID(A444,4,2)),VALUE(LEFT(A444,2)))+1
       ),
       2,2
     ),
   "&amp;"  ""Not Available""
   )
 ))"),1356.3)</f>
        <v>1356.3</v>
      </c>
      <c r="G444" s="42">
        <f>IFERROR(__xludf.DUMMYFUNCTION("IF(E444="""","""",IFERROR(GOOGLEFINANCE(""NSE:""&amp;UPPER(TRIM(E444)),""price""),""Not Available""))"),1178.5)</f>
        <v>1178.5</v>
      </c>
      <c r="H444" s="53">
        <f t="shared" si="1"/>
        <v>104</v>
      </c>
      <c r="I444" s="58">
        <f t="shared" si="2"/>
        <v>-0.1310919413</v>
      </c>
      <c r="J444" s="60">
        <f t="shared" si="3"/>
        <v>-13109.19413</v>
      </c>
      <c r="K444" s="7">
        <v>1459.0</v>
      </c>
      <c r="L444" s="7">
        <v>1223.0</v>
      </c>
      <c r="M444" s="68">
        <f t="shared" si="4"/>
        <v>0.07572071076</v>
      </c>
      <c r="N444" s="68">
        <f t="shared" si="5"/>
        <v>-0.09828209098</v>
      </c>
      <c r="O444" s="68">
        <v>0.0322937403229</v>
      </c>
      <c r="P444" s="23">
        <v>46198</v>
      </c>
      <c r="R444" s="68">
        <v>0.0787</v>
      </c>
      <c r="S444" s="23">
        <v>46203</v>
      </c>
      <c r="T444" s="23">
        <v>46185</v>
      </c>
      <c r="U444" s="39">
        <v>1356.3</v>
      </c>
      <c r="V444" s="39">
        <v>1290.016</v>
      </c>
      <c r="W444" t="inlineStr">
        <is>
          <t>Above 75 DMA</t>
        </is>
      </c>
    </row>
    <row r="445">
      <c r="A445" s="23">
        <v>46185.0</v>
      </c>
      <c r="B445" s="25" t="str">
        <f t="shared" si="6"/>
        <v>Friday</v>
      </c>
      <c r="C445" s="243" t="s">
        <v>156</v>
      </c>
      <c r="D445" s="31">
        <f>IFERROR(__xludf.DUMMYFUNCTION("GOOGLEFINANCE(""NSE:""&amp;UPPER(TRIM(E445)),""marketcap"")/10000000"),15488.42841)</f>
        <v>15488.42841</v>
      </c>
      <c r="E445" s="244" t="s">
        <v>284</v>
      </c>
      <c r="F445" s="39">
        <f>IFERROR(__xludf.DUMMYFUNCTION("IF(OR(E445="""",A445=""""),"""",
 IF(
   DATE(VALUE(RIGHT(A445,4)),VALUE(MID(A445,4,2)),VALUE(LEFT(A445,2)))&gt;=TODAY(),
   IFERROR(
     GOOGLEFINANCE(""NSE:""&amp;UPPER(TRIM(E445)),""price""),
     ""Not Available""
   ),
   IFERROR(
     INDEX(
       GOOGLE"&amp;"FINANCE(
         ""NSE:""&amp;UPPER(TRIM(E445)),
         ""close"",
         DATE(VALUE(RIGHT(A445,4)),VALUE(MID(A445,4,2)),VALUE(LEFT(A445,2))),
         DATE(VALUE(RIGHT(A445,4)),VALUE(MID(A445,4,2)),VALUE(LEFT(A445,2)))+1
       ),
       2,2
     ),
   "&amp;"  ""Not Available""
   )
 ))"),1353.8)</f>
        <v>1353.8</v>
      </c>
      <c r="G445" s="42">
        <f>IFERROR(__xludf.DUMMYFUNCTION("IF(E445="""","""",IFERROR(GOOGLEFINANCE(""NSE:""&amp;UPPER(TRIM(E445)),""price""),""Not Available""))"),1480.9)</f>
        <v>1480.9</v>
      </c>
      <c r="H445" s="53">
        <f t="shared" si="1"/>
        <v>104</v>
      </c>
      <c r="I445" s="58">
        <f t="shared" si="2"/>
        <v>0.09388388241</v>
      </c>
      <c r="J445" s="60">
        <f t="shared" si="3"/>
        <v>9388.388241</v>
      </c>
      <c r="K445" s="7">
        <v>1314.0</v>
      </c>
      <c r="L445" s="7">
        <v>617.0</v>
      </c>
      <c r="M445" s="68">
        <f t="shared" si="4"/>
        <v>-0.0293987295</v>
      </c>
      <c r="N445" s="68">
        <f t="shared" si="5"/>
        <v>-0.5442458266</v>
      </c>
      <c r="O445" s="68">
        <v>0.192938395627</v>
      </c>
      <c r="P445" s="23">
        <v>46254</v>
      </c>
      <c r="R445" s="68">
        <v>0.4408</v>
      </c>
      <c r="S445" s="23">
        <v>46203</v>
      </c>
      <c r="T445" s="23">
        <v>46185</v>
      </c>
      <c r="U445" s="39">
        <v>1353.8</v>
      </c>
      <c r="V445" s="39">
        <v>1131.16266667</v>
      </c>
      <c r="W445" t="inlineStr">
        <is>
          <t>Above 75 DMA</t>
        </is>
      </c>
    </row>
    <row r="446">
      <c r="A446" s="23">
        <v>46185.0</v>
      </c>
      <c r="B446" s="25" t="str">
        <f t="shared" si="6"/>
        <v>Friday</v>
      </c>
      <c r="C446" s="243" t="s">
        <v>156</v>
      </c>
      <c r="D446" s="31">
        <f>IFERROR(__xludf.DUMMYFUNCTION("GOOGLEFINANCE(""NSE:""&amp;UPPER(TRIM(E446)),""marketcap"")/10000000"),2705.3476639)</f>
        <v>2705.347664</v>
      </c>
      <c r="E446" s="244" t="s">
        <v>285</v>
      </c>
      <c r="F446" s="39">
        <f>IFERROR(__xludf.DUMMYFUNCTION("IF(OR(E446="""",A446=""""),"""",
 IF(
   DATE(VALUE(RIGHT(A446,4)),VALUE(MID(A446,4,2)),VALUE(LEFT(A446,2)))&gt;=TODAY(),
   IFERROR(
     GOOGLEFINANCE(""NSE:""&amp;UPPER(TRIM(E446)),""price""),
     ""Not Available""
   ),
   IFERROR(
     INDEX(
       GOOGLE"&amp;"FINANCE(
         ""NSE:""&amp;UPPER(TRIM(E446)),
         ""close"",
         DATE(VALUE(RIGHT(A446,4)),VALUE(MID(A446,4,2)),VALUE(LEFT(A446,2))),
         DATE(VALUE(RIGHT(A446,4)),VALUE(MID(A446,4,2)),VALUE(LEFT(A446,2)))+1
       ),
       2,2
     ),
   "&amp;"  ""Not Available""
   )
 ))"),159.45)</f>
        <v>159.45</v>
      </c>
      <c r="G446" s="42">
        <f>IFERROR(__xludf.DUMMYFUNCTION("IF(E446="""","""",IFERROR(GOOGLEFINANCE(""NSE:""&amp;UPPER(TRIM(E446)),""price""),""Not Available""))"),184.52)</f>
        <v>184.52</v>
      </c>
      <c r="H446" s="53">
        <f t="shared" si="1"/>
        <v>104</v>
      </c>
      <c r="I446" s="58">
        <f t="shared" si="2"/>
        <v>0.1572279712</v>
      </c>
      <c r="J446" s="60">
        <f t="shared" si="3"/>
        <v>15722.79712</v>
      </c>
      <c r="K446" s="7">
        <v>163.0</v>
      </c>
      <c r="L446" s="7">
        <v>179.0</v>
      </c>
      <c r="M446" s="68">
        <f t="shared" si="4"/>
        <v>0.02226403261</v>
      </c>
      <c r="N446" s="68">
        <f t="shared" si="5"/>
        <v>0.1226089683</v>
      </c>
      <c r="O446" s="68">
        <v>0.187833176544</v>
      </c>
      <c r="P446" s="23">
        <v>46265</v>
      </c>
      <c r="R446" s="68">
        <v>0.3465</v>
      </c>
      <c r="S446" s="23">
        <v>46203</v>
      </c>
      <c r="T446" s="23">
        <v>46185</v>
      </c>
      <c r="U446" s="39">
        <v>159.45</v>
      </c>
      <c r="V446" s="39">
        <v>137.996266667</v>
      </c>
      <c r="W446" t="inlineStr">
        <is>
          <t>Above 75 DMA</t>
        </is>
      </c>
    </row>
    <row r="447">
      <c r="A447" s="23">
        <v>46184.0</v>
      </c>
      <c r="B447" s="25" t="str">
        <f t="shared" si="6"/>
        <v>Thursday</v>
      </c>
      <c r="C447" s="243" t="s">
        <v>156</v>
      </c>
      <c r="D447" s="31">
        <f>IFERROR(__xludf.DUMMYFUNCTION("GOOGLEFINANCE(""NSE:""&amp;UPPER(TRIM(E447)),""marketcap"")/10000000"),201.00124)</f>
        <v>201.00124</v>
      </c>
      <c r="E447" s="244" t="s">
        <v>286</v>
      </c>
      <c r="F447" s="39">
        <f>IFERROR(__xludf.DUMMYFUNCTION("IF(OR(E447="""",A447=""""),"""",
 IF(
   DATE(VALUE(RIGHT(A447,4)),VALUE(MID(A447,4,2)),VALUE(LEFT(A447,2)))&gt;=TODAY(),
   IFERROR(
     GOOGLEFINANCE(""NSE:""&amp;UPPER(TRIM(E447)),""price""),
     ""Not Available""
   ),
   IFERROR(
     INDEX(
       GOOGLE"&amp;"FINANCE(
         ""NSE:""&amp;UPPER(TRIM(E447)),
         ""close"",
         DATE(VALUE(RIGHT(A447,4)),VALUE(MID(A447,4,2)),VALUE(LEFT(A447,2))),
         DATE(VALUE(RIGHT(A447,4)),VALUE(MID(A447,4,2)),VALUE(LEFT(A447,2)))+1
       ),
       2,2
     ),
   "&amp;"  ""Not Available""
   )
 ))"),94.45)</f>
        <v>94.45</v>
      </c>
      <c r="G447" s="42">
        <f>IFERROR(__xludf.DUMMYFUNCTION("IF(E447="""","""",IFERROR(GOOGLEFINANCE(""NSE:""&amp;UPPER(TRIM(E447)),""price""),""Not Available""))"),88.0)</f>
        <v>88</v>
      </c>
      <c r="H447" s="53">
        <f t="shared" si="1"/>
        <v>105</v>
      </c>
      <c r="I447" s="58">
        <f t="shared" si="2"/>
        <v>-0.06829010058</v>
      </c>
      <c r="J447" s="60">
        <f t="shared" si="3"/>
        <v>-6829.010058</v>
      </c>
      <c r="K447" s="7">
        <v>126.0</v>
      </c>
      <c r="L447" s="7">
        <v>77.0</v>
      </c>
      <c r="M447" s="68">
        <f t="shared" si="4"/>
        <v>0.3340391742</v>
      </c>
      <c r="N447" s="68">
        <f t="shared" si="5"/>
        <v>-0.184753838</v>
      </c>
      <c r="O447" s="68">
        <v>0.0979354155638</v>
      </c>
      <c r="P447" s="23">
        <v>46262</v>
      </c>
      <c r="R447" s="68">
        <v>0.51</v>
      </c>
      <c r="S447" s="23">
        <v>46203</v>
      </c>
      <c r="T447" s="23">
        <v>46184</v>
      </c>
      <c r="U447" s="39">
        <v>91.27</v>
      </c>
      <c r="V447" s="39">
        <v>83.3030666667</v>
      </c>
      <c r="W447" t="inlineStr">
        <is>
          <t>Above 75 DMA</t>
        </is>
      </c>
    </row>
    <row r="448">
      <c r="A448" s="23">
        <v>46184.0</v>
      </c>
      <c r="B448" s="25" t="str">
        <f t="shared" si="6"/>
        <v>Thursday</v>
      </c>
      <c r="C448" s="243" t="s">
        <v>156</v>
      </c>
      <c r="D448" s="31">
        <f>IFERROR(__xludf.DUMMYFUNCTION("GOOGLEFINANCE(""NSE:""&amp;UPPER(TRIM(E448)),""marketcap"")/10000000"),19.1285196)</f>
        <v>19.1285196</v>
      </c>
      <c r="E448" s="244" t="s">
        <v>288</v>
      </c>
      <c r="F448" s="39">
        <f>IFERROR(__xludf.DUMMYFUNCTION("IF(OR(E448="""",A448=""""),"""",
 IF(
   DATE(VALUE(RIGHT(A448,4)),VALUE(MID(A448,4,2)),VALUE(LEFT(A448,2)))&gt;=TODAY(),
   IFERROR(
     GOOGLEFINANCE(""NSE:""&amp;UPPER(TRIM(E448)),""price""),
     ""Not Available""
   ),
   IFERROR(
     INDEX(
       GOOGLE"&amp;"FINANCE(
         ""NSE:""&amp;UPPER(TRIM(E448)),
         ""close"",
         DATE(VALUE(RIGHT(A448,4)),VALUE(MID(A448,4,2)),VALUE(LEFT(A448,2))),
         DATE(VALUE(RIGHT(A448,4)),VALUE(MID(A448,4,2)),VALUE(LEFT(A448,2)))+1
       ),
       2,2
     ),
   "&amp;"  ""Not Available""
   )
 ))"),25.3)</f>
        <v>25.3</v>
      </c>
      <c r="G448" s="42">
        <f>IFERROR(__xludf.DUMMYFUNCTION("IF(E448="""","""",IFERROR(GOOGLEFINANCE(""NSE:""&amp;UPPER(TRIM(E448)),""price""),""Not Available""))"),14.86)</f>
        <v>14.86</v>
      </c>
      <c r="H448" s="53">
        <f t="shared" si="1"/>
        <v>105</v>
      </c>
      <c r="I448" s="58">
        <f t="shared" si="2"/>
        <v>-0.4126482213</v>
      </c>
      <c r="J448" s="60">
        <f t="shared" si="3"/>
        <v>-41264.82213</v>
      </c>
      <c r="K448" s="7">
        <v>27.0</v>
      </c>
      <c r="L448" s="7">
        <v>13.6</v>
      </c>
      <c r="M448" s="68">
        <f t="shared" si="4"/>
        <v>0.06719367589</v>
      </c>
      <c r="N448" s="68">
        <f t="shared" si="5"/>
        <v>-0.4624505929</v>
      </c>
      <c r="O448" s="68">
        <v>0.101976284585</v>
      </c>
      <c r="P448" s="23">
        <v>46188</v>
      </c>
      <c r="R448" s="68">
        <v>0.2472</v>
      </c>
      <c r="S448" s="23">
        <v>46203</v>
      </c>
      <c r="T448" s="23">
        <v>46184</v>
      </c>
      <c r="U448" s="39">
        <v>25.3</v>
      </c>
      <c r="V448" s="39">
        <v>14.4673333333</v>
      </c>
      <c r="W448" t="inlineStr">
        <is>
          <t>Above 75 DMA</t>
        </is>
      </c>
    </row>
    <row r="449">
      <c r="A449" s="23">
        <v>46184.0</v>
      </c>
      <c r="B449" s="25" t="str">
        <f t="shared" si="6"/>
        <v>Thursday</v>
      </c>
      <c r="C449" s="243" t="s">
        <v>156</v>
      </c>
      <c r="D449" s="31">
        <f>IFERROR(__xludf.DUMMYFUNCTION("GOOGLEFINANCE(""NSE:""&amp;UPPER(TRIM(E449)),""marketcap"")/10000000"),1350.88794)</f>
        <v>1350.88794</v>
      </c>
      <c r="E449" s="244" t="s">
        <v>289</v>
      </c>
      <c r="F449" s="39">
        <f>IFERROR(__xludf.DUMMYFUNCTION("IF(OR(E449="""",A449=""""),"""",
 IF(
   DATE(VALUE(RIGHT(A449,4)),VALUE(MID(A449,4,2)),VALUE(LEFT(A449,2)))&gt;=TODAY(),
   IFERROR(
     GOOGLEFINANCE(""NSE:""&amp;UPPER(TRIM(E449)),""price""),
     ""Not Available""
   ),
   IFERROR(
     INDEX(
       GOOGLE"&amp;"FINANCE(
         ""NSE:""&amp;UPPER(TRIM(E449)),
         ""close"",
         DATE(VALUE(RIGHT(A449,4)),VALUE(MID(A449,4,2)),VALUE(LEFT(A449,2))),
         DATE(VALUE(RIGHT(A449,4)),VALUE(MID(A449,4,2)),VALUE(LEFT(A449,2)))+1
       ),
       2,2
     ),
   "&amp;"  ""Not Available""
   )
 ))"),573.05)</f>
        <v>573.05</v>
      </c>
      <c r="G449" s="42">
        <f>IFERROR(__xludf.DUMMYFUNCTION("IF(E449="""","""",IFERROR(GOOGLEFINANCE(""NSE:""&amp;UPPER(TRIM(E449)),""price""),""Not Available""))"),895.6)</f>
        <v>895.6</v>
      </c>
      <c r="H449" s="53">
        <f t="shared" si="1"/>
        <v>105</v>
      </c>
      <c r="I449" s="58">
        <f t="shared" si="2"/>
        <v>0.5628653695</v>
      </c>
      <c r="J449" s="60">
        <f t="shared" si="3"/>
        <v>56286.53695</v>
      </c>
      <c r="K449" s="7">
        <v>899.0</v>
      </c>
      <c r="L449" s="7">
        <v>406.0</v>
      </c>
      <c r="M449" s="68">
        <f t="shared" si="4"/>
        <v>0.5687985342</v>
      </c>
      <c r="N449" s="68">
        <f t="shared" si="5"/>
        <v>-0.2915103394</v>
      </c>
      <c r="O449" s="68">
        <v>0.662594887008</v>
      </c>
      <c r="P449" s="23">
        <v>46281</v>
      </c>
      <c r="R449" s="68">
        <v>0.6565</v>
      </c>
      <c r="S449" s="23">
        <v>46203</v>
      </c>
      <c r="T449" s="23">
        <v>46184</v>
      </c>
      <c r="U449" s="39">
        <v>573.05</v>
      </c>
      <c r="V449" s="39">
        <v>483.684</v>
      </c>
      <c r="W449" t="inlineStr">
        <is>
          <t>Above 75 DMA</t>
        </is>
      </c>
    </row>
    <row r="450">
      <c r="A450" s="23">
        <v>46184.0</v>
      </c>
      <c r="B450" s="25" t="str">
        <f t="shared" si="6"/>
        <v>Thursday</v>
      </c>
      <c r="C450" s="243" t="s">
        <v>156</v>
      </c>
      <c r="D450" s="31">
        <f>IFERROR(__xludf.DUMMYFUNCTION("GOOGLEFINANCE(""NSE:""&amp;UPPER(TRIM(E450)),""marketcap"")/10000000"),697.700007)</f>
        <v>697.700007</v>
      </c>
      <c r="E450" s="244" t="s">
        <v>290</v>
      </c>
      <c r="F450" s="39">
        <f>IFERROR(__xludf.DUMMYFUNCTION("IF(OR(E450="""",A450=""""),"""",
 IF(
   DATE(VALUE(RIGHT(A450,4)),VALUE(MID(A450,4,2)),VALUE(LEFT(A450,2)))&gt;=TODAY(),
   IFERROR(
     GOOGLEFINANCE(""NSE:""&amp;UPPER(TRIM(E450)),""price""),
     ""Not Available""
   ),
   IFERROR(
     INDEX(
       GOOGLE"&amp;"FINANCE(
         ""NSE:""&amp;UPPER(TRIM(E450)),
         ""close"",
         DATE(VALUE(RIGHT(A450,4)),VALUE(MID(A450,4,2)),VALUE(LEFT(A450,2))),
         DATE(VALUE(RIGHT(A450,4)),VALUE(MID(A450,4,2)),VALUE(LEFT(A450,2)))+1
       ),
       2,2
     ),
   "&amp;"  ""Not Available""
   )
 ))"),355.75)</f>
        <v>355.75</v>
      </c>
      <c r="G450" s="42">
        <f>IFERROR(__xludf.DUMMYFUNCTION("IF(E450="""","""",IFERROR(GOOGLEFINANCE(""NSE:""&amp;UPPER(TRIM(E450)),""price""),""Not Available""))"),513.0)</f>
        <v>513</v>
      </c>
      <c r="H450" s="53">
        <f t="shared" si="1"/>
        <v>105</v>
      </c>
      <c r="I450" s="58">
        <f t="shared" si="2"/>
        <v>0.4420238932</v>
      </c>
      <c r="J450" s="60">
        <f t="shared" si="3"/>
        <v>44202.38932</v>
      </c>
      <c r="K450" s="7">
        <v>377.0</v>
      </c>
      <c r="L450" s="7">
        <v>495.0</v>
      </c>
      <c r="M450" s="68">
        <f t="shared" si="4"/>
        <v>0.05973295854</v>
      </c>
      <c r="N450" s="68">
        <f t="shared" si="5"/>
        <v>0.3914265636</v>
      </c>
      <c r="O450" s="68">
        <v>0.458889669712</v>
      </c>
      <c r="P450" s="23">
        <v>46287</v>
      </c>
      <c r="R450" s="68">
        <v>0.7353</v>
      </c>
      <c r="S450" s="23">
        <v>46203</v>
      </c>
      <c r="T450" s="23">
        <v>46184</v>
      </c>
      <c r="U450" s="39">
        <v>355.75</v>
      </c>
      <c r="V450" s="39">
        <v>321.898</v>
      </c>
      <c r="W450" t="inlineStr">
        <is>
          <t>Above 75 DMA</t>
        </is>
      </c>
    </row>
    <row r="451">
      <c r="A451" s="23">
        <v>46184.0</v>
      </c>
      <c r="B451" s="25" t="str">
        <f t="shared" si="6"/>
        <v>Thursday</v>
      </c>
      <c r="C451" s="243" t="s">
        <v>156</v>
      </c>
      <c r="D451" s="31">
        <f>IFERROR(__xludf.DUMMYFUNCTION("GOOGLEFINANCE(""NSE:""&amp;UPPER(TRIM(E451)),""marketcap"")/10000000"),542.6496966)</f>
        <v>542.6496966</v>
      </c>
      <c r="E451" s="244" t="s">
        <v>291</v>
      </c>
      <c r="F451" s="39">
        <f>IFERROR(__xludf.DUMMYFUNCTION("IF(OR(E451="""",A451=""""),"""",
 IF(
   DATE(VALUE(RIGHT(A451,4)),VALUE(MID(A451,4,2)),VALUE(LEFT(A451,2)))&gt;=TODAY(),
   IFERROR(
     GOOGLEFINANCE(""NSE:""&amp;UPPER(TRIM(E451)),""price""),
     ""Not Available""
   ),
   IFERROR(
     INDEX(
       GOOGLE"&amp;"FINANCE(
         ""NSE:""&amp;UPPER(TRIM(E451)),
         ""close"",
         DATE(VALUE(RIGHT(A451,4)),VALUE(MID(A451,4,2)),VALUE(LEFT(A451,2))),
         DATE(VALUE(RIGHT(A451,4)),VALUE(MID(A451,4,2)),VALUE(LEFT(A451,2)))+1
       ),
       2,2
     ),
   "&amp;"  ""Not Available""
   )
 ))"),39.8)</f>
        <v>39.8</v>
      </c>
      <c r="G451" s="42">
        <f>IFERROR(__xludf.DUMMYFUNCTION("IF(E451="""","""",IFERROR(GOOGLEFINANCE(""NSE:""&amp;UPPER(TRIM(E451)),""price""),""Not Available""))"),78.15)</f>
        <v>78.15</v>
      </c>
      <c r="H451" s="53">
        <f t="shared" si="1"/>
        <v>105</v>
      </c>
      <c r="I451" s="58">
        <f t="shared" si="2"/>
        <v>0.9635678392</v>
      </c>
      <c r="J451" s="60">
        <f t="shared" si="3"/>
        <v>96356.78392</v>
      </c>
      <c r="K451" s="7">
        <v>44.0</v>
      </c>
      <c r="L451" s="7">
        <v>558.0</v>
      </c>
      <c r="M451" s="68">
        <f t="shared" si="4"/>
        <v>0.1055276382</v>
      </c>
      <c r="N451" s="68">
        <f t="shared" si="5"/>
        <v>13.0201005</v>
      </c>
      <c r="O451" s="68">
        <v>0.376130653266</v>
      </c>
      <c r="P451" s="23">
        <v>46258</v>
      </c>
    </row>
    <row r="452">
      <c r="A452" s="23">
        <v>46180.0</v>
      </c>
      <c r="B452" s="25" t="str">
        <f t="shared" si="6"/>
        <v>Sunday</v>
      </c>
      <c r="C452" s="243" t="s">
        <v>156</v>
      </c>
      <c r="D452" s="31">
        <f>IFERROR(__xludf.DUMMYFUNCTION("GOOGLEFINANCE(""NSE:""&amp;UPPER(TRIM(E452)),""marketcap"")/10000000"),2203.16369)</f>
        <v>2203.16369</v>
      </c>
      <c r="E452" s="244" t="s">
        <v>293</v>
      </c>
      <c r="F452" s="39">
        <f>IFERROR(__xludf.DUMMYFUNCTION("IF(OR(E452="""",A452=""""),"""",
 IF(
   DATE(VALUE(RIGHT(A452,4)),VALUE(MID(A452,4,2)),VALUE(LEFT(A452,2)))&gt;=TODAY(),
   IFERROR(
     GOOGLEFINANCE(""NSE:""&amp;UPPER(TRIM(E452)),""price""),
     ""Not Available""
   ),
   IFERROR(
     INDEX(
       GOOGLE"&amp;"FINANCE(
         ""NSE:""&amp;UPPER(TRIM(E452)),
         ""close"",
         DATE(VALUE(RIGHT(A452,4)),VALUE(MID(A452,4,2)),VALUE(LEFT(A452,2))),
         DATE(VALUE(RIGHT(A452,4)),VALUE(MID(A452,4,2)),VALUE(LEFT(A452,2)))+1
       ),
       2,2
     ),
   "&amp;"  ""Not Available""
   )
 ))"),563.0)</f>
        <v>563</v>
      </c>
      <c r="G452" s="42">
        <f>IFERROR(__xludf.DUMMYFUNCTION("IF(E452="""","""",IFERROR(GOOGLEFINANCE(""NSE:""&amp;UPPER(TRIM(E452)),""price""),""Not Available""))"),586.0)</f>
        <v>586</v>
      </c>
      <c r="H452" s="53">
        <f t="shared" si="1"/>
        <v>109</v>
      </c>
      <c r="I452" s="58">
        <f t="shared" si="2"/>
        <v>0.04085257549</v>
      </c>
      <c r="J452" s="60">
        <f t="shared" si="3"/>
        <v>4085.257549</v>
      </c>
      <c r="K452" s="7">
        <v>890.0</v>
      </c>
      <c r="L452" s="7">
        <v>3158.0</v>
      </c>
      <c r="M452" s="68">
        <f t="shared" si="4"/>
        <v>0.5808170515</v>
      </c>
      <c r="N452" s="68">
        <f t="shared" si="5"/>
        <v>4.609236234</v>
      </c>
      <c r="O452" s="68">
        <v>0.718472468917</v>
      </c>
      <c r="P452" s="23">
        <v>46210</v>
      </c>
      <c r="R452" s="68">
        <v>0.5551</v>
      </c>
      <c r="S452" s="23">
        <v>46203</v>
      </c>
      <c r="T452" s="23">
        <v>46178</v>
      </c>
      <c r="U452" s="39">
        <v>562.25</v>
      </c>
      <c r="V452" s="39">
        <v>430.160666667</v>
      </c>
      <c r="W452" t="inlineStr">
        <is>
          <t>Above 75 DMA</t>
        </is>
      </c>
    </row>
    <row r="453">
      <c r="A453" s="23">
        <v>46180.0</v>
      </c>
      <c r="B453" s="25" t="str">
        <f t="shared" si="6"/>
        <v>Sunday</v>
      </c>
      <c r="C453" s="243" t="s">
        <v>156</v>
      </c>
      <c r="D453" s="31">
        <f>IFERROR(__xludf.DUMMYFUNCTION("GOOGLEFINANCE(""NSE:""&amp;UPPER(TRIM(E453)),""marketcap"")/10000000"),1360.587564)</f>
        <v>1360.587564</v>
      </c>
      <c r="E453" s="244" t="s">
        <v>294</v>
      </c>
      <c r="F453" s="39">
        <f>IFERROR(__xludf.DUMMYFUNCTION("IF(OR(E453="""",A453=""""),"""",
 IF(
   DATE(VALUE(RIGHT(A453,4)),VALUE(MID(A453,4,2)),VALUE(LEFT(A453,2)))&gt;=TODAY(),
   IFERROR(
     GOOGLEFINANCE(""NSE:""&amp;UPPER(TRIM(E453)),""price""),
     ""Not Available""
   ),
   IFERROR(
     INDEX(
       GOOGLE"&amp;"FINANCE(
         ""NSE:""&amp;UPPER(TRIM(E453)),
         ""close"",
         DATE(VALUE(RIGHT(A453,4)),VALUE(MID(A453,4,2)),VALUE(LEFT(A453,2))),
         DATE(VALUE(RIGHT(A453,4)),VALUE(MID(A453,4,2)),VALUE(LEFT(A453,2)))+1
       ),
       2,2
     ),
   "&amp;"  ""Not Available""
   )
 ))"),963.25)</f>
        <v>963.25</v>
      </c>
      <c r="G453" s="42">
        <f>IFERROR(__xludf.DUMMYFUNCTION("IF(E453="""","""",IFERROR(GOOGLEFINANCE(""NSE:""&amp;UPPER(TRIM(E453)),""price""),""Not Available""))"),908.25)</f>
        <v>908.25</v>
      </c>
      <c r="H453" s="53">
        <f t="shared" si="1"/>
        <v>109</v>
      </c>
      <c r="I453" s="58">
        <f t="shared" si="2"/>
        <v>-0.05709836491</v>
      </c>
      <c r="J453" s="60">
        <f t="shared" si="3"/>
        <v>-5709.836491</v>
      </c>
      <c r="K453" s="7">
        <v>831.0</v>
      </c>
      <c r="L453" s="7">
        <v>1419.0</v>
      </c>
      <c r="M453" s="68">
        <f t="shared" si="4"/>
        <v>-0.1372956138</v>
      </c>
      <c r="N453" s="68">
        <f t="shared" si="5"/>
        <v>0.4731378147</v>
      </c>
      <c r="O453" s="68">
        <v>0.220243965741</v>
      </c>
      <c r="P453" s="23">
        <v>46220</v>
      </c>
      <c r="R453" s="68">
        <v>0.3479</v>
      </c>
      <c r="S453" s="23">
        <v>46203</v>
      </c>
      <c r="T453" s="23">
        <v>46178</v>
      </c>
      <c r="U453" s="39">
        <v>917.4</v>
      </c>
      <c r="V453" s="39">
        <v>727.302666667</v>
      </c>
      <c r="W453" t="inlineStr">
        <is>
          <t>Above 75 DMA</t>
        </is>
      </c>
    </row>
    <row r="454">
      <c r="A454" s="23">
        <v>46178.0</v>
      </c>
      <c r="B454" s="25" t="str">
        <f t="shared" si="6"/>
        <v>Friday</v>
      </c>
      <c r="C454" s="243" t="s">
        <v>156</v>
      </c>
      <c r="D454" s="31">
        <f>IFERROR(__xludf.DUMMYFUNCTION("GOOGLEFINANCE(""NSE:""&amp;UPPER(TRIM(E454)),""marketcap"")/10000000"),5918.872125)</f>
        <v>5918.872125</v>
      </c>
      <c r="E454" s="244" t="s">
        <v>296</v>
      </c>
      <c r="F454" s="39">
        <f>IFERROR(__xludf.DUMMYFUNCTION("IF(OR(E454="""",A454=""""),"""",
 IF(
   DATE(VALUE(RIGHT(A454,4)),VALUE(MID(A454,4,2)),VALUE(LEFT(A454,2)))&gt;=TODAY(),
   IFERROR(
     GOOGLEFINANCE(""NSE:""&amp;UPPER(TRIM(E454)),""price""),
     ""Not Available""
   ),
   IFERROR(
     INDEX(
       GOOGLE"&amp;"FINANCE(
         ""NSE:""&amp;UPPER(TRIM(E454)),
         ""close"",
         DATE(VALUE(RIGHT(A454,4)),VALUE(MID(A454,4,2)),VALUE(LEFT(A454,2))),
         DATE(VALUE(RIGHT(A454,4)),VALUE(MID(A454,4,2)),VALUE(LEFT(A454,2)))+1
       ),
       2,2
     ),
   "&amp;"  ""Not Available""
   )
 ))"),417.05)</f>
        <v>417.05</v>
      </c>
      <c r="G454" s="42">
        <f>IFERROR(__xludf.DUMMYFUNCTION("IF(E454="""","""",IFERROR(GOOGLEFINANCE(""NSE:""&amp;UPPER(TRIM(E454)),""price""),""Not Available""))"),418.75)</f>
        <v>418.75</v>
      </c>
      <c r="H454" s="53">
        <f t="shared" si="1"/>
        <v>111</v>
      </c>
      <c r="I454" s="58">
        <f t="shared" si="2"/>
        <v>0.00407624985</v>
      </c>
      <c r="J454" s="60">
        <f t="shared" si="3"/>
        <v>407.624985</v>
      </c>
      <c r="K454" s="7">
        <v>577.0</v>
      </c>
      <c r="L454" s="7">
        <v>241.0</v>
      </c>
      <c r="M454" s="68">
        <f t="shared" si="4"/>
        <v>0.383527155</v>
      </c>
      <c r="N454" s="68">
        <f t="shared" si="5"/>
        <v>-0.4221316389</v>
      </c>
      <c r="O454" s="68">
        <v>0.153219038485</v>
      </c>
      <c r="P454" s="23">
        <v>46197</v>
      </c>
      <c r="R454" s="68">
        <v>0.7186</v>
      </c>
      <c r="S454" s="23">
        <v>46203</v>
      </c>
      <c r="T454" s="23">
        <v>46178</v>
      </c>
      <c r="U454" s="39">
        <v>417.05</v>
      </c>
      <c r="V454" s="39">
        <v>333.767333333</v>
      </c>
      <c r="W454" t="inlineStr">
        <is>
          <t>Above 75 DMA</t>
        </is>
      </c>
    </row>
    <row r="455">
      <c r="A455" s="23">
        <v>46178.0</v>
      </c>
      <c r="B455" s="25" t="str">
        <f t="shared" si="6"/>
        <v>Friday</v>
      </c>
      <c r="C455" s="243" t="s">
        <v>156</v>
      </c>
      <c r="D455" s="31">
        <f>IFERROR(__xludf.DUMMYFUNCTION("GOOGLEFINANCE(""NSE:""&amp;UPPER(TRIM(E455)),""marketcap"")/10000000"),5224.7361718)</f>
        <v>5224.736172</v>
      </c>
      <c r="E455" s="244" t="s">
        <v>297</v>
      </c>
      <c r="F455" s="39">
        <f>IFERROR(__xludf.DUMMYFUNCTION("IF(OR(E455="""",A455=""""),"""",
 IF(
   DATE(VALUE(RIGHT(A455,4)),VALUE(MID(A455,4,2)),VALUE(LEFT(A455,2)))&gt;=TODAY(),
   IFERROR(
     GOOGLEFINANCE(""NSE:""&amp;UPPER(TRIM(E455)),""price""),
     ""Not Available""
   ),
   IFERROR(
     INDEX(
       GOOGLE"&amp;"FINANCE(
         ""NSE:""&amp;UPPER(TRIM(E455)),
         ""close"",
         DATE(VALUE(RIGHT(A455,4)),VALUE(MID(A455,4,2)),VALUE(LEFT(A455,2))),
         DATE(VALUE(RIGHT(A455,4)),VALUE(MID(A455,4,2)),VALUE(LEFT(A455,2)))+1
       ),
       2,2
     ),
   "&amp;"  ""Not Available""
   )
 ))"),512.35)</f>
        <v>512.35</v>
      </c>
      <c r="G455" s="42">
        <f>IFERROR(__xludf.DUMMYFUNCTION("IF(E455="""","""",IFERROR(GOOGLEFINANCE(""NSE:""&amp;UPPER(TRIM(E455)),""price""),""Not Available""))"),742.15)</f>
        <v>742.15</v>
      </c>
      <c r="H455" s="53">
        <f t="shared" si="1"/>
        <v>111</v>
      </c>
      <c r="I455" s="58">
        <f t="shared" si="2"/>
        <v>0.4485215185</v>
      </c>
      <c r="J455" s="60">
        <f t="shared" si="3"/>
        <v>44852.15185</v>
      </c>
      <c r="K455" s="7">
        <v>872.0</v>
      </c>
      <c r="L455" s="7">
        <v>262.0</v>
      </c>
      <c r="M455" s="68">
        <f t="shared" si="4"/>
        <v>0.7019615497</v>
      </c>
      <c r="N455" s="68">
        <f t="shared" si="5"/>
        <v>-0.4886308188</v>
      </c>
      <c r="O455" s="68">
        <v>0.571191568264</v>
      </c>
      <c r="P455" s="23">
        <v>46273</v>
      </c>
      <c r="R455" s="68">
        <v>0.6475</v>
      </c>
      <c r="S455" s="23">
        <v>46203</v>
      </c>
      <c r="T455" s="23">
        <v>46178</v>
      </c>
      <c r="U455" s="39">
        <v>512.35</v>
      </c>
      <c r="V455" s="39">
        <v>437</v>
      </c>
      <c r="W455" t="inlineStr">
        <is>
          <t>Above 75 DMA</t>
        </is>
      </c>
    </row>
    <row r="456">
      <c r="A456" s="23">
        <v>46178.0</v>
      </c>
      <c r="B456" s="25" t="str">
        <f t="shared" si="6"/>
        <v>Friday</v>
      </c>
      <c r="C456" s="243" t="s">
        <v>156</v>
      </c>
      <c r="D456" s="31">
        <f>IFERROR(__xludf.DUMMYFUNCTION("GOOGLEFINANCE(""NSE:""&amp;UPPER(TRIM(E456)),""marketcap"")/10000000"),2294.7593113)</f>
        <v>2294.759311</v>
      </c>
      <c r="E456" s="244" t="s">
        <v>300</v>
      </c>
      <c r="F456" s="39">
        <f>IFERROR(__xludf.DUMMYFUNCTION("IF(OR(E456="""",A456=""""),"""",
 IF(
   DATE(VALUE(RIGHT(A456,4)),VALUE(MID(A456,4,2)),VALUE(LEFT(A456,2)))&gt;=TODAY(),
   IFERROR(
     GOOGLEFINANCE(""NSE:""&amp;UPPER(TRIM(E456)),""price""),
     ""Not Available""
   ),
   IFERROR(
     INDEX(
       GOOGLE"&amp;"FINANCE(
         ""NSE:""&amp;UPPER(TRIM(E456)),
         ""close"",
         DATE(VALUE(RIGHT(A456,4)),VALUE(MID(A456,4,2)),VALUE(LEFT(A456,2))),
         DATE(VALUE(RIGHT(A456,4)),VALUE(MID(A456,4,2)),VALUE(LEFT(A456,2)))+1
       ),
       2,2
     ),
   "&amp;"  ""Not Available""
   )
 ))"),540.2)</f>
        <v>540.2</v>
      </c>
      <c r="G456" s="42">
        <f>IFERROR(__xludf.DUMMYFUNCTION("IF(E456="""","""",IFERROR(GOOGLEFINANCE(""NSE:""&amp;UPPER(TRIM(E456)),""price""),""Not Available""))"),374.65)</f>
        <v>374.65</v>
      </c>
      <c r="H456" s="53">
        <f t="shared" si="1"/>
        <v>111</v>
      </c>
      <c r="I456" s="58">
        <f t="shared" si="2"/>
        <v>-0.3064605702</v>
      </c>
      <c r="J456" s="60">
        <f t="shared" si="3"/>
        <v>-30646.05702</v>
      </c>
      <c r="K456" s="7">
        <v>696.0</v>
      </c>
      <c r="L456" s="7">
        <v>384.0</v>
      </c>
      <c r="M456" s="68">
        <f t="shared" si="4"/>
        <v>0.2884116994</v>
      </c>
      <c r="N456" s="68">
        <f t="shared" si="5"/>
        <v>-0.2891521659</v>
      </c>
      <c r="O456" s="68">
        <v>0.197704553869</v>
      </c>
      <c r="P456" s="23">
        <v>46182</v>
      </c>
      <c r="R456" s="68">
        <v>0.7248</v>
      </c>
      <c r="S456" s="23">
        <v>46203</v>
      </c>
      <c r="T456" s="23">
        <v>46178</v>
      </c>
      <c r="U456" s="39">
        <v>540.2</v>
      </c>
      <c r="V456" s="39">
        <v>362.379333333</v>
      </c>
      <c r="W456" t="inlineStr">
        <is>
          <t>Above 75 DMA</t>
        </is>
      </c>
    </row>
    <row r="457">
      <c r="A457" s="23">
        <v>46178.0</v>
      </c>
      <c r="B457" s="25" t="str">
        <f t="shared" si="6"/>
        <v>Friday</v>
      </c>
      <c r="C457" s="243" t="s">
        <v>156</v>
      </c>
      <c r="D457" s="31">
        <f>IFERROR(__xludf.DUMMYFUNCTION("GOOGLEFINANCE(""NSE:""&amp;UPPER(TRIM(E457)),""marketcap"")/10000000"),15870.474306)</f>
        <v>15870.47431</v>
      </c>
      <c r="E457" s="244" t="s">
        <v>302</v>
      </c>
      <c r="F457" s="39">
        <f>IFERROR(__xludf.DUMMYFUNCTION("IF(OR(E457="""",A457=""""),"""",
 IF(
   DATE(VALUE(RIGHT(A457,4)),VALUE(MID(A457,4,2)),VALUE(LEFT(A457,2)))&gt;=TODAY(),
   IFERROR(
     GOOGLEFINANCE(""NSE:""&amp;UPPER(TRIM(E457)),""price""),
     ""Not Available""
   ),
   IFERROR(
     INDEX(
       GOOGLE"&amp;"FINANCE(
         ""NSE:""&amp;UPPER(TRIM(E457)),
         ""close"",
         DATE(VALUE(RIGHT(A457,4)),VALUE(MID(A457,4,2)),VALUE(LEFT(A457,2))),
         DATE(VALUE(RIGHT(A457,4)),VALUE(MID(A457,4,2)),VALUE(LEFT(A457,2)))+1
       ),
       2,2
     ),
   "&amp;"  ""Not Available""
   )
 ))"),5351.9)</f>
        <v>5351.9</v>
      </c>
      <c r="G457" s="42">
        <f>IFERROR(__xludf.DUMMYFUNCTION("IF(E457="""","""",IFERROR(GOOGLEFINANCE(""NSE:""&amp;UPPER(TRIM(E457)),""price""),""Not Available""))"),5106.0)</f>
        <v>5106</v>
      </c>
      <c r="H457" s="53">
        <f t="shared" si="1"/>
        <v>111</v>
      </c>
      <c r="I457" s="58">
        <f t="shared" si="2"/>
        <v>-0.04594629945</v>
      </c>
      <c r="J457" s="60">
        <f t="shared" si="3"/>
        <v>-4594.629945</v>
      </c>
      <c r="K457" s="7">
        <v>4019.0</v>
      </c>
      <c r="L457" s="7">
        <v>5843.0</v>
      </c>
      <c r="M457" s="68">
        <f t="shared" si="4"/>
        <v>-0.2490517386</v>
      </c>
      <c r="N457" s="68">
        <f t="shared" si="5"/>
        <v>0.09176180422</v>
      </c>
      <c r="O457" s="68">
        <v>0.388292008446</v>
      </c>
      <c r="P457" s="23">
        <v>46231</v>
      </c>
      <c r="R457" s="68">
        <v>0.6161</v>
      </c>
      <c r="S457" s="23">
        <v>46203</v>
      </c>
      <c r="T457" s="23">
        <v>46178</v>
      </c>
      <c r="U457" s="39">
        <v>5351.9</v>
      </c>
      <c r="V457" s="39">
        <v>3848.34</v>
      </c>
      <c r="W457" t="inlineStr">
        <is>
          <t>Above 75 DMA</t>
        </is>
      </c>
    </row>
    <row r="458">
      <c r="A458" s="23">
        <v>46178.0</v>
      </c>
      <c r="B458" s="25" t="str">
        <f t="shared" si="6"/>
        <v>Friday</v>
      </c>
      <c r="C458" s="243" t="s">
        <v>156</v>
      </c>
      <c r="D458" s="31">
        <f>IFERROR(__xludf.DUMMYFUNCTION("GOOGLEFINANCE(""NSE:""&amp;UPPER(TRIM(E458)),""marketcap"")/10000000"),5658.0488199)</f>
        <v>5658.04882</v>
      </c>
      <c r="E458" s="244" t="s">
        <v>303</v>
      </c>
      <c r="F458" s="39">
        <f>IFERROR(__xludf.DUMMYFUNCTION("IF(OR(E458="""",A458=""""),"""",
 IF(
   DATE(VALUE(RIGHT(A458,4)),VALUE(MID(A458,4,2)),VALUE(LEFT(A458,2)))&gt;=TODAY(),
   IFERROR(
     GOOGLEFINANCE(""NSE:""&amp;UPPER(TRIM(E458)),""price""),
     ""Not Available""
   ),
   IFERROR(
     INDEX(
       GOOGLE"&amp;"FINANCE(
         ""NSE:""&amp;UPPER(TRIM(E458)),
         ""close"",
         DATE(VALUE(RIGHT(A458,4)),VALUE(MID(A458,4,2)),VALUE(LEFT(A458,2))),
         DATE(VALUE(RIGHT(A458,4)),VALUE(MID(A458,4,2)),VALUE(LEFT(A458,2)))+1
       ),
       2,2
     ),
   "&amp;"  ""Not Available""
   )
 ))"),24.02)</f>
        <v>24.02</v>
      </c>
      <c r="G458" s="42">
        <f>IFERROR(__xludf.DUMMYFUNCTION("IF(E458="""","""",IFERROR(GOOGLEFINANCE(""NSE:""&amp;UPPER(TRIM(E458)),""price""),""Not Available""))"),21.6)</f>
        <v>21.6</v>
      </c>
      <c r="H458" s="53">
        <f t="shared" si="1"/>
        <v>111</v>
      </c>
      <c r="I458" s="58">
        <f t="shared" si="2"/>
        <v>-0.1007493755</v>
      </c>
      <c r="J458" s="60">
        <f t="shared" si="3"/>
        <v>-10074.93755</v>
      </c>
      <c r="K458" s="7">
        <v>33.0</v>
      </c>
      <c r="L458" s="7">
        <v>8.0</v>
      </c>
      <c r="M458" s="68">
        <f t="shared" si="4"/>
        <v>0.3738551207</v>
      </c>
      <c r="N458" s="68">
        <f t="shared" si="5"/>
        <v>-0.6669442132</v>
      </c>
      <c r="O458" s="68">
        <v>0.186511240633</v>
      </c>
      <c r="P458" s="23">
        <v>46196</v>
      </c>
      <c r="Q458" s="68">
        <v>0.241618115862</v>
      </c>
      <c r="R458" s="68">
        <v>0.1617</v>
      </c>
      <c r="S458" s="23">
        <v>46203</v>
      </c>
      <c r="T458" s="23">
        <v>46178</v>
      </c>
      <c r="U458" s="39">
        <v>24.02</v>
      </c>
      <c r="V458" s="39">
        <v>19.0709333333</v>
      </c>
      <c r="W458" t="inlineStr">
        <is>
          <t>Above 75 DMA</t>
        </is>
      </c>
    </row>
    <row r="459">
      <c r="A459" s="23">
        <v>46176.0</v>
      </c>
      <c r="B459" s="25" t="str">
        <f t="shared" si="6"/>
        <v>Wednesday</v>
      </c>
      <c r="C459" s="243" t="s">
        <v>156</v>
      </c>
      <c r="D459" s="31">
        <f>IFERROR(__xludf.DUMMYFUNCTION("GOOGLEFINANCE(""NSE:""&amp;UPPER(TRIM(E459)),""marketcap"")/10000000"),7207.2781235)</f>
        <v>7207.278124</v>
      </c>
      <c r="E459" s="244" t="s">
        <v>299</v>
      </c>
      <c r="F459" s="39">
        <f>IFERROR(__xludf.DUMMYFUNCTION("IF(OR(E459="""",A459=""""),"""",
 IF(
   DATE(VALUE(RIGHT(A459,4)),VALUE(MID(A459,4,2)),VALUE(LEFT(A459,2)))&gt;=TODAY(),
   IFERROR(
     GOOGLEFINANCE(""NSE:""&amp;UPPER(TRIM(E459)),""price""),
     ""Not Available""
   ),
   IFERROR(
     INDEX(
       GOOGLE"&amp;"FINANCE(
         ""NSE:""&amp;UPPER(TRIM(E459)),
         ""close"",
         DATE(VALUE(RIGHT(A459,4)),VALUE(MID(A459,4,2)),VALUE(LEFT(A459,2))),
         DATE(VALUE(RIGHT(A459,4)),VALUE(MID(A459,4,2)),VALUE(LEFT(A459,2)))+1
       ),
       2,2
     ),
   "&amp;"  ""Not Available""
   )
 ))"),2122.2)</f>
        <v>2122.2</v>
      </c>
      <c r="G459" s="42">
        <f>IFERROR(__xludf.DUMMYFUNCTION("IF(E459="""","""",IFERROR(GOOGLEFINANCE(""NSE:""&amp;UPPER(TRIM(E459)),""price""),""Not Available""))"),2224.4)</f>
        <v>2224.4</v>
      </c>
      <c r="H459" s="53">
        <f t="shared" si="1"/>
        <v>113</v>
      </c>
      <c r="I459" s="58">
        <f t="shared" si="2"/>
        <v>0.04815757233</v>
      </c>
      <c r="J459" s="60">
        <f t="shared" si="3"/>
        <v>4815.757233</v>
      </c>
      <c r="K459" s="7">
        <v>2136.0</v>
      </c>
      <c r="L459" s="7">
        <v>791.0</v>
      </c>
      <c r="M459" s="68">
        <f t="shared" si="4"/>
        <v>0.006502685892</v>
      </c>
      <c r="N459" s="68">
        <f t="shared" si="5"/>
        <v>-0.627273584</v>
      </c>
      <c r="O459" s="68">
        <v>0.239185750636</v>
      </c>
      <c r="P459" s="23">
        <v>46272</v>
      </c>
      <c r="R459" s="68">
        <v>0.5456</v>
      </c>
      <c r="S459" s="23">
        <v>46203</v>
      </c>
      <c r="T459" s="23">
        <v>46176</v>
      </c>
      <c r="U459" s="39">
        <v>2122.2</v>
      </c>
      <c r="V459" s="39">
        <v>1270.63533333</v>
      </c>
      <c r="W459" t="inlineStr">
        <is>
          <t>Above 75 DMA</t>
        </is>
      </c>
    </row>
    <row r="460">
      <c r="A460" s="23">
        <v>46176.0</v>
      </c>
      <c r="B460" s="25" t="str">
        <f t="shared" si="6"/>
        <v>Wednesday</v>
      </c>
      <c r="C460" s="243" t="s">
        <v>156</v>
      </c>
      <c r="D460" s="31">
        <f>IFERROR(__xludf.DUMMYFUNCTION("GOOGLEFINANCE(""NSE:""&amp;UPPER(TRIM(E460)),""marketcap"")/10000000"),31421.3512516)</f>
        <v>31421.35125</v>
      </c>
      <c r="E460" s="244" t="s">
        <v>305</v>
      </c>
      <c r="F460" s="39">
        <f>IFERROR(__xludf.DUMMYFUNCTION("IF(OR(E460="""",A460=""""),"""",
 IF(
   DATE(VALUE(RIGHT(A460,4)),VALUE(MID(A460,4,2)),VALUE(LEFT(A460,2)))&gt;=TODAY(),
   IFERROR(
     GOOGLEFINANCE(""NSE:""&amp;UPPER(TRIM(E460)),""price""),
     ""Not Available""
   ),
   IFERROR(
     INDEX(
       GOOGLE"&amp;"FINANCE(
         ""NSE:""&amp;UPPER(TRIM(E460)),
         ""close"",
         DATE(VALUE(RIGHT(A460,4)),VALUE(MID(A460,4,2)),VALUE(LEFT(A460,2))),
         DATE(VALUE(RIGHT(A460,4)),VALUE(MID(A460,4,2)),VALUE(LEFT(A460,2)))+1
       ),
       2,2
     ),
   "&amp;"  ""Not Available""
   )
 ))"),329.05)</f>
        <v>329.05</v>
      </c>
      <c r="G460" s="42">
        <f>IFERROR(__xludf.DUMMYFUNCTION("IF(E460="""","""",IFERROR(GOOGLEFINANCE(""NSE:""&amp;UPPER(TRIM(E460)),""price""),""Not Available""))"),444.85)</f>
        <v>444.85</v>
      </c>
      <c r="H460" s="53">
        <f t="shared" si="1"/>
        <v>113</v>
      </c>
      <c r="I460" s="58">
        <f t="shared" si="2"/>
        <v>0.3519222003</v>
      </c>
      <c r="J460" s="60">
        <f t="shared" si="3"/>
        <v>35192.22003</v>
      </c>
      <c r="K460" s="7">
        <v>425.0</v>
      </c>
      <c r="L460" s="7">
        <v>356.0</v>
      </c>
      <c r="M460" s="68">
        <f t="shared" si="4"/>
        <v>0.2915970217</v>
      </c>
      <c r="N460" s="68">
        <f t="shared" si="5"/>
        <v>0.08190244644</v>
      </c>
      <c r="O460" s="68">
        <v>0.449323810971</v>
      </c>
      <c r="P460" s="23">
        <v>46287</v>
      </c>
      <c r="R460" s="68">
        <v>0.714</v>
      </c>
      <c r="S460" s="23">
        <v>46203</v>
      </c>
      <c r="T460" s="23">
        <v>46176</v>
      </c>
      <c r="U460" s="39">
        <v>329.05</v>
      </c>
      <c r="V460" s="39">
        <v>268.603333333</v>
      </c>
      <c r="W460" t="inlineStr">
        <is>
          <t>Above 75 DMA</t>
        </is>
      </c>
    </row>
    <row r="461">
      <c r="A461" s="23">
        <v>46176.0</v>
      </c>
      <c r="B461" s="25" t="str">
        <f t="shared" si="6"/>
        <v>Wednesday</v>
      </c>
      <c r="C461" s="243" t="s">
        <v>156</v>
      </c>
      <c r="D461" s="31">
        <f>IFERROR(__xludf.DUMMYFUNCTION("GOOGLEFINANCE(""NSE:""&amp;UPPER(TRIM(E461)),""marketcap"")/10000000"),8952.05436)</f>
        <v>8952.05436</v>
      </c>
      <c r="E461" s="244" t="s">
        <v>306</v>
      </c>
      <c r="F461" s="39">
        <f>IFERROR(__xludf.DUMMYFUNCTION("IF(OR(E461="""",A461=""""),"""",
 IF(
   DATE(VALUE(RIGHT(A461,4)),VALUE(MID(A461,4,2)),VALUE(LEFT(A461,2)))&gt;=TODAY(),
   IFERROR(
     GOOGLEFINANCE(""NSE:""&amp;UPPER(TRIM(E461)),""price""),
     ""Not Available""
   ),
   IFERROR(
     INDEX(
       GOOGLE"&amp;"FINANCE(
         ""NSE:""&amp;UPPER(TRIM(E461)),
         ""close"",
         DATE(VALUE(RIGHT(A461,4)),VALUE(MID(A461,4,2)),VALUE(LEFT(A461,2))),
         DATE(VALUE(RIGHT(A461,4)),VALUE(MID(A461,4,2)),VALUE(LEFT(A461,2)))+1
       ),
       2,2
     ),
   "&amp;"  ""Not Available""
   )
 ))"),344.65)</f>
        <v>344.65</v>
      </c>
      <c r="G461" s="42">
        <f>IFERROR(__xludf.DUMMYFUNCTION("IF(E461="""","""",IFERROR(GOOGLEFINANCE(""NSE:""&amp;UPPER(TRIM(E461)),""price""),""Not Available""))"),452.0)</f>
        <v>452</v>
      </c>
      <c r="H461" s="53">
        <f t="shared" si="1"/>
        <v>113</v>
      </c>
      <c r="I461" s="58">
        <f t="shared" si="2"/>
        <v>0.3114754098</v>
      </c>
      <c r="J461" s="60">
        <f t="shared" si="3"/>
        <v>31147.54098</v>
      </c>
      <c r="K461" s="7">
        <v>486.0</v>
      </c>
      <c r="L461" s="7">
        <v>245.0</v>
      </c>
      <c r="M461" s="68">
        <f t="shared" si="4"/>
        <v>0.410126215</v>
      </c>
      <c r="N461" s="68">
        <f t="shared" si="5"/>
        <v>-0.289133904</v>
      </c>
      <c r="O461" s="68">
        <v>0.409981140287</v>
      </c>
      <c r="P461" s="23">
        <v>46288</v>
      </c>
      <c r="R461" s="68">
        <v>0.5874</v>
      </c>
      <c r="S461" s="23">
        <v>46203</v>
      </c>
      <c r="T461" s="23">
        <v>46176</v>
      </c>
      <c r="U461" s="39">
        <v>344.65</v>
      </c>
      <c r="V461" s="39">
        <v>275.673333333</v>
      </c>
      <c r="W461" t="inlineStr">
        <is>
          <t>Above 75 DMA</t>
        </is>
      </c>
    </row>
    <row r="462">
      <c r="A462" s="23">
        <v>46175.0</v>
      </c>
      <c r="B462" s="25" t="str">
        <f t="shared" si="6"/>
        <v>Tuesday</v>
      </c>
      <c r="C462" s="243" t="s">
        <v>156</v>
      </c>
      <c r="D462" s="31">
        <f>IFERROR(__xludf.DUMMYFUNCTION("GOOGLEFINANCE(""NSE:""&amp;UPPER(TRIM(E462)),""marketcap"")/10000000"),13050.0815197)</f>
        <v>13050.08152</v>
      </c>
      <c r="E462" s="244" t="s">
        <v>307</v>
      </c>
      <c r="F462" s="39">
        <f>IFERROR(__xludf.DUMMYFUNCTION("IF(OR(E462="""",A462=""""),"""",
 IF(
   DATE(VALUE(RIGHT(A462,4)),VALUE(MID(A462,4,2)),VALUE(LEFT(A462,2)))&gt;=TODAY(),
   IFERROR(
     GOOGLEFINANCE(""NSE:""&amp;UPPER(TRIM(E462)),""price""),
     ""Not Available""
   ),
   IFERROR(
     INDEX(
       GOOGLE"&amp;"FINANCE(
         ""NSE:""&amp;UPPER(TRIM(E462)),
         ""close"",
         DATE(VALUE(RIGHT(A462,4)),VALUE(MID(A462,4,2)),VALUE(LEFT(A462,2))),
         DATE(VALUE(RIGHT(A462,4)),VALUE(MID(A462,4,2)),VALUE(LEFT(A462,2)))+1
       ),
       2,2
     ),
   "&amp;"  ""Not Available""
   )
 ))"),776.9)</f>
        <v>776.9</v>
      </c>
      <c r="G462" s="42">
        <f>IFERROR(__xludf.DUMMYFUNCTION("IF(E462="""","""",IFERROR(GOOGLEFINANCE(""NSE:""&amp;UPPER(TRIM(E462)),""price""),""Not Available""))"),1155.4)</f>
        <v>1155.4</v>
      </c>
      <c r="H462" s="53">
        <f t="shared" si="1"/>
        <v>114</v>
      </c>
      <c r="I462" s="58">
        <f t="shared" si="2"/>
        <v>0.4871926889</v>
      </c>
      <c r="J462" s="60">
        <f t="shared" si="3"/>
        <v>48719.26889</v>
      </c>
      <c r="K462" s="7">
        <v>735.0</v>
      </c>
      <c r="L462" s="7">
        <v>0.0</v>
      </c>
      <c r="M462" s="68">
        <f t="shared" si="4"/>
        <v>-0.05393229502</v>
      </c>
      <c r="N462" s="68">
        <f t="shared" si="5"/>
        <v>-1</v>
      </c>
      <c r="O462" s="68">
        <v>0.773716050972</v>
      </c>
      <c r="P462" s="23">
        <v>46272</v>
      </c>
      <c r="R462" s="68">
        <v>0.7615</v>
      </c>
      <c r="S462" s="23">
        <v>46203</v>
      </c>
      <c r="T462" s="23">
        <v>46175</v>
      </c>
      <c r="U462" s="39">
        <v>776.9</v>
      </c>
      <c r="V462" s="39">
        <v>646.562666667</v>
      </c>
      <c r="W462" t="inlineStr">
        <is>
          <t>Above 75 DMA</t>
        </is>
      </c>
    </row>
    <row r="463">
      <c r="A463" s="23">
        <v>46175.0</v>
      </c>
      <c r="B463" s="25" t="str">
        <f t="shared" si="6"/>
        <v>Tuesday</v>
      </c>
      <c r="C463" s="243" t="s">
        <v>156</v>
      </c>
      <c r="D463" s="31">
        <f>IFERROR(__xludf.DUMMYFUNCTION("GOOGLEFINANCE(""NSE:""&amp;UPPER(TRIM(E463)),""marketcap"")/10000000"),15461.278602)</f>
        <v>15461.2786</v>
      </c>
      <c r="E463" s="244" t="s">
        <v>308</v>
      </c>
      <c r="F463" s="39">
        <f>IFERROR(__xludf.DUMMYFUNCTION("IF(OR(E463="""",A463=""""),"""",
 IF(
   DATE(VALUE(RIGHT(A463,4)),VALUE(MID(A463,4,2)),VALUE(LEFT(A463,2)))&gt;=TODAY(),
   IFERROR(
     GOOGLEFINANCE(""NSE:""&amp;UPPER(TRIM(E463)),""price""),
     ""Not Available""
   ),
   IFERROR(
     INDEX(
       GOOGLE"&amp;"FINANCE(
         ""NSE:""&amp;UPPER(TRIM(E463)),
         ""close"",
         DATE(VALUE(RIGHT(A463,4)),VALUE(MID(A463,4,2)),VALUE(LEFT(A463,2))),
         DATE(VALUE(RIGHT(A463,4)),VALUE(MID(A463,4,2)),VALUE(LEFT(A463,2)))+1
       ),
       2,2
     ),
   "&amp;"  ""Not Available""
   )
 ))"),1827.1)</f>
        <v>1827.1</v>
      </c>
      <c r="G463" s="7">
        <v>2079.0</v>
      </c>
      <c r="H463" s="53">
        <f t="shared" si="1"/>
        <v>114</v>
      </c>
      <c r="I463" s="58">
        <f t="shared" si="2"/>
        <v>0.1378687538</v>
      </c>
      <c r="J463" s="60">
        <f t="shared" si="3"/>
        <v>13786.87538</v>
      </c>
      <c r="K463" s="7">
        <v>1896.0</v>
      </c>
      <c r="L463" s="7">
        <v>1869.0</v>
      </c>
      <c r="M463" s="68">
        <f t="shared" si="4"/>
        <v>0.03771003229</v>
      </c>
      <c r="N463" s="68">
        <f t="shared" si="5"/>
        <v>0.02293251601</v>
      </c>
      <c r="O463" s="68">
        <v>0.190411033879</v>
      </c>
      <c r="P463" s="23">
        <v>46287</v>
      </c>
      <c r="R463" s="68">
        <v>0.675</v>
      </c>
      <c r="S463" s="23">
        <v>46203</v>
      </c>
      <c r="T463" s="23">
        <v>46175</v>
      </c>
      <c r="U463" s="39">
        <v>1827.1</v>
      </c>
      <c r="V463" s="39">
        <v>1689.87866667</v>
      </c>
      <c r="W463" t="inlineStr">
        <is>
          <t>Above 75 DMA</t>
        </is>
      </c>
    </row>
    <row r="464">
      <c r="A464" s="23">
        <v>46175.0</v>
      </c>
      <c r="B464" s="25" t="str">
        <f t="shared" si="6"/>
        <v>Tuesday</v>
      </c>
      <c r="C464" s="243" t="s">
        <v>156</v>
      </c>
      <c r="D464" s="31">
        <f>IFERROR(__xludf.DUMMYFUNCTION("GOOGLEFINANCE(""NSE:""&amp;UPPER(TRIM(E464)),""marketcap"")/10000000"),2249.6064455)</f>
        <v>2249.606446</v>
      </c>
      <c r="E464" s="244" t="s">
        <v>309</v>
      </c>
      <c r="F464" s="39">
        <f>IFERROR(__xludf.DUMMYFUNCTION("IF(OR(E464="""",A464=""""),"""",
 IF(
   DATE(VALUE(RIGHT(A464,4)),VALUE(MID(A464,4,2)),VALUE(LEFT(A464,2)))&gt;=TODAY(),
   IFERROR(
     GOOGLEFINANCE(""NSE:""&amp;UPPER(TRIM(E464)),""price""),
     ""Not Available""
   ),
   IFERROR(
     INDEX(
       GOOGLE"&amp;"FINANCE(
         ""NSE:""&amp;UPPER(TRIM(E464)),
         ""close"",
         DATE(VALUE(RIGHT(A464,4)),VALUE(MID(A464,4,2)),VALUE(LEFT(A464,2))),
         DATE(VALUE(RIGHT(A464,4)),VALUE(MID(A464,4,2)),VALUE(LEFT(A464,2)))+1
       ),
       2,2
     ),
   "&amp;"  ""Not Available""
   )
 ))"),501.4)</f>
        <v>501.4</v>
      </c>
      <c r="G464" s="42">
        <f>IFERROR(__xludf.DUMMYFUNCTION("IF(E464="""","""",IFERROR(GOOGLEFINANCE(""NSE:""&amp;UPPER(TRIM(E464)),""price""),""Not Available""))"),509.2)</f>
        <v>509.2</v>
      </c>
      <c r="H464" s="53">
        <f t="shared" si="1"/>
        <v>114</v>
      </c>
      <c r="I464" s="58">
        <f t="shared" si="2"/>
        <v>0.01555644196</v>
      </c>
      <c r="J464" s="60">
        <f t="shared" si="3"/>
        <v>1555.644196</v>
      </c>
      <c r="K464" s="7">
        <v>509.0</v>
      </c>
      <c r="L464" s="7">
        <v>0.0</v>
      </c>
      <c r="M464" s="68">
        <f t="shared" si="4"/>
        <v>0.01515755884</v>
      </c>
      <c r="N464" s="68">
        <f t="shared" si="5"/>
        <v>-1</v>
      </c>
      <c r="O464" s="68">
        <v>0.40805743917</v>
      </c>
      <c r="P464" s="23">
        <v>46205</v>
      </c>
      <c r="R464" s="68">
        <v>0.5116</v>
      </c>
      <c r="S464" s="23">
        <v>46203</v>
      </c>
    </row>
    <row r="465">
      <c r="A465" s="23">
        <v>46171.0</v>
      </c>
      <c r="B465" s="25" t="str">
        <f t="shared" si="6"/>
        <v>Friday</v>
      </c>
      <c r="C465" s="243" t="s">
        <v>156</v>
      </c>
      <c r="D465" s="207">
        <f>IFERROR(__xludf.DUMMYFUNCTION("GOOGLEFINANCE(""NSE:""&amp;UPPER(TRIM(E465)),""marketcap"")/10000000"),19159.8847555)</f>
        <v>19159.88476</v>
      </c>
      <c r="E465" s="244" t="s">
        <v>310</v>
      </c>
      <c r="F465" s="39">
        <f>IFERROR(__xludf.DUMMYFUNCTION("IF(OR(E465="""",A465=""""),"""",
 IF(
   DATE(VALUE(RIGHT(A465,4)),VALUE(MID(A465,4,2)),VALUE(LEFT(A465,2)))&gt;=TODAY(),
   IFERROR(
     GOOGLEFINANCE(""NSE:""&amp;UPPER(TRIM(E465)),""price""),
     ""Not Available""
   ),
   IFERROR(
     INDEX(
       GOOGLE"&amp;"FINANCE(
         ""NSE:""&amp;UPPER(TRIM(E465)),
         ""close"",
         DATE(VALUE(RIGHT(A465,4)),VALUE(MID(A465,4,2)),VALUE(LEFT(A465,2))),
         DATE(VALUE(RIGHT(A465,4)),VALUE(MID(A465,4,2)),VALUE(LEFT(A465,2)))+1
       ),
       2,2
     ),
   "&amp;"  ""Not Available""
   )
 ))"),573.45)</f>
        <v>573.45</v>
      </c>
      <c r="G465" s="42">
        <f>IFERROR(__xludf.DUMMYFUNCTION("IF(E465="""","""",IFERROR(GOOGLEFINANCE(""NSE:""&amp;UPPER(TRIM(E465)),""price""),""Not Available""))"),607.55)</f>
        <v>607.55</v>
      </c>
      <c r="H465" s="53">
        <f t="shared" si="1"/>
        <v>118</v>
      </c>
      <c r="I465" s="58">
        <f t="shared" si="2"/>
        <v>0.05946464382</v>
      </c>
      <c r="J465" s="60">
        <f t="shared" si="3"/>
        <v>5946.464382</v>
      </c>
      <c r="K465" s="7">
        <v>561.0</v>
      </c>
      <c r="L465" s="7">
        <v>453.0</v>
      </c>
      <c r="M465" s="68">
        <f t="shared" si="4"/>
        <v>-0.0217106984</v>
      </c>
      <c r="N465" s="68">
        <f t="shared" si="5"/>
        <v>-0.2100444677</v>
      </c>
      <c r="O465" s="68">
        <v>0.139419304211</v>
      </c>
      <c r="P465" s="23">
        <v>46272</v>
      </c>
      <c r="R465" s="68">
        <v>0.3119</v>
      </c>
      <c r="S465" s="23">
        <v>46203</v>
      </c>
      <c r="T465" s="23">
        <v>46171</v>
      </c>
      <c r="U465" s="39">
        <v>573.45</v>
      </c>
      <c r="V465" s="39">
        <v>521.302</v>
      </c>
      <c r="W465" t="inlineStr">
        <is>
          <t>Above 75 DMA</t>
        </is>
      </c>
    </row>
    <row r="466">
      <c r="A466" s="23">
        <v>46171.0</v>
      </c>
      <c r="B466" s="25" t="str">
        <f t="shared" si="6"/>
        <v>Friday</v>
      </c>
      <c r="C466" s="243" t="s">
        <v>156</v>
      </c>
      <c r="D466" s="31">
        <f>IFERROR(__xludf.DUMMYFUNCTION("GOOGLEFINANCE(""NSE:""&amp;UPPER(TRIM(E466)),""marketcap"")/10000000"),36273.75)</f>
        <v>36273.75</v>
      </c>
      <c r="E466" s="244" t="s">
        <v>311</v>
      </c>
      <c r="F466" s="39">
        <f>IFERROR(__xludf.DUMMYFUNCTION("IF(OR(E466="""",A466=""""),"""",
 IF(
   DATE(VALUE(RIGHT(A466,4)),VALUE(MID(A466,4,2)),VALUE(LEFT(A466,2)))&gt;=TODAY(),
   IFERROR(
     GOOGLEFINANCE(""NSE:""&amp;UPPER(TRIM(E466)),""price""),
     ""Not Available""
   ),
   IFERROR(
     INDEX(
       GOOGLE"&amp;"FINANCE(
         ""NSE:""&amp;UPPER(TRIM(E466)),
         ""close"",
         DATE(VALUE(RIGHT(A466,4)),VALUE(MID(A466,4,2)),VALUE(LEFT(A466,2))),
         DATE(VALUE(RIGHT(A466,4)),VALUE(MID(A466,4,2)),VALUE(LEFT(A466,2)))+1
       ),
       2,2
     ),
   "&amp;"  ""Not Available""
   )
 ))"),386.5)</f>
        <v>386.5</v>
      </c>
      <c r="G466" s="42">
        <f>IFERROR(__xludf.DUMMYFUNCTION("IF(E466="""","""",IFERROR(GOOGLEFINANCE(""NSE:""&amp;UPPER(TRIM(E466)),""price""),""Not Available""))"),426.75)</f>
        <v>426.75</v>
      </c>
      <c r="H466" s="53">
        <f t="shared" si="1"/>
        <v>118</v>
      </c>
      <c r="I466" s="58">
        <f t="shared" si="2"/>
        <v>0.1041397154</v>
      </c>
      <c r="J466" s="60">
        <f t="shared" si="3"/>
        <v>10413.97154</v>
      </c>
      <c r="K466" s="7">
        <v>454.0</v>
      </c>
      <c r="L466" s="7">
        <v>229.0</v>
      </c>
      <c r="M466" s="68">
        <f t="shared" si="4"/>
        <v>0.1746442432</v>
      </c>
      <c r="N466" s="68">
        <f t="shared" si="5"/>
        <v>-0.4075032342</v>
      </c>
      <c r="O466" s="68">
        <v>0.284346701164</v>
      </c>
      <c r="P466" s="23">
        <v>46245</v>
      </c>
      <c r="R466" s="68">
        <v>0.4599</v>
      </c>
      <c r="S466" s="23">
        <v>46203</v>
      </c>
      <c r="T466" s="23">
        <v>46171</v>
      </c>
      <c r="U466" s="39">
        <v>386.5</v>
      </c>
      <c r="V466" s="39">
        <v>332.043333333</v>
      </c>
      <c r="W466" t="inlineStr">
        <is>
          <t>Above 75 DMA</t>
        </is>
      </c>
    </row>
    <row r="467">
      <c r="A467" s="23">
        <v>46171.0</v>
      </c>
      <c r="B467" s="25" t="str">
        <f t="shared" si="6"/>
        <v>Friday</v>
      </c>
      <c r="C467" s="243" t="s">
        <v>156</v>
      </c>
      <c r="D467" s="31">
        <f>IFERROR(__xludf.DUMMYFUNCTION("GOOGLEFINANCE(""NSE:""&amp;UPPER(TRIM(E467)),""marketcap"")/10000000"),28355.54885)</f>
        <v>28355.54885</v>
      </c>
      <c r="E467" s="244" t="s">
        <v>312</v>
      </c>
      <c r="F467" s="39">
        <f>IFERROR(__xludf.DUMMYFUNCTION("IF(OR(E467="""",A467=""""),"""",
 IF(
   DATE(VALUE(RIGHT(A467,4)),VALUE(MID(A467,4,2)),VALUE(LEFT(A467,2)))&gt;=TODAY(),
   IFERROR(
     GOOGLEFINANCE(""NSE:""&amp;UPPER(TRIM(E467)),""price""),
     ""Not Available""
   ),
   IFERROR(
     INDEX(
       GOOGLE"&amp;"FINANCE(
         ""NSE:""&amp;UPPER(TRIM(E467)),
         ""close"",
         DATE(VALUE(RIGHT(A467,4)),VALUE(MID(A467,4,2)),VALUE(LEFT(A467,2))),
         DATE(VALUE(RIGHT(A467,4)),VALUE(MID(A467,4,2)),VALUE(LEFT(A467,2)))+1
       ),
       2,2
     ),
   "&amp;"  ""Not Available""
   )
 ))"),2056.3)</f>
        <v>2056.3</v>
      </c>
      <c r="G467" s="42">
        <f>IFERROR(__xludf.DUMMYFUNCTION("IF(E467="""","""",IFERROR(GOOGLEFINANCE(""NSE:""&amp;UPPER(TRIM(E467)),""price""),""Not Available""))"),2507.0)</f>
        <v>2507</v>
      </c>
      <c r="H467" s="53">
        <f t="shared" si="1"/>
        <v>118</v>
      </c>
      <c r="I467" s="58">
        <f t="shared" si="2"/>
        <v>0.2191800807</v>
      </c>
      <c r="J467" s="60">
        <f t="shared" si="3"/>
        <v>21918.00807</v>
      </c>
      <c r="K467" s="7">
        <v>2151.0</v>
      </c>
      <c r="L467" s="7">
        <v>1764.0</v>
      </c>
      <c r="M467" s="68">
        <f t="shared" si="4"/>
        <v>0.0460535914</v>
      </c>
      <c r="N467" s="68">
        <f t="shared" si="5"/>
        <v>-0.1421485192</v>
      </c>
      <c r="O467" s="68">
        <v>0.451052861936</v>
      </c>
      <c r="P467" s="23">
        <v>46258</v>
      </c>
      <c r="R467" s="68">
        <v>0.6138</v>
      </c>
      <c r="S467" s="23">
        <v>46203</v>
      </c>
      <c r="T467" s="23">
        <v>46171</v>
      </c>
      <c r="U467" s="39">
        <v>2056.3</v>
      </c>
      <c r="V467" s="39">
        <v>1560.852</v>
      </c>
      <c r="W467" t="inlineStr">
        <is>
          <t>Above 75 DMA</t>
        </is>
      </c>
    </row>
    <row r="468">
      <c r="A468" s="23">
        <v>46171.0</v>
      </c>
      <c r="B468" s="25" t="str">
        <f t="shared" si="6"/>
        <v>Friday</v>
      </c>
      <c r="C468" s="243" t="s">
        <v>156</v>
      </c>
      <c r="D468" s="31">
        <f>IFERROR(__xludf.DUMMYFUNCTION("GOOGLEFINANCE(""NSE:""&amp;UPPER(TRIM(E468)),""marketcap"")/10000000"),417248.8380004)</f>
        <v>417248.838</v>
      </c>
      <c r="E468" s="244" t="s">
        <v>313</v>
      </c>
      <c r="F468" s="39">
        <f>IFERROR(__xludf.DUMMYFUNCTION("IF(OR(E468="""",A468=""""),"""",
 IF(
   DATE(VALUE(RIGHT(A468,4)),VALUE(MID(A468,4,2)),VALUE(LEFT(A468,2)))&gt;=TODAY(),
   IFERROR(
     GOOGLEFINANCE(""NSE:""&amp;UPPER(TRIM(E468)),""price""),
     ""Not Available""
   ),
   IFERROR(
     INDEX(
       GOOGLE"&amp;"FINANCE(
         ""NSE:""&amp;UPPER(TRIM(E468)),
         ""close"",
         DATE(VALUE(RIGHT(A468,4)),VALUE(MID(A468,4,2)),VALUE(LEFT(A468,2))),
         DATE(VALUE(RIGHT(A468,4)),VALUE(MID(A468,4,2)),VALUE(LEFT(A468,2)))+1
       ),
       2,2
     ),
   "&amp;"  ""Not Available""
   )
 ))"),2937.4)</f>
        <v>2937.4</v>
      </c>
      <c r="G468" s="42">
        <f>IFERROR(__xludf.DUMMYFUNCTION("IF(E468="""","""",IFERROR(GOOGLEFINANCE(""NSE:""&amp;UPPER(TRIM(E468)),""price""),""Not Available""))"),2910.7)</f>
        <v>2910.7</v>
      </c>
      <c r="H468" s="53">
        <f t="shared" si="1"/>
        <v>118</v>
      </c>
      <c r="I468" s="58">
        <f t="shared" si="2"/>
        <v>-0.009089671138</v>
      </c>
      <c r="J468" s="60">
        <f t="shared" si="3"/>
        <v>-908.9671138</v>
      </c>
      <c r="K468" s="7">
        <v>3348.0</v>
      </c>
      <c r="L468" s="7">
        <v>1377.0</v>
      </c>
      <c r="M468" s="68">
        <f t="shared" si="4"/>
        <v>0.139783482</v>
      </c>
      <c r="N468" s="68">
        <f t="shared" si="5"/>
        <v>-0.531218084</v>
      </c>
      <c r="O468" s="68">
        <v>0.104718458501</v>
      </c>
      <c r="P468" s="23">
        <v>46209</v>
      </c>
      <c r="R468" s="68">
        <v>0.7484</v>
      </c>
      <c r="S468" s="23">
        <v>46203</v>
      </c>
      <c r="T468" s="23">
        <v>46171</v>
      </c>
      <c r="U468" s="39">
        <v>2937.4</v>
      </c>
      <c r="V468" s="39">
        <v>2246.344</v>
      </c>
      <c r="W468" t="inlineStr">
        <is>
          <t>Above 75 DMA</t>
        </is>
      </c>
    </row>
    <row r="469">
      <c r="A469" s="23">
        <v>46171.0</v>
      </c>
      <c r="B469" s="25" t="str">
        <f t="shared" si="6"/>
        <v>Friday</v>
      </c>
      <c r="C469" s="243" t="s">
        <v>156</v>
      </c>
      <c r="D469" s="31">
        <f>IFERROR(__xludf.DUMMYFUNCTION("GOOGLEFINANCE(""NSE:""&amp;UPPER(TRIM(E469)),""marketcap"")/10000000"),6734.715622)</f>
        <v>6734.715622</v>
      </c>
      <c r="E469" s="244" t="s">
        <v>315</v>
      </c>
      <c r="F469" s="39">
        <f>IFERROR(__xludf.DUMMYFUNCTION("IF(OR(E469="""",A469=""""),"""",
 IF(
   DATE(VALUE(RIGHT(A469,4)),VALUE(MID(A469,4,2)),VALUE(LEFT(A469,2)))&gt;=TODAY(),
   IFERROR(
     GOOGLEFINANCE(""NSE:""&amp;UPPER(TRIM(E469)),""price""),
     ""Not Available""
   ),
   IFERROR(
     INDEX(
       GOOGLE"&amp;"FINANCE(
         ""NSE:""&amp;UPPER(TRIM(E469)),
         ""close"",
         DATE(VALUE(RIGHT(A469,4)),VALUE(MID(A469,4,2)),VALUE(LEFT(A469,2))),
         DATE(VALUE(RIGHT(A469,4)),VALUE(MID(A469,4,2)),VALUE(LEFT(A469,2)))+1
       ),
       2,2
     ),
   "&amp;"  ""Not Available""
   )
 ))"),549.35)</f>
        <v>549.35</v>
      </c>
      <c r="G469" s="42">
        <f>IFERROR(__xludf.DUMMYFUNCTION("IF(E469="""","""",IFERROR(GOOGLEFINANCE(""NSE:""&amp;UPPER(TRIM(E469)),""price""),""Not Available""))"),551.45)</f>
        <v>551.45</v>
      </c>
      <c r="H469" s="53">
        <f t="shared" si="1"/>
        <v>118</v>
      </c>
      <c r="I469" s="58">
        <f t="shared" si="2"/>
        <v>0.003822699554</v>
      </c>
      <c r="J469" s="60">
        <f t="shared" si="3"/>
        <v>382.2699554</v>
      </c>
      <c r="K469" s="7">
        <v>813.0</v>
      </c>
      <c r="L469" s="7">
        <v>255.0</v>
      </c>
      <c r="M469" s="68">
        <f t="shared" si="4"/>
        <v>0.4799308273</v>
      </c>
      <c r="N469" s="68">
        <f t="shared" si="5"/>
        <v>-0.5358150542</v>
      </c>
      <c r="O469" s="68">
        <v>0.122781469009</v>
      </c>
      <c r="P469" s="23">
        <v>46272</v>
      </c>
      <c r="R469" s="68">
        <v>0.665</v>
      </c>
      <c r="S469" s="23">
        <v>46203</v>
      </c>
      <c r="T469" s="23">
        <v>46171</v>
      </c>
      <c r="U469" s="39">
        <v>549.35</v>
      </c>
      <c r="V469" s="39">
        <v>406.033333333</v>
      </c>
      <c r="W469" t="inlineStr">
        <is>
          <t>Above 75 DMA</t>
        </is>
      </c>
    </row>
    <row r="470">
      <c r="A470" s="23">
        <v>46171.0</v>
      </c>
      <c r="B470" s="25" t="str">
        <f t="shared" si="6"/>
        <v>Friday</v>
      </c>
      <c r="C470" s="243" t="s">
        <v>156</v>
      </c>
      <c r="D470" s="31">
        <f>IFERROR(__xludf.DUMMYFUNCTION("GOOGLEFINANCE(""NSE:""&amp;UPPER(TRIM(E470)),""marketcap"")/10000000"),88850.8873)</f>
        <v>88850.8873</v>
      </c>
      <c r="E470" s="244" t="s">
        <v>316</v>
      </c>
      <c r="F470" s="39">
        <f>IFERROR(__xludf.DUMMYFUNCTION("IF(OR(E470="""",A470=""""),"""",
 IF(
   DATE(VALUE(RIGHT(A470,4)),VALUE(MID(A470,4,2)),VALUE(LEFT(A470,2)))&gt;=TODAY(),
   IFERROR(
     GOOGLEFINANCE(""NSE:""&amp;UPPER(TRIM(E470)),""price""),
     ""Not Available""
   ),
   IFERROR(
     INDEX(
       GOOGLE"&amp;"FINANCE(
         ""NSE:""&amp;UPPER(TRIM(E470)),
         ""close"",
         DATE(VALUE(RIGHT(A470,4)),VALUE(MID(A470,4,2)),VALUE(LEFT(A470,2))),
         DATE(VALUE(RIGHT(A470,4)),VALUE(MID(A470,4,2)),VALUE(LEFT(A470,2)))+1
       ),
       2,2
     ),
   "&amp;"  ""Not Available""
   )
 ))"),595.05)</f>
        <v>595.05</v>
      </c>
      <c r="G470" s="42">
        <f>IFERROR(__xludf.DUMMYFUNCTION("IF(E470="""","""",IFERROR(GOOGLEFINANCE(""NSE:""&amp;UPPER(TRIM(E470)),""price""),""Not Available""))"),508.85)</f>
        <v>508.85</v>
      </c>
      <c r="H470" s="53">
        <f t="shared" si="1"/>
        <v>118</v>
      </c>
      <c r="I470" s="58">
        <f t="shared" si="2"/>
        <v>-0.1448617763</v>
      </c>
      <c r="J470" s="60">
        <f t="shared" si="3"/>
        <v>-14486.17763</v>
      </c>
      <c r="K470" s="7">
        <v>570.0</v>
      </c>
      <c r="L470" s="7">
        <v>413.0</v>
      </c>
      <c r="M470" s="68">
        <f t="shared" si="4"/>
        <v>-0.04209730275</v>
      </c>
      <c r="N470" s="68">
        <f t="shared" si="5"/>
        <v>-0.3059406773</v>
      </c>
      <c r="O470" s="68">
        <v>0.0217628770692</v>
      </c>
      <c r="P470" s="23">
        <v>46174</v>
      </c>
      <c r="R470" s="68">
        <v>0.6653</v>
      </c>
      <c r="S470" s="23">
        <v>46203</v>
      </c>
      <c r="T470" s="23">
        <v>46171</v>
      </c>
      <c r="U470" s="39">
        <v>595.05</v>
      </c>
      <c r="V470" s="39">
        <v>515.426</v>
      </c>
      <c r="W470" t="inlineStr">
        <is>
          <t>Above 75 DMA</t>
        </is>
      </c>
    </row>
    <row r="471">
      <c r="A471" s="23">
        <v>46171.0</v>
      </c>
      <c r="B471" s="25" t="str">
        <f t="shared" si="6"/>
        <v>Friday</v>
      </c>
      <c r="C471" s="243" t="s">
        <v>156</v>
      </c>
      <c r="D471" s="31">
        <f>IFERROR(__xludf.DUMMYFUNCTION("GOOGLEFINANCE(""NSE:""&amp;UPPER(TRIM(E471)),""marketcap"")/10000000"),1890.5872061)</f>
        <v>1890.587206</v>
      </c>
      <c r="E471" s="244" t="s">
        <v>318</v>
      </c>
      <c r="F471" s="39">
        <f>IFERROR(__xludf.DUMMYFUNCTION("IF(OR(E471="""",A471=""""),"""",
 IF(
   DATE(VALUE(RIGHT(A471,4)),VALUE(MID(A471,4,2)),VALUE(LEFT(A471,2)))&gt;=TODAY(),
   IFERROR(
     GOOGLEFINANCE(""NSE:""&amp;UPPER(TRIM(E471)),""price""),
     ""Not Available""
   ),
   IFERROR(
     INDEX(
       GOOGLE"&amp;"FINANCE(
         ""NSE:""&amp;UPPER(TRIM(E471)),
         ""close"",
         DATE(VALUE(RIGHT(A471,4)),VALUE(MID(A471,4,2)),VALUE(LEFT(A471,2))),
         DATE(VALUE(RIGHT(A471,4)),VALUE(MID(A471,4,2)),VALUE(LEFT(A471,2)))+1
       ),
       2,2
     ),
   "&amp;"  ""Not Available""
   )
 ))"),367.45)</f>
        <v>367.45</v>
      </c>
      <c r="G471" s="7">
        <v>393.0</v>
      </c>
      <c r="H471" s="53">
        <f t="shared" si="1"/>
        <v>118</v>
      </c>
      <c r="I471" s="58">
        <f t="shared" si="2"/>
        <v>0.06953326983</v>
      </c>
      <c r="J471" s="60">
        <f t="shared" si="3"/>
        <v>6953.326983</v>
      </c>
      <c r="K471" s="7">
        <v>481.0</v>
      </c>
      <c r="L471" s="7">
        <v>233.0</v>
      </c>
      <c r="M471" s="68">
        <f t="shared" si="4"/>
        <v>0.3090216356</v>
      </c>
      <c r="N471" s="68">
        <f t="shared" si="5"/>
        <v>-0.3659001225</v>
      </c>
      <c r="O471" s="68">
        <v>0.224248197034</v>
      </c>
      <c r="P471" s="23">
        <v>46191</v>
      </c>
      <c r="R471" s="68">
        <v>0.6782</v>
      </c>
      <c r="S471" s="23">
        <v>46203</v>
      </c>
      <c r="T471" s="23">
        <v>46171</v>
      </c>
      <c r="U471" s="39">
        <v>343.15</v>
      </c>
      <c r="V471" s="39">
        <v>275.082666667</v>
      </c>
      <c r="W471" t="inlineStr">
        <is>
          <t>Above 75 DMA</t>
        </is>
      </c>
    </row>
    <row r="472">
      <c r="A472" s="23">
        <v>46171.0</v>
      </c>
      <c r="B472" s="25" t="str">
        <f t="shared" si="6"/>
        <v>Friday</v>
      </c>
      <c r="C472" s="243" t="s">
        <v>156</v>
      </c>
      <c r="D472" s="31">
        <f>IFERROR(__xludf.DUMMYFUNCTION("GOOGLEFINANCE(""NSE:""&amp;UPPER(TRIM(E472)),""marketcap"")/10000000"),1326.7551249)</f>
        <v>1326.755125</v>
      </c>
      <c r="E472" s="244" t="s">
        <v>319</v>
      </c>
      <c r="F472" s="39">
        <f>IFERROR(__xludf.DUMMYFUNCTION("IF(OR(E472="""",A472=""""),"""",
 IF(
   DATE(VALUE(RIGHT(A472,4)),VALUE(MID(A472,4,2)),VALUE(LEFT(A472,2)))&gt;=TODAY(),
   IFERROR(
     GOOGLEFINANCE(""NSE:""&amp;UPPER(TRIM(E472)),""price""),
     ""Not Available""
   ),
   IFERROR(
     INDEX(
       GOOGLE"&amp;"FINANCE(
         ""NSE:""&amp;UPPER(TRIM(E472)),
         ""close"",
         DATE(VALUE(RIGHT(A472,4)),VALUE(MID(A472,4,2)),VALUE(LEFT(A472,2))),
         DATE(VALUE(RIGHT(A472,4)),VALUE(MID(A472,4,2)),VALUE(LEFT(A472,2)))+1
       ),
       2,2
     ),
   "&amp;"  ""Not Available""
   )
 ))"),206.27)</f>
        <v>206.27</v>
      </c>
      <c r="G472" s="42">
        <f>IFERROR(__xludf.DUMMYFUNCTION("IF(E472="""","""",IFERROR(GOOGLEFINANCE(""NSE:""&amp;UPPER(TRIM(E472)),""price""),""Not Available""))"),274.56)</f>
        <v>274.56</v>
      </c>
      <c r="H472" s="53">
        <f t="shared" si="1"/>
        <v>118</v>
      </c>
      <c r="I472" s="58">
        <f t="shared" si="2"/>
        <v>0.3310709265</v>
      </c>
      <c r="J472" s="60">
        <f t="shared" si="3"/>
        <v>33107.09265</v>
      </c>
      <c r="K472" s="7">
        <v>327.0</v>
      </c>
      <c r="L472" s="7">
        <v>66.0</v>
      </c>
      <c r="M472" s="68">
        <f t="shared" si="4"/>
        <v>0.5853008193</v>
      </c>
      <c r="N472" s="68">
        <f t="shared" si="5"/>
        <v>-0.6800310273</v>
      </c>
      <c r="O472" s="68">
        <v>0.392349832743</v>
      </c>
      <c r="P472" s="23">
        <v>46288</v>
      </c>
      <c r="R472" s="68">
        <v>0.4442</v>
      </c>
      <c r="S472" s="23">
        <v>46203</v>
      </c>
      <c r="T472" s="23">
        <v>46171</v>
      </c>
      <c r="U472" s="39">
        <v>206.27</v>
      </c>
      <c r="V472" s="39">
        <v>143.6048</v>
      </c>
      <c r="W472" t="inlineStr">
        <is>
          <t>Above 75 DMA</t>
        </is>
      </c>
    </row>
    <row r="473">
      <c r="A473" s="23">
        <v>46168.0</v>
      </c>
      <c r="B473" s="25" t="str">
        <f t="shared" si="6"/>
        <v>Tuesday</v>
      </c>
      <c r="C473" s="243" t="s">
        <v>156</v>
      </c>
      <c r="D473" s="31">
        <f>IFERROR(__xludf.DUMMYFUNCTION("GOOGLEFINANCE(""NSE:""&amp;UPPER(TRIM(E473)),""marketcap"")/10000000"),388.4417899)</f>
        <v>388.4417899</v>
      </c>
      <c r="E473" s="244" t="s">
        <v>320</v>
      </c>
      <c r="F473" s="39">
        <f>IFERROR(__xludf.DUMMYFUNCTION("IF(OR(E473="""",A473=""""),"""",
 IF(
   DATE(VALUE(RIGHT(A473,4)),VALUE(MID(A473,4,2)),VALUE(LEFT(A473,2)))&gt;=TODAY(),
   IFERROR(
     GOOGLEFINANCE(""NSE:""&amp;UPPER(TRIM(E473)),""price""),
     ""Not Available""
   ),
   IFERROR(
     INDEX(
       GOOGLE"&amp;"FINANCE(
         ""NSE:""&amp;UPPER(TRIM(E473)),
         ""close"",
         DATE(VALUE(RIGHT(A473,4)),VALUE(MID(A473,4,2)),VALUE(LEFT(A473,2))),
         DATE(VALUE(RIGHT(A473,4)),VALUE(MID(A473,4,2)),VALUE(LEFT(A473,2)))+1
       ),
       2,2
     ),
   "&amp;"  ""Not Available""
   )
 ))"),44.93)</f>
        <v>44.93</v>
      </c>
      <c r="G473" s="42">
        <f>IFERROR(__xludf.DUMMYFUNCTION("IF(E473="""","""",IFERROR(GOOGLEFINANCE(""NSE:""&amp;UPPER(TRIM(E473)),""price""),""Not Available""))"),56.8)</f>
        <v>56.8</v>
      </c>
      <c r="H473" s="53">
        <f t="shared" si="1"/>
        <v>121</v>
      </c>
      <c r="I473" s="58">
        <f t="shared" si="2"/>
        <v>0.264188738</v>
      </c>
      <c r="J473" s="60">
        <f t="shared" si="3"/>
        <v>26418.8738</v>
      </c>
      <c r="K473" s="7">
        <v>0.0</v>
      </c>
      <c r="L473" s="7">
        <v>19.0</v>
      </c>
      <c r="M473" s="68">
        <f t="shared" si="4"/>
        <v>-1</v>
      </c>
      <c r="N473" s="68">
        <f t="shared" si="5"/>
        <v>-0.5771199644</v>
      </c>
      <c r="O473" s="68">
        <v>0.366570220343</v>
      </c>
      <c r="P473" s="23">
        <v>46272</v>
      </c>
    </row>
    <row r="474">
      <c r="A474" s="23">
        <v>46162.0</v>
      </c>
      <c r="B474" s="25" t="str">
        <f t="shared" si="6"/>
        <v>Wednesday</v>
      </c>
      <c r="C474" s="243" t="s">
        <v>156</v>
      </c>
      <c r="D474" s="31">
        <f>IFERROR(__xludf.DUMMYFUNCTION("GOOGLEFINANCE(""NSE:""&amp;UPPER(TRIM(E474)),""marketcap"")/10000000"),41715.4738)</f>
        <v>41715.4738</v>
      </c>
      <c r="E474" s="244" t="s">
        <v>323</v>
      </c>
      <c r="F474" s="39">
        <f>IFERROR(__xludf.DUMMYFUNCTION("IF(OR(E474="""",A474=""""),"""",
 IF(
   DATE(VALUE(RIGHT(A474,4)),VALUE(MID(A474,4,2)),VALUE(LEFT(A474,2)))&gt;=TODAY(),
   IFERROR(
     GOOGLEFINANCE(""NSE:""&amp;UPPER(TRIM(E474)),""price""),
     ""Not Available""
   ),
   IFERROR(
     INDEX(
       GOOGLE"&amp;"FINANCE(
         ""NSE:""&amp;UPPER(TRIM(E474)),
         ""close"",
         DATE(VALUE(RIGHT(A474,4)),VALUE(MID(A474,4,2)),VALUE(LEFT(A474,2))),
         DATE(VALUE(RIGHT(A474,4)),VALUE(MID(A474,4,2)),VALUE(LEFT(A474,2)))+1
       ),
       2,2
     ),
   "&amp;"  ""Not Available""
   )
 ))"),38285.0)</f>
        <v>38285</v>
      </c>
      <c r="G474" s="42">
        <f>IFERROR(__xludf.DUMMYFUNCTION("IF(E474="""","""",IFERROR(GOOGLEFINANCE(""NSE:""&amp;UPPER(TRIM(E474)),""price""),""Not Available""))"),37410.0)</f>
        <v>37410</v>
      </c>
      <c r="H474" s="53">
        <f t="shared" si="1"/>
        <v>127</v>
      </c>
      <c r="I474" s="58">
        <f t="shared" si="2"/>
        <v>-0.02285490401</v>
      </c>
      <c r="J474" s="60">
        <f t="shared" si="3"/>
        <v>-2285.490401</v>
      </c>
      <c r="K474" s="7">
        <v>35970.0</v>
      </c>
      <c r="L474" s="7">
        <v>23648.0</v>
      </c>
      <c r="M474" s="68">
        <f t="shared" si="4"/>
        <v>-0.06046754604</v>
      </c>
      <c r="N474" s="68">
        <f t="shared" si="5"/>
        <v>-0.3823168343</v>
      </c>
      <c r="O474" s="68">
        <v>0.145487788951</v>
      </c>
      <c r="P474" s="23">
        <v>46204</v>
      </c>
      <c r="Q474" s="68">
        <v>0.116812327315</v>
      </c>
      <c r="R474" s="68">
        <v>0.4289</v>
      </c>
      <c r="S474" s="23">
        <v>46203</v>
      </c>
      <c r="T474" s="23">
        <v>46162</v>
      </c>
      <c r="U474" s="39">
        <v>38285</v>
      </c>
      <c r="V474" s="39">
        <v>34370.4666667</v>
      </c>
      <c r="W474" t="inlineStr">
        <is>
          <t>Above 75 DMA</t>
        </is>
      </c>
    </row>
    <row r="475">
      <c r="A475" s="23">
        <v>46162.0</v>
      </c>
      <c r="B475" s="25" t="str">
        <f t="shared" si="6"/>
        <v>Wednesday</v>
      </c>
      <c r="C475" s="243" t="s">
        <v>156</v>
      </c>
      <c r="D475" s="31">
        <f>IFERROR(__xludf.DUMMYFUNCTION("GOOGLEFINANCE(""NSE:""&amp;UPPER(TRIM(E475)),""marketcap"")/10000000"),536.3475483)</f>
        <v>536.3475483</v>
      </c>
      <c r="E475" s="244" t="s">
        <v>325</v>
      </c>
      <c r="F475" s="39">
        <f>IFERROR(__xludf.DUMMYFUNCTION("IF(OR(E475="""",A475=""""),"""",
 IF(
   DATE(VALUE(RIGHT(A475,4)),VALUE(MID(A475,4,2)),VALUE(LEFT(A475,2)))&gt;=TODAY(),
   IFERROR(
     GOOGLEFINANCE(""NSE:""&amp;UPPER(TRIM(E475)),""price""),
     ""Not Available""
   ),
   IFERROR(
     INDEX(
       GOOGLE"&amp;"FINANCE(
         ""NSE:""&amp;UPPER(TRIM(E475)),
         ""close"",
         DATE(VALUE(RIGHT(A475,4)),VALUE(MID(A475,4,2)),VALUE(LEFT(A475,2))),
         DATE(VALUE(RIGHT(A475,4)),VALUE(MID(A475,4,2)),VALUE(LEFT(A475,2)))+1
       ),
       2,2
     ),
   "&amp;"  ""Not Available""
   )
 ))"),235.48)</f>
        <v>235.48</v>
      </c>
      <c r="G475" s="42">
        <f>IFERROR(__xludf.DUMMYFUNCTION("IF(E475="""","""",IFERROR(GOOGLEFINANCE(""NSE:""&amp;UPPER(TRIM(E475)),""price""),""Not Available""))"),264.17)</f>
        <v>264.17</v>
      </c>
      <c r="H475" s="53">
        <f t="shared" si="1"/>
        <v>127</v>
      </c>
      <c r="I475" s="58">
        <f t="shared" si="2"/>
        <v>0.1218362494</v>
      </c>
      <c r="J475" s="60">
        <f t="shared" si="3"/>
        <v>12183.62494</v>
      </c>
      <c r="K475" s="7">
        <v>336.0</v>
      </c>
      <c r="L475" s="7">
        <v>103.0</v>
      </c>
      <c r="M475" s="68">
        <f t="shared" si="4"/>
        <v>0.4268727705</v>
      </c>
      <c r="N475" s="68">
        <f t="shared" si="5"/>
        <v>-0.5625955495</v>
      </c>
      <c r="O475" s="68">
        <v>0.08276711398</v>
      </c>
      <c r="P475" s="23">
        <v>46177</v>
      </c>
      <c r="R475" s="68">
        <v>0.7465</v>
      </c>
      <c r="S475" s="23">
        <v>46203</v>
      </c>
      <c r="T475" s="23">
        <v>46162</v>
      </c>
      <c r="U475" s="39">
        <v>235.48</v>
      </c>
      <c r="V475" s="39">
        <v>188.749733333</v>
      </c>
      <c r="W475" t="inlineStr">
        <is>
          <t>Above 75 DMA</t>
        </is>
      </c>
    </row>
    <row r="476">
      <c r="A476" s="23">
        <v>46162.0</v>
      </c>
      <c r="B476" s="25" t="str">
        <f t="shared" si="6"/>
        <v>Wednesday</v>
      </c>
      <c r="C476" s="243" t="s">
        <v>156</v>
      </c>
      <c r="D476" s="31">
        <f>IFERROR(__xludf.DUMMYFUNCTION("GOOGLEFINANCE(""NSE:""&amp;UPPER(TRIM(E476)),""marketcap"")/10000000"),5033.0258594)</f>
        <v>5033.025859</v>
      </c>
      <c r="E476" s="244" t="s">
        <v>326</v>
      </c>
      <c r="F476" s="39">
        <f>IFERROR(__xludf.DUMMYFUNCTION("IF(OR(E476="""",A476=""""),"""",
 IF(
   DATE(VALUE(RIGHT(A476,4)),VALUE(MID(A476,4,2)),VALUE(LEFT(A476,2)))&gt;=TODAY(),
   IFERROR(
     GOOGLEFINANCE(""NSE:""&amp;UPPER(TRIM(E476)),""price""),
     ""Not Available""
   ),
   IFERROR(
     INDEX(
       GOOGLE"&amp;"FINANCE(
         ""NSE:""&amp;UPPER(TRIM(E476)),
         ""close"",
         DATE(VALUE(RIGHT(A476,4)),VALUE(MID(A476,4,2)),VALUE(LEFT(A476,2))),
         DATE(VALUE(RIGHT(A476,4)),VALUE(MID(A476,4,2)),VALUE(LEFT(A476,2)))+1
       ),
       2,2
     ),
   "&amp;"  ""Not Available""
   )
 ))"),221.23)</f>
        <v>221.23</v>
      </c>
      <c r="G476" s="42">
        <f>IFERROR(__xludf.DUMMYFUNCTION("IF(E476="""","""",IFERROR(GOOGLEFINANCE(""NSE:""&amp;UPPER(TRIM(E476)),""price""),""Not Available""))"),212.23)</f>
        <v>212.23</v>
      </c>
      <c r="H476" s="53">
        <f t="shared" si="1"/>
        <v>127</v>
      </c>
      <c r="I476" s="58">
        <f t="shared" si="2"/>
        <v>-0.04068164354</v>
      </c>
      <c r="J476" s="60">
        <f t="shared" si="3"/>
        <v>-4068.164354</v>
      </c>
      <c r="K476" s="7">
        <v>363.0</v>
      </c>
      <c r="L476" s="7">
        <v>1482.0</v>
      </c>
      <c r="M476" s="68">
        <f t="shared" si="4"/>
        <v>0.6408262894</v>
      </c>
      <c r="N476" s="68">
        <f t="shared" si="5"/>
        <v>5.698910636</v>
      </c>
      <c r="O476" s="68">
        <v>0.183383808706</v>
      </c>
      <c r="P476" s="23">
        <v>46216</v>
      </c>
      <c r="R476" s="68">
        <v>0.75</v>
      </c>
      <c r="S476" s="23">
        <v>46203</v>
      </c>
      <c r="T476" s="23">
        <v>46162</v>
      </c>
      <c r="U476" s="39">
        <v>221.23</v>
      </c>
      <c r="V476" s="39">
        <v>210.262533333</v>
      </c>
      <c r="W476" t="inlineStr">
        <is>
          <t>Above 75 DMA</t>
        </is>
      </c>
    </row>
    <row r="477">
      <c r="A477" s="23">
        <v>46162.0</v>
      </c>
      <c r="B477" s="25" t="str">
        <f t="shared" si="6"/>
        <v>Wednesday</v>
      </c>
      <c r="C477" s="243" t="s">
        <v>156</v>
      </c>
      <c r="D477" s="31">
        <f>IFERROR(__xludf.DUMMYFUNCTION("GOOGLEFINANCE(""NSE:""&amp;UPPER(TRIM(E477)),""marketcap"")/10000000"),356.8910945)</f>
        <v>356.8910945</v>
      </c>
      <c r="E477" s="244" t="s">
        <v>328</v>
      </c>
      <c r="F477" s="39">
        <f>IFERROR(__xludf.DUMMYFUNCTION("IF(OR(E477="""",A477=""""),"""",
 IF(
   DATE(VALUE(RIGHT(A477,4)),VALUE(MID(A477,4,2)),VALUE(LEFT(A477,2)))&gt;=TODAY(),
   IFERROR(
     GOOGLEFINANCE(""NSE:""&amp;UPPER(TRIM(E477)),""price""),
     ""Not Available""
   ),
   IFERROR(
     INDEX(
       GOOGLE"&amp;"FINANCE(
         ""NSE:""&amp;UPPER(TRIM(E477)),
         ""close"",
         DATE(VALUE(RIGHT(A477,4)),VALUE(MID(A477,4,2)),VALUE(LEFT(A477,2))),
         DATE(VALUE(RIGHT(A477,4)),VALUE(MID(A477,4,2)),VALUE(LEFT(A477,2)))+1
       ),
       2,2
     ),
   "&amp;"  ""Not Available""
   )
 ))"),76.01)</f>
        <v>76.01</v>
      </c>
      <c r="G477" s="42">
        <f>IFERROR(__xludf.DUMMYFUNCTION("IF(E477="""","""",IFERROR(GOOGLEFINANCE(""NSE:""&amp;UPPER(TRIM(E477)),""price""),""Not Available""))"),65.69)</f>
        <v>65.69</v>
      </c>
      <c r="H477" s="53">
        <f t="shared" si="1"/>
        <v>127</v>
      </c>
      <c r="I477" s="58">
        <f t="shared" si="2"/>
        <v>-0.135771609</v>
      </c>
      <c r="J477" s="60">
        <f t="shared" si="3"/>
        <v>-13577.1609</v>
      </c>
      <c r="K477" s="7">
        <v>118.0</v>
      </c>
      <c r="L477" s="7">
        <v>56.0</v>
      </c>
      <c r="M477" s="68">
        <f t="shared" si="4"/>
        <v>0.5524273122</v>
      </c>
      <c r="N477" s="68">
        <f t="shared" si="5"/>
        <v>-0.2632548349</v>
      </c>
      <c r="O477" s="68">
        <v>0.081436653072</v>
      </c>
      <c r="P477" s="23">
        <v>46171</v>
      </c>
      <c r="R477" s="68">
        <v>0.5847</v>
      </c>
      <c r="S477" s="23">
        <v>46203</v>
      </c>
      <c r="T477" s="23">
        <v>46162</v>
      </c>
      <c r="U477" s="39">
        <v>76.01</v>
      </c>
      <c r="V477" s="39">
        <v>67.7425333333</v>
      </c>
      <c r="W477" t="inlineStr">
        <is>
          <t>Above 75 DMA</t>
        </is>
      </c>
    </row>
    <row r="478">
      <c r="A478" s="23">
        <v>46162.0</v>
      </c>
      <c r="B478" s="25" t="str">
        <f t="shared" si="6"/>
        <v>Wednesday</v>
      </c>
      <c r="C478" s="243" t="s">
        <v>156</v>
      </c>
      <c r="D478" s="31">
        <f>IFERROR(__xludf.DUMMYFUNCTION("GOOGLEFINANCE(""NSE:""&amp;UPPER(TRIM(E478)),""marketcap"")/10000000"),30346.2935313)</f>
        <v>30346.29353</v>
      </c>
      <c r="E478" s="244" t="s">
        <v>329</v>
      </c>
      <c r="F478" s="39">
        <f>IFERROR(__xludf.DUMMYFUNCTION("IF(OR(E478="""",A478=""""),"""",
 IF(
   DATE(VALUE(RIGHT(A478,4)),VALUE(MID(A478,4,2)),VALUE(LEFT(A478,2)))&gt;=TODAY(),
   IFERROR(
     GOOGLEFINANCE(""NSE:""&amp;UPPER(TRIM(E478)),""price""),
     ""Not Available""
   ),
   IFERROR(
     INDEX(
       GOOGLE"&amp;"FINANCE(
         ""NSE:""&amp;UPPER(TRIM(E478)),
         ""close"",
         DATE(VALUE(RIGHT(A478,4)),VALUE(MID(A478,4,2)),VALUE(LEFT(A478,2))),
         DATE(VALUE(RIGHT(A478,4)),VALUE(MID(A478,4,2)),VALUE(LEFT(A478,2)))+1
       ),
       2,2
     ),
   "&amp;"  ""Not Available""
   )
 ))"),512.2)</f>
        <v>512.2</v>
      </c>
      <c r="G478" s="42">
        <f>IFERROR(__xludf.DUMMYFUNCTION("IF(E478="""","""",IFERROR(GOOGLEFINANCE(""NSE:""&amp;UPPER(TRIM(E478)),""price""),""Not Available""))"),497.65)</f>
        <v>497.65</v>
      </c>
      <c r="H478" s="53">
        <f t="shared" si="1"/>
        <v>127</v>
      </c>
      <c r="I478" s="58">
        <f t="shared" si="2"/>
        <v>-0.02840687232</v>
      </c>
      <c r="J478" s="60">
        <f t="shared" si="3"/>
        <v>-2840.687232</v>
      </c>
      <c r="K478" s="7">
        <v>725.0</v>
      </c>
      <c r="L478" s="7">
        <v>1244.0</v>
      </c>
      <c r="M478" s="68">
        <f t="shared" si="4"/>
        <v>0.4154627099</v>
      </c>
      <c r="N478" s="68">
        <f t="shared" si="5"/>
        <v>1.428738774</v>
      </c>
      <c r="O478" s="68">
        <v>0.215931276845</v>
      </c>
      <c r="P478" s="23">
        <v>46232</v>
      </c>
      <c r="R478" s="68">
        <v>0.743</v>
      </c>
      <c r="S478" s="23">
        <v>46203</v>
      </c>
      <c r="T478" s="23">
        <v>46162</v>
      </c>
      <c r="U478" s="39">
        <v>512.2</v>
      </c>
      <c r="V478" s="39">
        <v>498.958666667</v>
      </c>
      <c r="W478" t="inlineStr">
        <is>
          <t>Above 75 DMA</t>
        </is>
      </c>
    </row>
    <row r="479">
      <c r="A479" s="23">
        <v>46162.0</v>
      </c>
      <c r="B479" s="25" t="str">
        <f t="shared" si="6"/>
        <v>Wednesday</v>
      </c>
      <c r="C479" s="243" t="s">
        <v>156</v>
      </c>
      <c r="D479" s="31">
        <f>IFERROR(__xludf.DUMMYFUNCTION("GOOGLEFINANCE(""NSE:""&amp;UPPER(TRIM(E479)),""marketcap"")/10000000"),3812.031179)</f>
        <v>3812.031179</v>
      </c>
      <c r="E479" s="244" t="s">
        <v>330</v>
      </c>
      <c r="F479" s="39">
        <f>IFERROR(__xludf.DUMMYFUNCTION("IF(OR(E479="""",A479=""""),"""",
 IF(
   DATE(VALUE(RIGHT(A479,4)),VALUE(MID(A479,4,2)),VALUE(LEFT(A479,2)))&gt;=TODAY(),
   IFERROR(
     GOOGLEFINANCE(""NSE:""&amp;UPPER(TRIM(E479)),""price""),
     ""Not Available""
   ),
   IFERROR(
     INDEX(
       GOOGLE"&amp;"FINANCE(
         ""NSE:""&amp;UPPER(TRIM(E479)),
         ""close"",
         DATE(VALUE(RIGHT(A479,4)),VALUE(MID(A479,4,2)),VALUE(LEFT(A479,2))),
         DATE(VALUE(RIGHT(A479,4)),VALUE(MID(A479,4,2)),VALUE(LEFT(A479,2)))+1
       ),
       2,2
     ),
   "&amp;"  ""Not Available""
   )
 ))"),3175.9)</f>
        <v>3175.9</v>
      </c>
      <c r="G479" s="42">
        <f>IFERROR(__xludf.DUMMYFUNCTION("IF(E479="""","""",IFERROR(GOOGLEFINANCE(""NSE:""&amp;UPPER(TRIM(E479)),""price""),""Not Available""))"),3627.2)</f>
        <v>3627.2</v>
      </c>
      <c r="H479" s="53">
        <f t="shared" si="1"/>
        <v>127</v>
      </c>
      <c r="I479" s="58">
        <f t="shared" si="2"/>
        <v>0.1421014516</v>
      </c>
      <c r="J479" s="60">
        <f t="shared" si="3"/>
        <v>14210.14516</v>
      </c>
      <c r="K479" s="7">
        <v>5926.0</v>
      </c>
      <c r="L479" s="7">
        <v>1958.0</v>
      </c>
      <c r="M479" s="68">
        <f t="shared" si="4"/>
        <v>0.8659277685</v>
      </c>
      <c r="N479" s="68">
        <f t="shared" si="5"/>
        <v>-0.3834818477</v>
      </c>
      <c r="O479" s="68">
        <v>0.440473566548</v>
      </c>
      <c r="P479" s="23">
        <v>46196</v>
      </c>
      <c r="R479" s="68">
        <v>0.7187</v>
      </c>
      <c r="S479" s="23">
        <v>46203</v>
      </c>
      <c r="T479" s="23">
        <v>46162</v>
      </c>
      <c r="U479" s="39">
        <v>3175.9</v>
      </c>
      <c r="V479" s="39">
        <v>3023.616</v>
      </c>
      <c r="W479" t="inlineStr">
        <is>
          <t>Above 75 DMA</t>
        </is>
      </c>
    </row>
    <row r="480">
      <c r="A480" s="23">
        <v>46161.0</v>
      </c>
      <c r="B480" s="25" t="str">
        <f t="shared" si="6"/>
        <v>Tuesday</v>
      </c>
      <c r="C480" s="243" t="s">
        <v>156</v>
      </c>
      <c r="D480" s="31">
        <f>IFERROR(__xludf.DUMMYFUNCTION("GOOGLEFINANCE(""NSE:""&amp;UPPER(TRIM(E480)),""marketcap"")/10000000"),59255.0596103)</f>
        <v>59255.05961</v>
      </c>
      <c r="E480" s="244" t="s">
        <v>331</v>
      </c>
      <c r="F480" s="39">
        <f>IFERROR(__xludf.DUMMYFUNCTION("IF(OR(E480="""",A480=""""),"""",
 IF(
   DATE(VALUE(RIGHT(A480,4)),VALUE(MID(A480,4,2)),VALUE(LEFT(A480,2)))&gt;=TODAY(),
   IFERROR(
     GOOGLEFINANCE(""NSE:""&amp;UPPER(TRIM(E480)),""price""),
     ""Not Available""
   ),
   IFERROR(
     INDEX(
       GOOGLE"&amp;"FINANCE(
         ""NSE:""&amp;UPPER(TRIM(E480)),
         ""close"",
         DATE(VALUE(RIGHT(A480,4)),VALUE(MID(A480,4,2)),VALUE(LEFT(A480,2))),
         DATE(VALUE(RIGHT(A480,4)),VALUE(MID(A480,4,2)),VALUE(LEFT(A480,2)))+1
       ),
       2,2
     ),
   "&amp;"  ""Not Available""
   )
 ))"),1804.8)</f>
        <v>1804.8</v>
      </c>
      <c r="G480" s="42">
        <f>IFERROR(__xludf.DUMMYFUNCTION("IF(E480="""","""",IFERROR(GOOGLEFINANCE(""NSE:""&amp;UPPER(TRIM(E480)),""price""),""Not Available""))"),1282.3)</f>
        <v>1282.3</v>
      </c>
      <c r="H480" s="53">
        <f t="shared" si="1"/>
        <v>128</v>
      </c>
      <c r="I480" s="58">
        <f t="shared" si="2"/>
        <v>-0.2895057624</v>
      </c>
      <c r="J480" s="60">
        <f t="shared" si="3"/>
        <v>-28950.57624</v>
      </c>
      <c r="K480" s="7">
        <v>1471.0</v>
      </c>
      <c r="L480" s="7">
        <v>1282.0</v>
      </c>
      <c r="M480" s="68">
        <f t="shared" si="4"/>
        <v>-0.1849512411</v>
      </c>
      <c r="N480" s="68">
        <f t="shared" si="5"/>
        <v>-0.2896719858</v>
      </c>
      <c r="O480" s="68">
        <v>0.0554632092199</v>
      </c>
      <c r="P480" s="23">
        <v>46288</v>
      </c>
      <c r="R480" s="68">
        <v>0</v>
      </c>
      <c r="S480" s="23">
        <v>46203</v>
      </c>
      <c r="T480" s="23">
        <v>46161</v>
      </c>
      <c r="U480" s="39">
        <v>1804.8</v>
      </c>
      <c r="V480" s="39">
        <v>1548.05866667</v>
      </c>
      <c r="W480" t="inlineStr">
        <is>
          <t>Above 75 DMA</t>
        </is>
      </c>
    </row>
    <row r="481">
      <c r="A481" s="23">
        <v>46161.0</v>
      </c>
      <c r="B481" s="25" t="str">
        <f t="shared" si="6"/>
        <v>Tuesday</v>
      </c>
      <c r="C481" s="243" t="s">
        <v>156</v>
      </c>
      <c r="D481" s="31">
        <f>IFERROR(__xludf.DUMMYFUNCTION("GOOGLEFINANCE(""NSE:""&amp;UPPER(TRIM(E481)),""marketcap"")/10000000"),9422.0535764)</f>
        <v>9422.053576</v>
      </c>
      <c r="E481" s="244" t="s">
        <v>333</v>
      </c>
      <c r="F481" s="39">
        <f>IFERROR(__xludf.DUMMYFUNCTION("IF(OR(E481="""",A481=""""),"""",
 IF(
   DATE(VALUE(RIGHT(A481,4)),VALUE(MID(A481,4,2)),VALUE(LEFT(A481,2)))&gt;=TODAY(),
   IFERROR(
     GOOGLEFINANCE(""NSE:""&amp;UPPER(TRIM(E481)),""price""),
     ""Not Available""
   ),
   IFERROR(
     INDEX(
       GOOGLE"&amp;"FINANCE(
         ""NSE:""&amp;UPPER(TRIM(E481)),
         ""close"",
         DATE(VALUE(RIGHT(A481,4)),VALUE(MID(A481,4,2)),VALUE(LEFT(A481,2))),
         DATE(VALUE(RIGHT(A481,4)),VALUE(MID(A481,4,2)),VALUE(LEFT(A481,2)))+1
       ),
       2,2
     ),
   "&amp;"  ""Not Available""
   )
 ))"),269.43)</f>
        <v>269.43</v>
      </c>
      <c r="G481" s="42">
        <f>IFERROR(__xludf.DUMMYFUNCTION("IF(E481="""","""",IFERROR(GOOGLEFINANCE(""NSE:""&amp;UPPER(TRIM(E481)),""price""),""Not Available""))"),333.45)</f>
        <v>333.45</v>
      </c>
      <c r="H481" s="53">
        <f t="shared" si="1"/>
        <v>128</v>
      </c>
      <c r="I481" s="58">
        <f t="shared" si="2"/>
        <v>0.237612738</v>
      </c>
      <c r="J481" s="60">
        <f t="shared" si="3"/>
        <v>23761.2738</v>
      </c>
      <c r="K481" s="7">
        <v>429.0</v>
      </c>
      <c r="L481" s="7">
        <v>90.0</v>
      </c>
      <c r="M481" s="68">
        <f t="shared" si="4"/>
        <v>0.5922503062</v>
      </c>
      <c r="N481" s="68">
        <f t="shared" si="5"/>
        <v>-0.6659614742</v>
      </c>
      <c r="O481" s="68">
        <v>0.497049326356</v>
      </c>
      <c r="P481" s="23">
        <v>46266</v>
      </c>
      <c r="R481" s="68">
        <v>0.7008</v>
      </c>
      <c r="S481" s="23">
        <v>46203</v>
      </c>
      <c r="T481" s="23">
        <v>46161</v>
      </c>
      <c r="U481" s="39">
        <v>269.43</v>
      </c>
      <c r="V481" s="39">
        <v>169.259466667</v>
      </c>
      <c r="W481" t="inlineStr">
        <is>
          <t>Above 75 DMA</t>
        </is>
      </c>
    </row>
    <row r="482">
      <c r="A482" s="23">
        <v>46161.0</v>
      </c>
      <c r="B482" s="25" t="str">
        <f t="shared" si="6"/>
        <v>Tuesday</v>
      </c>
      <c r="C482" s="243" t="s">
        <v>156</v>
      </c>
      <c r="D482" s="31">
        <f>IFERROR(__xludf.DUMMYFUNCTION("GOOGLEFINANCE(""NSE:""&amp;UPPER(TRIM(E482)),""marketcap"")/10000000"),48074.2448605)</f>
        <v>48074.24486</v>
      </c>
      <c r="E482" s="244" t="s">
        <v>298</v>
      </c>
      <c r="F482" s="39">
        <f>IFERROR(__xludf.DUMMYFUNCTION("IF(OR(E482="""",A482=""""),"""",
 IF(
   DATE(VALUE(RIGHT(A482,4)),VALUE(MID(A482,4,2)),VALUE(LEFT(A482,2)))&gt;=TODAY(),
   IFERROR(
     GOOGLEFINANCE(""NSE:""&amp;UPPER(TRIM(E482)),""price""),
     ""Not Available""
   ),
   IFERROR(
     INDEX(
       GOOGLE"&amp;"FINANCE(
         ""NSE:""&amp;UPPER(TRIM(E482)),
         ""close"",
         DATE(VALUE(RIGHT(A482,4)),VALUE(MID(A482,4,2)),VALUE(LEFT(A482,2))),
         DATE(VALUE(RIGHT(A482,4)),VALUE(MID(A482,4,2)),VALUE(LEFT(A482,2)))+1
       ),
       2,2
     ),
   "&amp;"  ""Not Available""
   )
 ))"),2251.1)</f>
        <v>2251.1</v>
      </c>
      <c r="G482" s="42">
        <f>IFERROR(__xludf.DUMMYFUNCTION("IF(E482="""","""",IFERROR(GOOGLEFINANCE(""NSE:""&amp;UPPER(TRIM(E482)),""price""),""Not Available""))"),2912.7)</f>
        <v>2912.7</v>
      </c>
      <c r="H482" s="53">
        <f t="shared" si="1"/>
        <v>128</v>
      </c>
      <c r="I482" s="58">
        <f t="shared" si="2"/>
        <v>0.2939007596</v>
      </c>
      <c r="J482" s="60">
        <f t="shared" si="3"/>
        <v>29390.07596</v>
      </c>
      <c r="K482" s="7">
        <v>2246.0</v>
      </c>
      <c r="L482" s="7">
        <v>1806.0</v>
      </c>
      <c r="M482" s="68">
        <f t="shared" si="4"/>
        <v>-0.00226555906</v>
      </c>
      <c r="N482" s="68">
        <f t="shared" si="5"/>
        <v>-0.1977255564</v>
      </c>
      <c r="O482" s="68">
        <v>0.351339345209</v>
      </c>
      <c r="P482" s="23">
        <v>46272</v>
      </c>
      <c r="R482" s="68">
        <v>0.5177</v>
      </c>
      <c r="S482" s="23">
        <v>46203</v>
      </c>
      <c r="T482" s="23">
        <v>46161</v>
      </c>
      <c r="U482" s="39">
        <v>2251.1</v>
      </c>
      <c r="V482" s="39">
        <v>1783.436</v>
      </c>
      <c r="W482" t="inlineStr">
        <is>
          <t>Above 75 DMA</t>
        </is>
      </c>
    </row>
    <row r="483">
      <c r="A483" s="23">
        <v>46160.0</v>
      </c>
      <c r="B483" s="25" t="str">
        <f t="shared" si="6"/>
        <v>Monday</v>
      </c>
      <c r="C483" s="243" t="s">
        <v>156</v>
      </c>
      <c r="D483" s="31">
        <f>IFERROR(__xludf.DUMMYFUNCTION("GOOGLEFINANCE(""NSE:""&amp;UPPER(TRIM(E483)),""marketcap"")/10000000"),20853.95)</f>
        <v>20853.95</v>
      </c>
      <c r="E483" s="244" t="s">
        <v>338</v>
      </c>
      <c r="F483" s="39">
        <f>IFERROR(__xludf.DUMMYFUNCTION("IF(OR(E483="""",A483=""""),"""",
 IF(
   DATE(VALUE(RIGHT(A483,4)),VALUE(MID(A483,4,2)),VALUE(LEFT(A483,2)))&gt;=TODAY(),
   IFERROR(
     GOOGLEFINANCE(""NSE:""&amp;UPPER(TRIM(E483)),""price""),
     ""Not Available""
   ),
   IFERROR(
     INDEX(
       GOOGLE"&amp;"FINANCE(
         ""NSE:""&amp;UPPER(TRIM(E483)),
         ""close"",
         DATE(VALUE(RIGHT(A483,4)),VALUE(MID(A483,4,2)),VALUE(LEFT(A483,2))),
         DATE(VALUE(RIGHT(A483,4)),VALUE(MID(A483,4,2)),VALUE(LEFT(A483,2)))+1
       ),
       2,2
     ),
   "&amp;"  ""Not Available""
   )
 ))"),138.67)</f>
        <v>138.67</v>
      </c>
      <c r="G483" s="42">
        <f>IFERROR(__xludf.DUMMYFUNCTION("IF(E483="""","""",IFERROR(GOOGLEFINANCE(""NSE:""&amp;UPPER(TRIM(E483)),""price""),""Not Available""))"),218.33)</f>
        <v>218.33</v>
      </c>
      <c r="H483" s="53">
        <f t="shared" si="1"/>
        <v>129</v>
      </c>
      <c r="I483" s="58">
        <f t="shared" si="2"/>
        <v>0.5744573448</v>
      </c>
      <c r="J483" s="60">
        <f t="shared" si="3"/>
        <v>57445.73448</v>
      </c>
      <c r="K483" s="7">
        <v>123.0</v>
      </c>
      <c r="L483" s="7">
        <v>86.0</v>
      </c>
      <c r="M483" s="68">
        <f t="shared" si="4"/>
        <v>-0.1130020913</v>
      </c>
      <c r="N483" s="68">
        <f t="shared" si="5"/>
        <v>-0.3798226004</v>
      </c>
      <c r="O483" s="68">
        <v>0.68024807096</v>
      </c>
      <c r="P483" s="23">
        <v>46288</v>
      </c>
      <c r="R483" s="68">
        <v>0.6636</v>
      </c>
      <c r="S483" s="23">
        <v>46203</v>
      </c>
      <c r="T483" s="23">
        <v>46160</v>
      </c>
      <c r="U483" s="39">
        <v>138.67</v>
      </c>
      <c r="V483" s="39">
        <v>127.267733333</v>
      </c>
      <c r="W483" t="inlineStr">
        <is>
          <t>Above 75 DMA</t>
        </is>
      </c>
    </row>
    <row r="484">
      <c r="A484" s="23">
        <v>46160.0</v>
      </c>
      <c r="B484" s="25" t="str">
        <f t="shared" si="6"/>
        <v>Monday</v>
      </c>
      <c r="C484" s="243" t="s">
        <v>156</v>
      </c>
      <c r="D484" s="31">
        <f>IFERROR(__xludf.DUMMYFUNCTION("GOOGLEFINANCE(""NSE:""&amp;UPPER(TRIM(E484)),""marketcap"")/10000000"),17544.8134721)</f>
        <v>17544.81347</v>
      </c>
      <c r="E484" s="244" t="s">
        <v>339</v>
      </c>
      <c r="F484" s="39">
        <f>IFERROR(__xludf.DUMMYFUNCTION("IF(OR(E484="""",A484=""""),"""",
 IF(
   DATE(VALUE(RIGHT(A484,4)),VALUE(MID(A484,4,2)),VALUE(LEFT(A484,2)))&gt;=TODAY(),
   IFERROR(
     GOOGLEFINANCE(""NSE:""&amp;UPPER(TRIM(E484)),""price""),
     ""Not Available""
   ),
   IFERROR(
     INDEX(
       GOOGLE"&amp;"FINANCE(
         ""NSE:""&amp;UPPER(TRIM(E484)),
         ""close"",
         DATE(VALUE(RIGHT(A484,4)),VALUE(MID(A484,4,2)),VALUE(LEFT(A484,2))),
         DATE(VALUE(RIGHT(A484,4)),VALUE(MID(A484,4,2)),VALUE(LEFT(A484,2)))+1
       ),
       2,2
     ),
   "&amp;"  ""Not Available""
   )
 ))"),596.65)</f>
        <v>596.65</v>
      </c>
      <c r="G484" s="42">
        <f>IFERROR(__xludf.DUMMYFUNCTION("IF(E484="""","""",IFERROR(GOOGLEFINANCE(""NSE:""&amp;UPPER(TRIM(E484)),""price""),""Not Available""))"),551.95)</f>
        <v>551.95</v>
      </c>
      <c r="H484" s="53">
        <f t="shared" si="1"/>
        <v>129</v>
      </c>
      <c r="I484" s="58">
        <f t="shared" si="2"/>
        <v>-0.07491829381</v>
      </c>
      <c r="J484" s="60">
        <f t="shared" si="3"/>
        <v>-7491.829381</v>
      </c>
      <c r="K484" s="7">
        <v>774.0</v>
      </c>
      <c r="L484" s="7">
        <v>343.0</v>
      </c>
      <c r="M484" s="68">
        <f t="shared" si="4"/>
        <v>0.2972429397</v>
      </c>
      <c r="N484" s="68">
        <f t="shared" si="5"/>
        <v>-0.4251236068</v>
      </c>
      <c r="O484" s="68">
        <v>0.320036872538</v>
      </c>
      <c r="P484" s="23">
        <v>46171</v>
      </c>
      <c r="R484" s="68">
        <v>0.5584</v>
      </c>
      <c r="S484" s="23">
        <v>46203</v>
      </c>
      <c r="T484" s="23">
        <v>46160</v>
      </c>
      <c r="U484" s="39">
        <v>596.65</v>
      </c>
      <c r="V484" s="39">
        <v>503.849333333</v>
      </c>
      <c r="W484" t="inlineStr">
        <is>
          <t>Above 75 DMA</t>
        </is>
      </c>
    </row>
    <row r="485">
      <c r="A485" s="23">
        <v>46157.0</v>
      </c>
      <c r="B485" s="25" t="str">
        <f t="shared" si="6"/>
        <v>Friday</v>
      </c>
      <c r="C485" s="243" t="s">
        <v>156</v>
      </c>
      <c r="D485" s="31">
        <f>IFERROR(__xludf.DUMMYFUNCTION("GOOGLEFINANCE(""NSE:""&amp;UPPER(TRIM(E485)),""marketcap"")/10000000"),117306.4704)</f>
        <v>117306.4704</v>
      </c>
      <c r="E485" s="244" t="s">
        <v>341</v>
      </c>
      <c r="F485" s="39">
        <f>IFERROR(__xludf.DUMMYFUNCTION("IF(OR(E485="""",A485=""""),"""",
 IF(
   DATE(VALUE(RIGHT(A485,4)),VALUE(MID(A485,4,2)),VALUE(LEFT(A485,2)))&gt;=TODAY(),
   IFERROR(
     GOOGLEFINANCE(""NSE:""&amp;UPPER(TRIM(E485)),""price""),
     ""Not Available""
   ),
   IFERROR(
     INDEX(
       GOOGLE"&amp;"FINANCE(
         ""NSE:""&amp;UPPER(TRIM(E485)),
         ""close"",
         DATE(VALUE(RIGHT(A485,4)),VALUE(MID(A485,4,2)),VALUE(LEFT(A485,2))),
         DATE(VALUE(RIGHT(A485,4)),VALUE(MID(A485,4,2)),VALUE(LEFT(A485,2)))+1
       ),
       2,2
     ),
   "&amp;"  ""Not Available""
   )
 ))"),1011.7)</f>
        <v>1011.7</v>
      </c>
      <c r="G485" s="42">
        <f>IFERROR(__xludf.DUMMYFUNCTION("IF(E485="""","""",IFERROR(GOOGLEFINANCE(""NSE:""&amp;UPPER(TRIM(E485)),""price""),""Not Available""))"),1176.0)</f>
        <v>1176</v>
      </c>
      <c r="H485" s="53">
        <f t="shared" si="1"/>
        <v>132</v>
      </c>
      <c r="I485" s="58">
        <f t="shared" si="2"/>
        <v>0.1623999209</v>
      </c>
      <c r="J485" s="60">
        <f t="shared" si="3"/>
        <v>16239.99209</v>
      </c>
      <c r="K485" s="7">
        <v>1061.0</v>
      </c>
      <c r="L485" s="7">
        <v>856.0</v>
      </c>
      <c r="M485" s="68">
        <f t="shared" si="4"/>
        <v>0.04872986063</v>
      </c>
      <c r="N485" s="68">
        <f t="shared" si="5"/>
        <v>-0.1538993773</v>
      </c>
      <c r="O485" s="68">
        <v>0.191064544826</v>
      </c>
      <c r="P485" s="23">
        <v>46245</v>
      </c>
      <c r="R485" s="68">
        <v>0.7501</v>
      </c>
      <c r="S485" s="23">
        <v>46203</v>
      </c>
      <c r="T485" s="23">
        <v>46157</v>
      </c>
      <c r="U485" s="39">
        <v>1011.7</v>
      </c>
      <c r="V485" s="39">
        <v>909.838666667</v>
      </c>
      <c r="W485" t="inlineStr">
        <is>
          <t>Above 75 DMA</t>
        </is>
      </c>
    </row>
    <row r="486">
      <c r="A486" s="23">
        <v>46157.0</v>
      </c>
      <c r="B486" s="25" t="str">
        <f t="shared" si="6"/>
        <v>Friday</v>
      </c>
      <c r="C486" s="243" t="s">
        <v>156</v>
      </c>
      <c r="D486" s="31">
        <f>IFERROR(__xludf.DUMMYFUNCTION("GOOGLEFINANCE(""NSE:""&amp;UPPER(TRIM(E486)),""marketcap"")/10000000"),689.6099853)</f>
        <v>689.6099853</v>
      </c>
      <c r="E486" s="244" t="s">
        <v>342</v>
      </c>
      <c r="F486" s="39">
        <f>IFERROR(__xludf.DUMMYFUNCTION("IF(OR(E486="""",A486=""""),"""",
 IF(
   DATE(VALUE(RIGHT(A486,4)),VALUE(MID(A486,4,2)),VALUE(LEFT(A486,2)))&gt;=TODAY(),
   IFERROR(
     GOOGLEFINANCE(""NSE:""&amp;UPPER(TRIM(E486)),""price""),
     ""Not Available""
   ),
   IFERROR(
     INDEX(
       GOOGLE"&amp;"FINANCE(
         ""NSE:""&amp;UPPER(TRIM(E486)),
         ""close"",
         DATE(VALUE(RIGHT(A486,4)),VALUE(MID(A486,4,2)),VALUE(LEFT(A486,2))),
         DATE(VALUE(RIGHT(A486,4)),VALUE(MID(A486,4,2)),VALUE(LEFT(A486,2)))+1
       ),
       2,2
     ),
   "&amp;"  ""Not Available""
   )
 ))"),223.1)</f>
        <v>223.1</v>
      </c>
      <c r="G486" s="42">
        <f>IFERROR(__xludf.DUMMYFUNCTION("IF(E486="""","""",IFERROR(GOOGLEFINANCE(""NSE:""&amp;UPPER(TRIM(E486)),""price""),""Not Available""))"),229.87)</f>
        <v>229.87</v>
      </c>
      <c r="H486" s="53">
        <f t="shared" si="1"/>
        <v>132</v>
      </c>
      <c r="I486" s="58">
        <f t="shared" si="2"/>
        <v>0.03034513671</v>
      </c>
      <c r="J486" s="60">
        <f t="shared" si="3"/>
        <v>3034.513671</v>
      </c>
      <c r="K486" s="7">
        <v>351.0</v>
      </c>
      <c r="L486" s="7">
        <v>105.0</v>
      </c>
      <c r="M486" s="68">
        <f t="shared" si="4"/>
        <v>0.5732855222</v>
      </c>
      <c r="N486" s="68">
        <f t="shared" si="5"/>
        <v>-0.5293590318</v>
      </c>
      <c r="O486" s="68">
        <v>0.187808157777</v>
      </c>
      <c r="P486" s="23">
        <v>46274</v>
      </c>
      <c r="R486" s="68">
        <v>0.6713</v>
      </c>
      <c r="S486" s="23">
        <v>46203</v>
      </c>
      <c r="T486" s="23">
        <v>46157</v>
      </c>
      <c r="U486" s="39">
        <v>223.1</v>
      </c>
      <c r="V486" s="39">
        <v>185.4688</v>
      </c>
      <c r="W486" t="inlineStr">
        <is>
          <t>Above 75 DMA</t>
        </is>
      </c>
    </row>
    <row r="487">
      <c r="A487" s="23">
        <v>46157.0</v>
      </c>
      <c r="B487" s="25" t="str">
        <f t="shared" si="6"/>
        <v>Friday</v>
      </c>
      <c r="C487" s="243" t="s">
        <v>156</v>
      </c>
      <c r="D487" s="31">
        <f>IFERROR(__xludf.DUMMYFUNCTION("GOOGLEFINANCE(""NSE:""&amp;UPPER(TRIM(E487)),""marketcap"")/10000000"),447.227776)</f>
        <v>447.227776</v>
      </c>
      <c r="E487" s="244" t="s">
        <v>345</v>
      </c>
      <c r="F487" s="39">
        <f>IFERROR(__xludf.DUMMYFUNCTION("IF(OR(E487="""",A487=""""),"""",
 IF(
   DATE(VALUE(RIGHT(A487,4)),VALUE(MID(A487,4,2)),VALUE(LEFT(A487,2)))&gt;=TODAY(),
   IFERROR(
     GOOGLEFINANCE(""NSE:""&amp;UPPER(TRIM(E487)),""price""),
     ""Not Available""
   ),
   IFERROR(
     INDEX(
       GOOGLE"&amp;"FINANCE(
         ""NSE:""&amp;UPPER(TRIM(E487)),
         ""close"",
         DATE(VALUE(RIGHT(A487,4)),VALUE(MID(A487,4,2)),VALUE(LEFT(A487,2))),
         DATE(VALUE(RIGHT(A487,4)),VALUE(MID(A487,4,2)),VALUE(LEFT(A487,2)))+1
       ),
       2,2
     ),
   "&amp;"  ""Not Available""
   )
 ))"),423.25)</f>
        <v>423.25</v>
      </c>
      <c r="G487" s="42">
        <f>IFERROR(__xludf.DUMMYFUNCTION("IF(E487="""","""",IFERROR(GOOGLEFINANCE(""NSE:""&amp;UPPER(TRIM(E487)),""price""),""Not Available""))"),336.1)</f>
        <v>336.1</v>
      </c>
      <c r="H487" s="53">
        <f t="shared" si="1"/>
        <v>132</v>
      </c>
      <c r="I487" s="58">
        <f t="shared" si="2"/>
        <v>-0.2059066745</v>
      </c>
      <c r="J487" s="60">
        <f t="shared" si="3"/>
        <v>-20590.66745</v>
      </c>
      <c r="K487" s="7">
        <v>577.0</v>
      </c>
      <c r="L487" s="7">
        <v>241.0</v>
      </c>
      <c r="M487" s="68">
        <f t="shared" si="4"/>
        <v>0.3632604843</v>
      </c>
      <c r="N487" s="68">
        <f t="shared" si="5"/>
        <v>-0.4305965741</v>
      </c>
      <c r="O487" s="68">
        <v>0.239929119905</v>
      </c>
      <c r="P487" s="23">
        <v>46164</v>
      </c>
      <c r="R487" s="68">
        <v>0.6909</v>
      </c>
      <c r="S487" s="23">
        <v>46203</v>
      </c>
      <c r="T487" s="23">
        <v>46157</v>
      </c>
      <c r="U487" s="39">
        <v>423.25</v>
      </c>
      <c r="V487" s="39">
        <v>332.960666667</v>
      </c>
      <c r="W487" t="inlineStr">
        <is>
          <t>Above 75 DMA</t>
        </is>
      </c>
    </row>
    <row r="488">
      <c r="A488" s="23">
        <v>46156.0</v>
      </c>
      <c r="B488" s="25" t="str">
        <f t="shared" si="6"/>
        <v>Thursday</v>
      </c>
      <c r="C488" s="243" t="s">
        <v>156</v>
      </c>
      <c r="D488" s="31">
        <f>IFERROR(__xludf.DUMMYFUNCTION("GOOGLEFINANCE(""NSE:""&amp;UPPER(TRIM(E488)),""marketcap"")/10000000"),369.539676)</f>
        <v>369.539676</v>
      </c>
      <c r="E488" s="244" t="s">
        <v>346</v>
      </c>
      <c r="F488" s="39">
        <f>IFERROR(__xludf.DUMMYFUNCTION("IF(OR(E488="""",A488=""""),"""",
 IF(
   DATE(VALUE(RIGHT(A488,4)),VALUE(MID(A488,4,2)),VALUE(LEFT(A488,2)))&gt;=TODAY(),
   IFERROR(
     GOOGLEFINANCE(""NSE:""&amp;UPPER(TRIM(E488)),""price""),
     ""Not Available""
   ),
   IFERROR(
     INDEX(
       GOOGLE"&amp;"FINANCE(
         ""NSE:""&amp;UPPER(TRIM(E488)),
         ""close"",
         DATE(VALUE(RIGHT(A488,4)),VALUE(MID(A488,4,2)),VALUE(LEFT(A488,2))),
         DATE(VALUE(RIGHT(A488,4)),VALUE(MID(A488,4,2)),VALUE(LEFT(A488,2)))+1
       ),
       2,2
     ),
   "&amp;"  ""Not Available""
   )
 ))"),182.34)</f>
        <v>182.34</v>
      </c>
      <c r="G488" s="42">
        <f>IFERROR(__xludf.DUMMYFUNCTION("IF(E488="""","""",IFERROR(GOOGLEFINANCE(""NSE:""&amp;UPPER(TRIM(E488)),""price""),""Not Available""))"),148.73)</f>
        <v>148.73</v>
      </c>
      <c r="H488" s="53">
        <f t="shared" si="1"/>
        <v>133</v>
      </c>
      <c r="I488" s="58">
        <f t="shared" si="2"/>
        <v>-0.1843259844</v>
      </c>
      <c r="J488" s="60">
        <f t="shared" si="3"/>
        <v>-18432.59844</v>
      </c>
      <c r="K488" s="7">
        <v>277.0</v>
      </c>
      <c r="L488" s="7">
        <v>118.0</v>
      </c>
      <c r="M488" s="68">
        <f t="shared" si="4"/>
        <v>0.519140068</v>
      </c>
      <c r="N488" s="68">
        <f t="shared" si="5"/>
        <v>-0.3528572996</v>
      </c>
      <c r="O488" s="68">
        <v>0.069430733794</v>
      </c>
      <c r="P488" s="23">
        <v>46167</v>
      </c>
      <c r="R488" s="68">
        <v>0.6393</v>
      </c>
      <c r="S488" s="23">
        <v>46203</v>
      </c>
      <c r="T488" s="23">
        <v>46156</v>
      </c>
      <c r="U488" s="39">
        <v>182.34</v>
      </c>
      <c r="V488" s="39">
        <v>167.485066667</v>
      </c>
      <c r="W488" t="inlineStr">
        <is>
          <t>Above 75 DMA</t>
        </is>
      </c>
    </row>
    <row r="489">
      <c r="A489" s="23">
        <v>46156.0</v>
      </c>
      <c r="B489" s="25" t="str">
        <f t="shared" si="6"/>
        <v>Thursday</v>
      </c>
      <c r="C489" s="243" t="s">
        <v>156</v>
      </c>
      <c r="D489" s="31">
        <f>IFERROR(__xludf.DUMMYFUNCTION("GOOGLEFINANCE(""NSE:""&amp;UPPER(TRIM(E489)),""marketcap"")/10000000"),5672.8656785)</f>
        <v>5672.865679</v>
      </c>
      <c r="E489" s="244" t="s">
        <v>349</v>
      </c>
      <c r="F489" s="39">
        <f>IFERROR(__xludf.DUMMYFUNCTION("IF(OR(E489="""",A489=""""),"""",
 IF(
   DATE(VALUE(RIGHT(A489,4)),VALUE(MID(A489,4,2)),VALUE(LEFT(A489,2)))&gt;=TODAY(),
   IFERROR(
     GOOGLEFINANCE(""NSE:""&amp;UPPER(TRIM(E489)),""price""),
     ""Not Available""
   ),
   IFERROR(
     INDEX(
       GOOGLE"&amp;"FINANCE(
         ""NSE:""&amp;UPPER(TRIM(E489)),
         ""close"",
         DATE(VALUE(RIGHT(A489,4)),VALUE(MID(A489,4,2)),VALUE(LEFT(A489,2))),
         DATE(VALUE(RIGHT(A489,4)),VALUE(MID(A489,4,2)),VALUE(LEFT(A489,2)))+1
       ),
       2,2
     ),
   "&amp;"  ""Not Available""
   )
 ))"),1364.1)</f>
        <v>1364.1</v>
      </c>
      <c r="G489" s="42">
        <f>IFERROR(__xludf.DUMMYFUNCTION("IF(E489="""","""",IFERROR(GOOGLEFINANCE(""NSE:""&amp;UPPER(TRIM(E489)),""price""),""Not Available""))"),3319.9)</f>
        <v>3319.9</v>
      </c>
      <c r="H489" s="53">
        <f t="shared" si="1"/>
        <v>133</v>
      </c>
      <c r="I489" s="58">
        <f t="shared" si="2"/>
        <v>1.433765853</v>
      </c>
      <c r="J489" s="60">
        <f t="shared" si="3"/>
        <v>143376.5853</v>
      </c>
      <c r="K489" s="7">
        <v>1888.0</v>
      </c>
      <c r="L489" s="7">
        <v>1172.0</v>
      </c>
      <c r="M489" s="68">
        <f t="shared" si="4"/>
        <v>0.384062752</v>
      </c>
      <c r="N489" s="68">
        <f t="shared" si="5"/>
        <v>-0.1408254527</v>
      </c>
      <c r="O489" s="68">
        <v>0.933289348288</v>
      </c>
      <c r="P489" s="23">
        <v>46240</v>
      </c>
      <c r="R489" s="68">
        <v>0.7272</v>
      </c>
      <c r="S489" s="23">
        <v>46203</v>
      </c>
      <c r="T489" s="23">
        <v>46156</v>
      </c>
      <c r="U489" s="39">
        <v>1364.1</v>
      </c>
      <c r="V489" s="39">
        <v>1311.30266667</v>
      </c>
      <c r="W489" t="inlineStr">
        <is>
          <t>Above 75 DMA</t>
        </is>
      </c>
    </row>
    <row r="490">
      <c r="A490" s="23">
        <v>46156.0</v>
      </c>
      <c r="B490" s="25" t="str">
        <f t="shared" si="6"/>
        <v>Thursday</v>
      </c>
      <c r="C490" s="243" t="s">
        <v>156</v>
      </c>
      <c r="D490" s="31">
        <f>IFERROR(__xludf.DUMMYFUNCTION("GOOGLEFINANCE(""NSE:""&amp;UPPER(TRIM(E490)),""marketcap"")/10000000"),6675.4142753)</f>
        <v>6675.414275</v>
      </c>
      <c r="E490" s="244" t="s">
        <v>350</v>
      </c>
      <c r="F490" s="39">
        <f>IFERROR(__xludf.DUMMYFUNCTION("IF(OR(E490="""",A490=""""),"""",
 IF(
   DATE(VALUE(RIGHT(A490,4)),VALUE(MID(A490,4,2)),VALUE(LEFT(A490,2)))&gt;=TODAY(),
   IFERROR(
     GOOGLEFINANCE(""NSE:""&amp;UPPER(TRIM(E490)),""price""),
     ""Not Available""
   ),
   IFERROR(
     INDEX(
       GOOGLE"&amp;"FINANCE(
         ""NSE:""&amp;UPPER(TRIM(E490)),
         ""close"",
         DATE(VALUE(RIGHT(A490,4)),VALUE(MID(A490,4,2)),VALUE(LEFT(A490,2))),
         DATE(VALUE(RIGHT(A490,4)),VALUE(MID(A490,4,2)),VALUE(LEFT(A490,2)))+1
       ),
       2,2
     ),
   "&amp;"  ""Not Available""
   )
 ))"),958.5)</f>
        <v>958.5</v>
      </c>
      <c r="G490" s="42">
        <f>IFERROR(__xludf.DUMMYFUNCTION("IF(E490="""","""",IFERROR(GOOGLEFINANCE(""NSE:""&amp;UPPER(TRIM(E490)),""price""),""Not Available""))"),739.9)</f>
        <v>739.9</v>
      </c>
      <c r="H490" s="53">
        <f t="shared" si="1"/>
        <v>133</v>
      </c>
      <c r="I490" s="58">
        <f t="shared" si="2"/>
        <v>-0.2280646844</v>
      </c>
      <c r="J490" s="60">
        <f t="shared" si="3"/>
        <v>-22806.46844</v>
      </c>
      <c r="K490" s="7">
        <v>894.0</v>
      </c>
      <c r="L490" s="7">
        <v>1324.0</v>
      </c>
      <c r="M490" s="68">
        <f t="shared" si="4"/>
        <v>-0.06729264476</v>
      </c>
      <c r="N490" s="68">
        <f t="shared" si="5"/>
        <v>0.381324987</v>
      </c>
      <c r="O490" s="68">
        <v>0.0672926447574</v>
      </c>
      <c r="P490" s="23">
        <v>46157</v>
      </c>
      <c r="R490" s="68">
        <v>0.7482</v>
      </c>
      <c r="S490" s="23">
        <v>46203</v>
      </c>
      <c r="T490" s="23">
        <v>46156</v>
      </c>
      <c r="U490" s="39">
        <v>958.5</v>
      </c>
      <c r="V490" s="39">
        <v>1068.77066667</v>
      </c>
      <c r="W490" t="inlineStr">
        <is>
          <t>Below 75 DMA</t>
        </is>
      </c>
    </row>
    <row r="491">
      <c r="A491" s="23">
        <v>46156.0</v>
      </c>
      <c r="B491" s="25" t="str">
        <f t="shared" si="6"/>
        <v>Thursday</v>
      </c>
      <c r="C491" s="243" t="s">
        <v>156</v>
      </c>
      <c r="D491" s="31">
        <f>IFERROR(__xludf.DUMMYFUNCTION("GOOGLEFINANCE(""NSE:""&amp;UPPER(TRIM(E491)),""marketcap"")/10000000"),214.522369)</f>
        <v>214.522369</v>
      </c>
      <c r="E491" s="244" t="s">
        <v>352</v>
      </c>
      <c r="F491" s="39">
        <f>IFERROR(__xludf.DUMMYFUNCTION("IF(OR(E491="""",A491=""""),"""",
 IF(
   DATE(VALUE(RIGHT(A491,4)),VALUE(MID(A491,4,2)),VALUE(LEFT(A491,2)))&gt;=TODAY(),
   IFERROR(
     GOOGLEFINANCE(""NSE:""&amp;UPPER(TRIM(E491)),""price""),
     ""Not Available""
   ),
   IFERROR(
     INDEX(
       GOOGLE"&amp;"FINANCE(
         ""NSE:""&amp;UPPER(TRIM(E491)),
         ""close"",
         DATE(VALUE(RIGHT(A491,4)),VALUE(MID(A491,4,2)),VALUE(LEFT(A491,2))),
         DATE(VALUE(RIGHT(A491,4)),VALUE(MID(A491,4,2)),VALUE(LEFT(A491,2)))+1
       ),
       2,2
     ),
   "&amp;"  ""Not Available""
   )
 ))"),184.58)</f>
        <v>184.58</v>
      </c>
      <c r="G491" s="42">
        <f>IFERROR(__xludf.DUMMYFUNCTION("IF(E491="""","""",IFERROR(GOOGLEFINANCE(""NSE:""&amp;UPPER(TRIM(E491)),""price""),""Not Available""))"),215.06)</f>
        <v>215.06</v>
      </c>
      <c r="H491" s="53">
        <f t="shared" si="1"/>
        <v>133</v>
      </c>
      <c r="I491" s="58">
        <f t="shared" si="2"/>
        <v>0.1651316502</v>
      </c>
      <c r="J491" s="60">
        <f t="shared" si="3"/>
        <v>16513.16502</v>
      </c>
      <c r="K491" s="7">
        <v>262.0</v>
      </c>
      <c r="L491" s="7">
        <v>86.0</v>
      </c>
      <c r="M491" s="68">
        <f t="shared" si="4"/>
        <v>0.4194387258</v>
      </c>
      <c r="N491" s="68">
        <f t="shared" si="5"/>
        <v>-0.5340773648</v>
      </c>
      <c r="O491" s="68">
        <v>0.0131108462455</v>
      </c>
      <c r="P491" s="23">
        <v>46157</v>
      </c>
      <c r="R491" s="68">
        <v>0.7285</v>
      </c>
      <c r="S491" s="23">
        <v>46203</v>
      </c>
      <c r="T491" s="23">
        <v>46156</v>
      </c>
      <c r="U491" s="39">
        <v>184.58</v>
      </c>
      <c r="V491" s="39">
        <v>127.550933333</v>
      </c>
      <c r="W491" t="inlineStr">
        <is>
          <t>Above 75 DMA</t>
        </is>
      </c>
    </row>
    <row r="492">
      <c r="A492" s="23">
        <v>46156.0</v>
      </c>
      <c r="B492" s="25" t="str">
        <f t="shared" si="6"/>
        <v>Thursday</v>
      </c>
      <c r="C492" s="243" t="s">
        <v>156</v>
      </c>
      <c r="D492" s="31">
        <f>IFERROR(__xludf.DUMMYFUNCTION("GOOGLEFINANCE(""NSE:""&amp;UPPER(TRIM(E492)),""marketcap"")/10000000"),293.64374)</f>
        <v>293.64374</v>
      </c>
      <c r="E492" s="244" t="s">
        <v>353</v>
      </c>
      <c r="F492" s="39">
        <f>IFERROR(__xludf.DUMMYFUNCTION("IF(OR(E492="""",A492=""""),"""",
 IF(
   DATE(VALUE(RIGHT(A492,4)),VALUE(MID(A492,4,2)),VALUE(LEFT(A492,2)))&gt;=TODAY(),
   IFERROR(
     GOOGLEFINANCE(""NSE:""&amp;UPPER(TRIM(E492)),""price""),
     ""Not Available""
   ),
   IFERROR(
     INDEX(
       GOOGLE"&amp;"FINANCE(
         ""NSE:""&amp;UPPER(TRIM(E492)),
         ""close"",
         DATE(VALUE(RIGHT(A492,4)),VALUE(MID(A492,4,2)),VALUE(LEFT(A492,2))),
         DATE(VALUE(RIGHT(A492,4)),VALUE(MID(A492,4,2)),VALUE(LEFT(A492,2)))+1
       ),
       2,2
     ),
   "&amp;"  ""Not Available""
   )
 ))"),306.4)</f>
        <v>306.4</v>
      </c>
      <c r="G492" s="42">
        <f>IFERROR(__xludf.DUMMYFUNCTION("IF(E492="""","""",IFERROR(GOOGLEFINANCE(""NSE:""&amp;UPPER(TRIM(E492)),""price""),""Not Available""))"),260.0)</f>
        <v>260</v>
      </c>
      <c r="H492" s="53">
        <f t="shared" si="1"/>
        <v>133</v>
      </c>
      <c r="I492" s="58">
        <f t="shared" si="2"/>
        <v>-0.1514360313</v>
      </c>
      <c r="J492" s="60">
        <f t="shared" si="3"/>
        <v>-15143.60313</v>
      </c>
      <c r="K492" s="62">
        <v>315.0</v>
      </c>
      <c r="L492" s="62">
        <v>332.0</v>
      </c>
      <c r="M492" s="68">
        <f t="shared" si="4"/>
        <v>0.02806788512</v>
      </c>
      <c r="N492" s="68">
        <f t="shared" si="5"/>
        <v>0.08355091384</v>
      </c>
      <c r="O492" s="68">
        <v>0.279373368146</v>
      </c>
      <c r="P492" s="23">
        <v>46216</v>
      </c>
      <c r="R492" s="68">
        <v>0.6147</v>
      </c>
      <c r="S492" s="23">
        <v>46203</v>
      </c>
      <c r="T492" s="23">
        <v>46156</v>
      </c>
      <c r="U492" s="39">
        <v>306.4</v>
      </c>
      <c r="V492" s="39">
        <v>253.6504</v>
      </c>
      <c r="W492" t="inlineStr">
        <is>
          <t>Above 75 DMA</t>
        </is>
      </c>
    </row>
    <row r="493">
      <c r="A493" s="23">
        <v>46156.0</v>
      </c>
      <c r="B493" s="25" t="str">
        <f t="shared" si="6"/>
        <v>Thursday</v>
      </c>
      <c r="C493" s="243" t="s">
        <v>156</v>
      </c>
      <c r="D493" s="31">
        <f>IFERROR(__xludf.DUMMYFUNCTION("GOOGLEFINANCE(""NSE:""&amp;UPPER(TRIM(E493)),""marketcap"")/10000000"),2332.5801701)</f>
        <v>2332.58017</v>
      </c>
      <c r="E493" s="244" t="s">
        <v>142</v>
      </c>
      <c r="F493" s="39">
        <f>IFERROR(__xludf.DUMMYFUNCTION("IF(OR(E493="""",A493=""""),"""",
 IF(
   DATE(VALUE(RIGHT(A493,4)),VALUE(MID(A493,4,2)),VALUE(LEFT(A493,2)))&gt;=TODAY(),
   IFERROR(
     GOOGLEFINANCE(""NSE:""&amp;UPPER(TRIM(E493)),""price""),
     ""Not Available""
   ),
   IFERROR(
     INDEX(
       GOOGLE"&amp;"FINANCE(
         ""NSE:""&amp;UPPER(TRIM(E493)),
         ""close"",
         DATE(VALUE(RIGHT(A493,4)),VALUE(MID(A493,4,2)),VALUE(LEFT(A493,2))),
         DATE(VALUE(RIGHT(A493,4)),VALUE(MID(A493,4,2)),VALUE(LEFT(A493,2)))+1
       ),
       2,2
     ),
   "&amp;"  ""Not Available""
   )
 ))"),1581.1)</f>
        <v>1581.1</v>
      </c>
      <c r="G493" s="42">
        <f>IFERROR(__xludf.DUMMYFUNCTION("IF(E493="""","""",IFERROR(GOOGLEFINANCE(""NSE:""&amp;UPPER(TRIM(E493)),""price""),""Not Available""))"),1655.8)</f>
        <v>1655.8</v>
      </c>
      <c r="H493" s="53">
        <f t="shared" si="1"/>
        <v>133</v>
      </c>
      <c r="I493" s="58">
        <f t="shared" si="2"/>
        <v>0.04724558851</v>
      </c>
      <c r="J493" s="60">
        <f t="shared" si="3"/>
        <v>4724.558851</v>
      </c>
      <c r="K493" s="62">
        <v>2037.0</v>
      </c>
      <c r="L493" s="62">
        <v>847.0</v>
      </c>
      <c r="M493" s="68">
        <f t="shared" si="4"/>
        <v>0.2883435583</v>
      </c>
      <c r="N493" s="68">
        <f t="shared" si="5"/>
        <v>-0.4642970084</v>
      </c>
      <c r="O493" s="68">
        <v>0.147871734868</v>
      </c>
      <c r="P493" s="23">
        <v>46280</v>
      </c>
      <c r="R493" s="68">
        <v>0.5611</v>
      </c>
      <c r="S493" s="23">
        <v>46203</v>
      </c>
      <c r="T493" s="23">
        <v>46156</v>
      </c>
      <c r="U493" s="39">
        <v>1581.1</v>
      </c>
      <c r="V493" s="39">
        <v>1439.14266667</v>
      </c>
      <c r="W493" t="inlineStr">
        <is>
          <t>Above 75 DMA</t>
        </is>
      </c>
    </row>
    <row r="494">
      <c r="A494" s="23">
        <v>46153.0</v>
      </c>
      <c r="B494" s="25" t="str">
        <f t="shared" si="6"/>
        <v>Monday</v>
      </c>
      <c r="C494" s="243" t="s">
        <v>156</v>
      </c>
      <c r="D494" s="31">
        <f>IFERROR(__xludf.DUMMYFUNCTION("GOOGLEFINANCE(""NSE:""&amp;UPPER(TRIM(E494)),""marketcap"")/10000000"),14131.2804422)</f>
        <v>14131.28044</v>
      </c>
      <c r="E494" s="244" t="s">
        <v>355</v>
      </c>
      <c r="F494" s="39">
        <f>IFERROR(__xludf.DUMMYFUNCTION("IF(OR(E494="""",A494=""""),"""",
 IF(
   DATE(VALUE(RIGHT(A494,4)),VALUE(MID(A494,4,2)),VALUE(LEFT(A494,2)))&gt;=TODAY(),
   IFERROR(
     GOOGLEFINANCE(""NSE:""&amp;UPPER(TRIM(E494)),""price""),
     ""Not Available""
   ),
   IFERROR(
     INDEX(
       GOOGLE"&amp;"FINANCE(
         ""NSE:""&amp;UPPER(TRIM(E494)),
         ""close"",
         DATE(VALUE(RIGHT(A494,4)),VALUE(MID(A494,4,2)),VALUE(LEFT(A494,2))),
         DATE(VALUE(RIGHT(A494,4)),VALUE(MID(A494,4,2)),VALUE(LEFT(A494,2)))+1
       ),
       2,2
     ),
   "&amp;"  ""Not Available""
   )
 ))"),84.31)</f>
        <v>84.31</v>
      </c>
      <c r="G494" s="42">
        <f>IFERROR(__xludf.DUMMYFUNCTION("IF(E494="""","""",IFERROR(GOOGLEFINANCE(""NSE:""&amp;UPPER(TRIM(E494)),""price""),""Not Available""))"),76.4)</f>
        <v>76.4</v>
      </c>
      <c r="H494" s="53">
        <f t="shared" si="1"/>
        <v>136</v>
      </c>
      <c r="I494" s="58">
        <f t="shared" si="2"/>
        <v>-0.09382042462</v>
      </c>
      <c r="J494" s="60">
        <f t="shared" si="3"/>
        <v>-9382.042462</v>
      </c>
      <c r="K494" s="62">
        <v>80.0</v>
      </c>
      <c r="L494" s="62">
        <v>63.0</v>
      </c>
      <c r="M494" s="68">
        <f t="shared" si="4"/>
        <v>-0.05112086348</v>
      </c>
      <c r="N494" s="68">
        <f t="shared" si="5"/>
        <v>-0.25275768</v>
      </c>
      <c r="O494" s="68">
        <v>0.0840944134741</v>
      </c>
      <c r="P494" s="23">
        <v>46234</v>
      </c>
      <c r="R494" s="68">
        <v>0.553</v>
      </c>
      <c r="S494" s="23">
        <v>46203</v>
      </c>
      <c r="T494" s="23">
        <v>46153</v>
      </c>
      <c r="U494" s="39">
        <v>84.31</v>
      </c>
      <c r="V494" s="39">
        <v>75.6416</v>
      </c>
      <c r="W494" t="inlineStr">
        <is>
          <t>Above 75 DMA</t>
        </is>
      </c>
    </row>
    <row r="495">
      <c r="A495" s="23">
        <v>46153.0</v>
      </c>
      <c r="B495" s="25" t="str">
        <f t="shared" si="6"/>
        <v>Monday</v>
      </c>
      <c r="C495" s="243" t="s">
        <v>156</v>
      </c>
      <c r="D495" s="31">
        <f>IFERROR(__xludf.DUMMYFUNCTION("GOOGLEFINANCE(""NSE:""&amp;UPPER(TRIM(E495)),""marketcap"")/10000000"),2643.31926)</f>
        <v>2643.31926</v>
      </c>
      <c r="E495" s="244" t="s">
        <v>354</v>
      </c>
      <c r="F495" s="39">
        <f>IFERROR(__xludf.DUMMYFUNCTION("IF(OR(E495="""",A495=""""),"""",
 IF(
   DATE(VALUE(RIGHT(A495,4)),VALUE(MID(A495,4,2)),VALUE(LEFT(A495,2)))&gt;=TODAY(),
   IFERROR(
     GOOGLEFINANCE(""NSE:""&amp;UPPER(TRIM(E495)),""price""),
     ""Not Available""
   ),
   IFERROR(
     INDEX(
       GOOGLE"&amp;"FINANCE(
         ""NSE:""&amp;UPPER(TRIM(E495)),
         ""close"",
         DATE(VALUE(RIGHT(A495,4)),VALUE(MID(A495,4,2)),VALUE(LEFT(A495,2))),
         DATE(VALUE(RIGHT(A495,4)),VALUE(MID(A495,4,2)),VALUE(LEFT(A495,2)))+1
       ),
       2,2
     ),
   "&amp;"  ""Not Available""
   )
 ))"),1634.6)</f>
        <v>1634.6</v>
      </c>
      <c r="G495" s="42">
        <f>IFERROR(__xludf.DUMMYFUNCTION("IF(E495="""","""",IFERROR(GOOGLEFINANCE(""NSE:""&amp;UPPER(TRIM(E495)),""price""),""Not Available""))"),1740.0)</f>
        <v>1740</v>
      </c>
      <c r="H495" s="53">
        <f t="shared" si="1"/>
        <v>136</v>
      </c>
      <c r="I495" s="58">
        <f t="shared" si="2"/>
        <v>0.06448060688</v>
      </c>
      <c r="J495" s="60">
        <f t="shared" si="3"/>
        <v>6448.060688</v>
      </c>
      <c r="K495" s="62">
        <v>2781.0</v>
      </c>
      <c r="L495" s="62">
        <v>789.0</v>
      </c>
      <c r="M495" s="68">
        <f t="shared" si="4"/>
        <v>0.7013336596</v>
      </c>
      <c r="N495" s="68">
        <f t="shared" si="5"/>
        <v>-0.5173131041</v>
      </c>
      <c r="O495" s="68">
        <v>0.70084424324</v>
      </c>
      <c r="P495" s="23">
        <v>46192</v>
      </c>
      <c r="Q495" s="68">
        <v>0.0941347106269</v>
      </c>
      <c r="R495" s="68">
        <v>0.4295</v>
      </c>
      <c r="S495" s="23">
        <v>46203</v>
      </c>
      <c r="T495" s="23">
        <v>46153</v>
      </c>
      <c r="U495" s="39">
        <v>1634.6</v>
      </c>
      <c r="V495" s="39">
        <v>1226.772</v>
      </c>
      <c r="W495" t="inlineStr">
        <is>
          <t>Above 75 DMA</t>
        </is>
      </c>
    </row>
    <row r="496">
      <c r="A496" s="23">
        <v>46153.0</v>
      </c>
      <c r="B496" s="25" t="str">
        <f t="shared" si="6"/>
        <v>Monday</v>
      </c>
      <c r="C496" s="243" t="s">
        <v>156</v>
      </c>
      <c r="D496" s="31">
        <f>IFERROR(__xludf.DUMMYFUNCTION("GOOGLEFINANCE(""NSE:""&amp;UPPER(TRIM(E496)),""marketcap"")/10000000"),116.084104)</f>
        <v>116.084104</v>
      </c>
      <c r="E496" s="244" t="s">
        <v>358</v>
      </c>
      <c r="F496" s="39">
        <f>IFERROR(__xludf.DUMMYFUNCTION("IF(OR(E496="""",A496=""""),"""",
 IF(
   DATE(VALUE(RIGHT(A496,4)),VALUE(MID(A496,4,2)),VALUE(LEFT(A496,2)))&gt;=TODAY(),
   IFERROR(
     GOOGLEFINANCE(""NSE:""&amp;UPPER(TRIM(E496)),""price""),
     ""Not Available""
   ),
   IFERROR(
     INDEX(
       GOOGLE"&amp;"FINANCE(
         ""NSE:""&amp;UPPER(TRIM(E496)),
         ""close"",
         DATE(VALUE(RIGHT(A496,4)),VALUE(MID(A496,4,2)),VALUE(LEFT(A496,2))),
         DATE(VALUE(RIGHT(A496,4)),VALUE(MID(A496,4,2)),VALUE(LEFT(A496,2)))+1
       ),
       2,2
     ),
   "&amp;"  ""Not Available""
   )
 ))"),26.19)</f>
        <v>26.19</v>
      </c>
      <c r="G496" s="42">
        <f>IFERROR(__xludf.DUMMYFUNCTION("IF(E496="""","""",IFERROR(GOOGLEFINANCE(""NSE:""&amp;UPPER(TRIM(E496)),""price""),""Not Available""))"),20.19)</f>
        <v>20.19</v>
      </c>
      <c r="H496" s="53">
        <f t="shared" si="1"/>
        <v>136</v>
      </c>
      <c r="I496" s="58">
        <f t="shared" si="2"/>
        <v>-0.2290950745</v>
      </c>
      <c r="J496" s="60">
        <f t="shared" si="3"/>
        <v>-22909.50745</v>
      </c>
      <c r="K496" s="62">
        <v>27.0</v>
      </c>
      <c r="L496" s="62">
        <v>13.0</v>
      </c>
      <c r="M496" s="68">
        <f t="shared" si="4"/>
        <v>0.03092783505</v>
      </c>
      <c r="N496" s="68">
        <f t="shared" si="5"/>
        <v>-0.5036273387</v>
      </c>
      <c r="O496" s="68">
        <v>0.140129820542</v>
      </c>
      <c r="P496" s="23">
        <v>46154</v>
      </c>
      <c r="R496" s="68">
        <v>0.7042</v>
      </c>
      <c r="S496" s="23">
        <v>46203</v>
      </c>
      <c r="T496" s="23">
        <v>46153</v>
      </c>
      <c r="U496" s="39">
        <v>26.19</v>
      </c>
      <c r="V496" s="39">
        <v>21.1701333333</v>
      </c>
      <c r="W496" t="inlineStr">
        <is>
          <t>Above 75 DMA</t>
        </is>
      </c>
    </row>
    <row r="497">
      <c r="A497" s="23">
        <v>46152.0</v>
      </c>
      <c r="B497" s="25" t="str">
        <f t="shared" si="6"/>
        <v>Sunday</v>
      </c>
      <c r="C497" s="243" t="s">
        <v>156</v>
      </c>
      <c r="D497" s="31">
        <f>IFERROR(__xludf.DUMMYFUNCTION("GOOGLEFINANCE(""NSE:""&amp;UPPER(TRIM(E497)),""marketcap"")/10000000"),10067.87238)</f>
        <v>10067.87238</v>
      </c>
      <c r="E497" s="244" t="s">
        <v>359</v>
      </c>
      <c r="F497" s="39">
        <f>IFERROR(__xludf.DUMMYFUNCTION("IF(OR(E497="""",A497=""""),"""",
 IF(
   DATE(VALUE(RIGHT(A497,4)),VALUE(MID(A497,4,2)),VALUE(LEFT(A497,2)))&gt;=TODAY(),
   IFERROR(
     GOOGLEFINANCE(""NSE:""&amp;UPPER(TRIM(E497)),""price""),
     ""Not Available""
   ),
   IFERROR(
     INDEX(
       GOOGLE"&amp;"FINANCE(
         ""NSE:""&amp;UPPER(TRIM(E497)),
         ""close"",
         DATE(VALUE(RIGHT(A497,4)),VALUE(MID(A497,4,2)),VALUE(LEFT(A497,2))),
         DATE(VALUE(RIGHT(A497,4)),VALUE(MID(A497,4,2)),VALUE(LEFT(A497,2)))+1
       ),
       2,2
     ),
   "&amp;"  ""Not Available""
   )
 ))"),559.4)</f>
        <v>559.4</v>
      </c>
      <c r="G497" s="42">
        <f>IFERROR(__xludf.DUMMYFUNCTION("IF(E497="""","""",IFERROR(GOOGLEFINANCE(""NSE:""&amp;UPPER(TRIM(E497)),""price""),""Not Available""))"),291.75)</f>
        <v>291.75</v>
      </c>
      <c r="H497" s="53">
        <f t="shared" si="1"/>
        <v>137</v>
      </c>
      <c r="I497" s="58">
        <f t="shared" si="2"/>
        <v>-0.4784590633</v>
      </c>
      <c r="J497" s="60">
        <f t="shared" si="3"/>
        <v>-47845.90633</v>
      </c>
      <c r="K497" s="62">
        <v>328.0</v>
      </c>
      <c r="L497" s="62">
        <v>0.0</v>
      </c>
      <c r="M497" s="68">
        <f t="shared" si="4"/>
        <v>-0.4136574902</v>
      </c>
      <c r="N497" s="68">
        <f t="shared" si="5"/>
        <v>-1</v>
      </c>
      <c r="O497" s="68">
        <v>0.0508580622095</v>
      </c>
      <c r="P497" s="23">
        <v>46156</v>
      </c>
      <c r="R497" s="68">
        <v>0.7359</v>
      </c>
      <c r="S497" s="23">
        <v>46203</v>
      </c>
      <c r="T497" s="23">
        <v>46150</v>
      </c>
      <c r="U497" s="39">
        <v>571.5</v>
      </c>
      <c r="V497" s="39">
        <v>419.029333333</v>
      </c>
      <c r="W497" t="inlineStr">
        <is>
          <t>Above 75 DMA</t>
        </is>
      </c>
    </row>
    <row r="498">
      <c r="A498" s="23">
        <v>46152.0</v>
      </c>
      <c r="B498" s="25" t="str">
        <f t="shared" si="6"/>
        <v>Sunday</v>
      </c>
      <c r="C498" s="243" t="s">
        <v>156</v>
      </c>
      <c r="D498" s="31">
        <f>IFERROR(__xludf.DUMMYFUNCTION("GOOGLEFINANCE(""NSE:""&amp;UPPER(TRIM(E498)),""marketcap"")/10000000"),6972.504906)</f>
        <v>6972.504906</v>
      </c>
      <c r="E498" s="244" t="s">
        <v>361</v>
      </c>
      <c r="F498" s="39">
        <f>IFERROR(__xludf.DUMMYFUNCTION("IF(OR(E498="""",A498=""""),"""",
 IF(
   DATE(VALUE(RIGHT(A498,4)),VALUE(MID(A498,4,2)),VALUE(LEFT(A498,2)))&gt;=TODAY(),
   IFERROR(
     GOOGLEFINANCE(""NSE:""&amp;UPPER(TRIM(E498)),""price""),
     ""Not Available""
   ),
   IFERROR(
     INDEX(
       GOOGLE"&amp;"FINANCE(
         ""NSE:""&amp;UPPER(TRIM(E498)),
         ""close"",
         DATE(VALUE(RIGHT(A498,4)),VALUE(MID(A498,4,2)),VALUE(LEFT(A498,2))),
         DATE(VALUE(RIGHT(A498,4)),VALUE(MID(A498,4,2)),VALUE(LEFT(A498,2)))+1
       ),
       2,2
     ),
   "&amp;"  ""Not Available""
   )
 ))"),398.6)</f>
        <v>398.6</v>
      </c>
      <c r="G498" s="42">
        <f>IFERROR(__xludf.DUMMYFUNCTION("IF(E498="""","""",IFERROR(GOOGLEFINANCE(""NSE:""&amp;UPPER(TRIM(E498)),""price""),""Not Available""))"),526.9)</f>
        <v>526.9</v>
      </c>
      <c r="H498" s="53">
        <f t="shared" si="1"/>
        <v>137</v>
      </c>
      <c r="I498" s="58">
        <f t="shared" si="2"/>
        <v>0.321876568</v>
      </c>
      <c r="J498" s="60">
        <f t="shared" si="3"/>
        <v>32187.6568</v>
      </c>
      <c r="K498" s="62">
        <v>325.0</v>
      </c>
      <c r="L498" s="62">
        <v>334.0</v>
      </c>
      <c r="M498" s="68">
        <f t="shared" si="4"/>
        <v>-0.1846462619</v>
      </c>
      <c r="N498" s="68">
        <f t="shared" si="5"/>
        <v>-0.1620672353</v>
      </c>
      <c r="O498" s="68">
        <v>0.465504264927</v>
      </c>
      <c r="P498" s="23">
        <v>46273</v>
      </c>
      <c r="R498" s="68">
        <v>0.6547</v>
      </c>
      <c r="S498" s="23">
        <v>46203</v>
      </c>
      <c r="T498" s="23">
        <v>46150</v>
      </c>
      <c r="U498" s="39">
        <v>439.35</v>
      </c>
      <c r="V498" s="39">
        <v>238.802266667</v>
      </c>
      <c r="W498" t="inlineStr">
        <is>
          <t>Above 75 DMA</t>
        </is>
      </c>
    </row>
    <row r="499">
      <c r="A499" s="23">
        <v>46152.0</v>
      </c>
      <c r="B499" s="25" t="str">
        <f t="shared" si="6"/>
        <v>Sunday</v>
      </c>
      <c r="C499" s="243" t="s">
        <v>156</v>
      </c>
      <c r="D499" s="31">
        <f>IFERROR(__xludf.DUMMYFUNCTION("GOOGLEFINANCE(""NSE:""&amp;UPPER(TRIM(E499)),""marketcap"")/10000000"),7397.8977994)</f>
        <v>7397.897799</v>
      </c>
      <c r="E499" s="244" t="s">
        <v>362</v>
      </c>
      <c r="F499" s="39">
        <f>IFERROR(__xludf.DUMMYFUNCTION("IF(OR(E499="""",A499=""""),"""",
 IF(
   DATE(VALUE(RIGHT(A499,4)),VALUE(MID(A499,4,2)),VALUE(LEFT(A499,2)))&gt;=TODAY(),
   IFERROR(
     GOOGLEFINANCE(""NSE:""&amp;UPPER(TRIM(E499)),""price""),
     ""Not Available""
   ),
   IFERROR(
     INDEX(
       GOOGLE"&amp;"FINANCE(
         ""NSE:""&amp;UPPER(TRIM(E499)),
         ""close"",
         DATE(VALUE(RIGHT(A499,4)),VALUE(MID(A499,4,2)),VALUE(LEFT(A499,2))),
         DATE(VALUE(RIGHT(A499,4)),VALUE(MID(A499,4,2)),VALUE(LEFT(A499,2)))+1
       ),
       2,2
     ),
   "&amp;"  ""Not Available""
   )
 ))"),167.1)</f>
        <v>167.1</v>
      </c>
      <c r="G499" s="42">
        <f>IFERROR(__xludf.DUMMYFUNCTION("IF(E499="""","""",IFERROR(GOOGLEFINANCE(""NSE:""&amp;UPPER(TRIM(E499)),""price""),""Not Available""))"),161.29)</f>
        <v>161.29</v>
      </c>
      <c r="H499" s="53">
        <f t="shared" si="1"/>
        <v>137</v>
      </c>
      <c r="I499" s="58">
        <f t="shared" si="2"/>
        <v>-0.03476959904</v>
      </c>
      <c r="J499" s="60">
        <f t="shared" si="3"/>
        <v>-3476.959904</v>
      </c>
      <c r="K499" s="62">
        <v>166.0</v>
      </c>
      <c r="L499" s="62">
        <v>180.0</v>
      </c>
      <c r="M499" s="68">
        <f t="shared" si="4"/>
        <v>-0.0065828845</v>
      </c>
      <c r="N499" s="68">
        <f t="shared" si="5"/>
        <v>0.07719928187</v>
      </c>
      <c r="O499" s="68">
        <v>0.107061639737</v>
      </c>
      <c r="P499" s="23">
        <v>46255</v>
      </c>
      <c r="R499" s="68">
        <v>0.6384</v>
      </c>
      <c r="S499" s="23">
        <v>46203</v>
      </c>
      <c r="T499" s="23">
        <v>46150</v>
      </c>
      <c r="U499" s="39">
        <v>166.46</v>
      </c>
      <c r="V499" s="39">
        <v>141.592533333</v>
      </c>
      <c r="W499" t="inlineStr">
        <is>
          <t>Above 75 DMA</t>
        </is>
      </c>
    </row>
    <row r="500">
      <c r="A500" s="23">
        <v>46152.0</v>
      </c>
      <c r="B500" s="25" t="str">
        <f t="shared" si="6"/>
        <v>Sunday</v>
      </c>
      <c r="C500" s="243" t="s">
        <v>156</v>
      </c>
      <c r="D500" s="31">
        <f>IFERROR(__xludf.DUMMYFUNCTION("GOOGLEFINANCE(""NSE:""&amp;UPPER(TRIM(E500)),""marketcap"")/10000000"),3125.732162)</f>
        <v>3125.732162</v>
      </c>
      <c r="E500" s="244" t="s">
        <v>364</v>
      </c>
      <c r="F500" s="39">
        <f>IFERROR(__xludf.DUMMYFUNCTION("IF(OR(E500="""",A500=""""),"""",
 IF(
   DATE(VALUE(RIGHT(A500,4)),VALUE(MID(A500,4,2)),VALUE(LEFT(A500,2)))&gt;=TODAY(),
   IFERROR(
     GOOGLEFINANCE(""NSE:""&amp;UPPER(TRIM(E500)),""price""),
     ""Not Available""
   ),
   IFERROR(
     INDEX(
       GOOGLE"&amp;"FINANCE(
         ""NSE:""&amp;UPPER(TRIM(E500)),
         ""close"",
         DATE(VALUE(RIGHT(A500,4)),VALUE(MID(A500,4,2)),VALUE(LEFT(A500,2))),
         DATE(VALUE(RIGHT(A500,4)),VALUE(MID(A500,4,2)),VALUE(LEFT(A500,2)))+1
       ),
       2,2
     ),
   "&amp;"  ""Not Available""
   )
 ))"),494.55)</f>
        <v>494.55</v>
      </c>
      <c r="G500" s="42">
        <f>IFERROR(__xludf.DUMMYFUNCTION("IF(E500="""","""",IFERROR(GOOGLEFINANCE(""NSE:""&amp;UPPER(TRIM(E500)),""price""),""Not Available""))"),602.9)</f>
        <v>602.9</v>
      </c>
      <c r="H500" s="53">
        <f t="shared" si="1"/>
        <v>137</v>
      </c>
      <c r="I500" s="58">
        <f t="shared" si="2"/>
        <v>0.2190880599</v>
      </c>
      <c r="J500" s="60">
        <f t="shared" si="3"/>
        <v>21908.80599</v>
      </c>
      <c r="K500" s="62">
        <v>561.0</v>
      </c>
      <c r="L500" s="62">
        <v>295.0</v>
      </c>
      <c r="M500" s="68">
        <f t="shared" si="4"/>
        <v>0.1343645739</v>
      </c>
      <c r="N500" s="68">
        <f t="shared" si="5"/>
        <v>-0.4034981296</v>
      </c>
      <c r="O500" s="68">
        <v>0.439692649884</v>
      </c>
      <c r="P500" s="23">
        <v>46233</v>
      </c>
      <c r="R500" s="68">
        <v>0.5823</v>
      </c>
      <c r="S500" s="23">
        <v>46203</v>
      </c>
      <c r="T500" s="23">
        <v>46150</v>
      </c>
      <c r="U500" s="39">
        <v>520.65</v>
      </c>
      <c r="V500" s="39">
        <v>372.484666667</v>
      </c>
      <c r="W500" t="inlineStr">
        <is>
          <t>Above 75 DMA</t>
        </is>
      </c>
    </row>
    <row r="501">
      <c r="A501" s="23">
        <v>46152.0</v>
      </c>
      <c r="B501" s="25" t="str">
        <f t="shared" si="6"/>
        <v>Sunday</v>
      </c>
      <c r="C501" s="243" t="s">
        <v>156</v>
      </c>
      <c r="D501" s="31">
        <f>IFERROR(__xludf.DUMMYFUNCTION("GOOGLEFINANCE(""NSE:""&amp;UPPER(TRIM(E501)),""marketcap"")/10000000"),3963.8682301)</f>
        <v>3963.86823</v>
      </c>
      <c r="E501" s="244" t="s">
        <v>365</v>
      </c>
      <c r="F501" s="39">
        <f>IFERROR(__xludf.DUMMYFUNCTION("IF(OR(E501="""",A501=""""),"""",
 IF(
   DATE(VALUE(RIGHT(A501,4)),VALUE(MID(A501,4,2)),VALUE(LEFT(A501,2)))&gt;=TODAY(),
   IFERROR(
     GOOGLEFINANCE(""NSE:""&amp;UPPER(TRIM(E501)),""price""),
     ""Not Available""
   ),
   IFERROR(
     INDEX(
       GOOGLE"&amp;"FINANCE(
         ""NSE:""&amp;UPPER(TRIM(E501)),
         ""close"",
         DATE(VALUE(RIGHT(A501,4)),VALUE(MID(A501,4,2)),VALUE(LEFT(A501,2))),
         DATE(VALUE(RIGHT(A501,4)),VALUE(MID(A501,4,2)),VALUE(LEFT(A501,2)))+1
       ),
       2,2
     ),
   "&amp;"  ""Not Available""
   )
 ))"),226.11)</f>
        <v>226.11</v>
      </c>
      <c r="G501" s="42">
        <f>IFERROR(__xludf.DUMMYFUNCTION("IF(E501="""","""",IFERROR(GOOGLEFINANCE(""NSE:""&amp;UPPER(TRIM(E501)),""price""),""Not Available""))"),203.29)</f>
        <v>203.29</v>
      </c>
      <c r="H501" s="53">
        <f t="shared" si="1"/>
        <v>137</v>
      </c>
      <c r="I501" s="58">
        <f t="shared" si="2"/>
        <v>-0.1009243289</v>
      </c>
      <c r="J501" s="60">
        <f t="shared" si="3"/>
        <v>-10092.43289</v>
      </c>
      <c r="K501" s="62">
        <v>217.0</v>
      </c>
      <c r="L501" s="62" t="s">
        <v>564</v>
      </c>
      <c r="M501" s="68">
        <f t="shared" si="4"/>
        <v>-0.04029012428</v>
      </c>
      <c r="N501" s="68" t="str">
        <f t="shared" si="5"/>
        <v>#VALUE!</v>
      </c>
      <c r="O501" s="68">
        <v>0.131219318031</v>
      </c>
      <c r="P501" s="23">
        <v>46219</v>
      </c>
      <c r="R501" s="68">
        <v>0.3931</v>
      </c>
      <c r="S501" s="23">
        <v>46203</v>
      </c>
      <c r="T501" s="23">
        <v>46150</v>
      </c>
      <c r="U501" s="39">
        <v>227.65</v>
      </c>
      <c r="V501" s="39">
        <v>186.6904</v>
      </c>
      <c r="W501" t="inlineStr">
        <is>
          <t>Above 75 DMA</t>
        </is>
      </c>
    </row>
    <row r="502">
      <c r="A502" s="23">
        <v>46152.0</v>
      </c>
      <c r="B502" s="25" t="str">
        <f t="shared" si="6"/>
        <v>Sunday</v>
      </c>
      <c r="C502" s="243" t="s">
        <v>156</v>
      </c>
      <c r="D502" s="31">
        <f>IFERROR(__xludf.DUMMYFUNCTION("GOOGLEFINANCE(""NSE:""&amp;UPPER(TRIM(E502)),""marketcap"")/10000000"),102604.5373246)</f>
        <v>102604.5373</v>
      </c>
      <c r="E502" s="244" t="s">
        <v>367</v>
      </c>
      <c r="F502" s="39">
        <f>IFERROR(__xludf.DUMMYFUNCTION("IF(OR(E502="""",A502=""""),"""",
 IF(
   DATE(VALUE(RIGHT(A502,4)),VALUE(MID(A502,4,2)),VALUE(LEFT(A502,2)))&gt;=TODAY(),
   IFERROR(
     GOOGLEFINANCE(""NSE:""&amp;UPPER(TRIM(E502)),""price""),
     ""Not Available""
   ),
   IFERROR(
     INDEX(
       GOOGLE"&amp;"FINANCE(
         ""NSE:""&amp;UPPER(TRIM(E502)),
         ""close"",
         DATE(VALUE(RIGHT(A502,4)),VALUE(MID(A502,4,2)),VALUE(LEFT(A502,2))),
         DATE(VALUE(RIGHT(A502,4)),VALUE(MID(A502,4,2)),VALUE(LEFT(A502,2)))+1
       ),
       2,2
     ),
   "&amp;"  ""Not Available""
   )
 ))"),2468.8)</f>
        <v>2468.8</v>
      </c>
      <c r="G502" s="42">
        <f>IFERROR(__xludf.DUMMYFUNCTION("IF(E502="""","""",IFERROR(GOOGLEFINANCE(""NSE:""&amp;UPPER(TRIM(E502)),""price""),""Not Available""))"),2484.1)</f>
        <v>2484.1</v>
      </c>
      <c r="H502" s="53">
        <f t="shared" si="1"/>
        <v>137</v>
      </c>
      <c r="I502" s="58">
        <f t="shared" si="2"/>
        <v>0.006197342839</v>
      </c>
      <c r="J502" s="60">
        <f t="shared" si="3"/>
        <v>619.7342839</v>
      </c>
      <c r="K502" s="62">
        <v>2376.0</v>
      </c>
      <c r="L502" s="62">
        <v>1659.0</v>
      </c>
      <c r="M502" s="68">
        <f t="shared" si="4"/>
        <v>-0.03758911212</v>
      </c>
      <c r="N502" s="68">
        <f t="shared" si="5"/>
        <v>-0.3280136099</v>
      </c>
      <c r="O502" s="68">
        <v>0.0701555411536</v>
      </c>
      <c r="P502" s="23">
        <v>46232</v>
      </c>
      <c r="R502" s="68">
        <v>0.7263</v>
      </c>
      <c r="S502" s="23">
        <v>46203</v>
      </c>
      <c r="T502" s="23">
        <v>46150</v>
      </c>
      <c r="U502" s="39">
        <v>2430.8</v>
      </c>
      <c r="V502" s="39">
        <v>2131.98</v>
      </c>
      <c r="W502" t="inlineStr">
        <is>
          <t>Above 75 DMA</t>
        </is>
      </c>
    </row>
    <row r="503">
      <c r="A503" s="23">
        <v>46152.0</v>
      </c>
      <c r="B503" s="25" t="str">
        <f t="shared" si="6"/>
        <v>Sunday</v>
      </c>
      <c r="C503" s="243" t="s">
        <v>156</v>
      </c>
      <c r="D503" s="31">
        <f>IFERROR(__xludf.DUMMYFUNCTION("GOOGLEFINANCE(""NSE:""&amp;UPPER(TRIM(E503)),""marketcap"")/10000000"),1139.0466875)</f>
        <v>1139.046688</v>
      </c>
      <c r="E503" s="244" t="s">
        <v>368</v>
      </c>
      <c r="F503" s="39">
        <f>IFERROR(__xludf.DUMMYFUNCTION("IF(OR(E503="""",A503=""""),"""",
 IF(
   DATE(VALUE(RIGHT(A503,4)),VALUE(MID(A503,4,2)),VALUE(LEFT(A503,2)))&gt;=TODAY(),
   IFERROR(
     GOOGLEFINANCE(""NSE:""&amp;UPPER(TRIM(E503)),""price""),
     ""Not Available""
   ),
   IFERROR(
     INDEX(
       GOOGLE"&amp;"FINANCE(
         ""NSE:""&amp;UPPER(TRIM(E503)),
         ""close"",
         DATE(VALUE(RIGHT(A503,4)),VALUE(MID(A503,4,2)),VALUE(LEFT(A503,2))),
         DATE(VALUE(RIGHT(A503,4)),VALUE(MID(A503,4,2)),VALUE(LEFT(A503,2)))+1
       ),
       2,2
     ),
   "&amp;"  ""Not Available""
   )
 ))"),252.83)</f>
        <v>252.83</v>
      </c>
      <c r="G503" s="42">
        <f>IFERROR(__xludf.DUMMYFUNCTION("IF(E503="""","""",IFERROR(GOOGLEFINANCE(""NSE:""&amp;UPPER(TRIM(E503)),""price""),""Not Available""))"),165.6)</f>
        <v>165.6</v>
      </c>
      <c r="H503" s="53">
        <f t="shared" si="1"/>
        <v>137</v>
      </c>
      <c r="I503" s="58">
        <f t="shared" si="2"/>
        <v>-0.3450144366</v>
      </c>
      <c r="J503" s="60">
        <f t="shared" si="3"/>
        <v>-34501.44366</v>
      </c>
      <c r="K503" s="62">
        <v>279.0</v>
      </c>
      <c r="L503" s="62">
        <v>128.0</v>
      </c>
      <c r="M503" s="68">
        <f t="shared" si="4"/>
        <v>0.1035082862</v>
      </c>
      <c r="N503" s="68">
        <f t="shared" si="5"/>
        <v>-0.4937309655</v>
      </c>
      <c r="O503" s="68">
        <v>0.0362694300518</v>
      </c>
      <c r="P503" s="23">
        <v>46153</v>
      </c>
      <c r="R503" s="68">
        <v>0.4127</v>
      </c>
      <c r="S503" s="23">
        <v>46203</v>
      </c>
      <c r="T503" s="23">
        <v>46150</v>
      </c>
      <c r="U503" s="39">
        <v>250.78</v>
      </c>
      <c r="V503" s="39">
        <v>181.055466667</v>
      </c>
      <c r="W503" t="inlineStr">
        <is>
          <t>Above 75 DMA</t>
        </is>
      </c>
    </row>
    <row r="504">
      <c r="A504" s="23">
        <v>46152.0</v>
      </c>
      <c r="B504" s="25" t="str">
        <f t="shared" si="6"/>
        <v>Sunday</v>
      </c>
      <c r="C504" s="243" t="s">
        <v>156</v>
      </c>
      <c r="D504" s="31">
        <f>IFERROR(__xludf.DUMMYFUNCTION("GOOGLEFINANCE(""NSE:""&amp;UPPER(TRIM(E504)),""marketcap"")/10000000"),944.346174)</f>
        <v>944.346174</v>
      </c>
      <c r="E504" s="244" t="s">
        <v>369</v>
      </c>
      <c r="F504" s="39">
        <f>IFERROR(__xludf.DUMMYFUNCTION("IF(OR(E504="""",A504=""""),"""",
 IF(
   DATE(VALUE(RIGHT(A504,4)),VALUE(MID(A504,4,2)),VALUE(LEFT(A504,2)))&gt;=TODAY(),
   IFERROR(
     GOOGLEFINANCE(""NSE:""&amp;UPPER(TRIM(E504)),""price""),
     ""Not Available""
   ),
   IFERROR(
     INDEX(
       GOOGLE"&amp;"FINANCE(
         ""NSE:""&amp;UPPER(TRIM(E504)),
         ""close"",
         DATE(VALUE(RIGHT(A504,4)),VALUE(MID(A504,4,2)),VALUE(LEFT(A504,2))),
         DATE(VALUE(RIGHT(A504,4)),VALUE(MID(A504,4,2)),VALUE(LEFT(A504,2)))+1
       ),
       2,2
     ),
   "&amp;"  ""Not Available""
   )
 ))"),772.05)</f>
        <v>772.05</v>
      </c>
      <c r="G504" s="42">
        <f>IFERROR(__xludf.DUMMYFUNCTION("IF(E504="""","""",IFERROR(GOOGLEFINANCE(""NSE:""&amp;UPPER(TRIM(E504)),""price""),""Not Available""))"),534.05)</f>
        <v>534.05</v>
      </c>
      <c r="H504" s="53">
        <f t="shared" si="1"/>
        <v>137</v>
      </c>
      <c r="I504" s="58">
        <f t="shared" si="2"/>
        <v>-0.3082701898</v>
      </c>
      <c r="J504" s="60">
        <f t="shared" si="3"/>
        <v>-30827.01898</v>
      </c>
      <c r="K504" s="62">
        <v>1068.0</v>
      </c>
      <c r="L504" s="62">
        <v>223.0</v>
      </c>
      <c r="M504" s="68">
        <f t="shared" si="4"/>
        <v>0.3833300952</v>
      </c>
      <c r="N504" s="68">
        <f t="shared" si="5"/>
        <v>-0.7111586037</v>
      </c>
      <c r="O504" s="68">
        <v>0.0100382099605</v>
      </c>
      <c r="P504" s="23">
        <v>46154</v>
      </c>
      <c r="R504" s="68">
        <v>0.3748</v>
      </c>
      <c r="S504" s="23">
        <v>46203</v>
      </c>
      <c r="T504" s="23">
        <v>46150</v>
      </c>
      <c r="U504" s="39">
        <v>734.4</v>
      </c>
      <c r="V504" s="39">
        <v>605.602</v>
      </c>
      <c r="W504" t="inlineStr">
        <is>
          <t>Above 75 DMA</t>
        </is>
      </c>
    </row>
    <row r="505">
      <c r="A505" s="23">
        <v>46147.0</v>
      </c>
      <c r="B505" s="25" t="str">
        <f t="shared" si="6"/>
        <v>Tuesday</v>
      </c>
      <c r="C505" s="243" t="s">
        <v>156</v>
      </c>
      <c r="D505" s="31">
        <f>IFERROR(__xludf.DUMMYFUNCTION("GOOGLEFINANCE(""NSE:""&amp;UPPER(TRIM(E505)),""marketcap"")/10000000"),1784.3409381)</f>
        <v>1784.340938</v>
      </c>
      <c r="E505" s="244" t="s">
        <v>371</v>
      </c>
      <c r="F505" s="39">
        <f>IFERROR(__xludf.DUMMYFUNCTION("IF(OR(E505="""",A505=""""),"""",
 IF(
   DATE(VALUE(RIGHT(A505,4)),VALUE(MID(A505,4,2)),VALUE(LEFT(A505,2)))&gt;=TODAY(),
   IFERROR(
     GOOGLEFINANCE(""NSE:""&amp;UPPER(TRIM(E505)),""price""),
     ""Not Available""
   ),
   IFERROR(
     INDEX(
       GOOGLE"&amp;"FINANCE(
         ""NSE:""&amp;UPPER(TRIM(E505)),
         ""close"",
         DATE(VALUE(RIGHT(A505,4)),VALUE(MID(A505,4,2)),VALUE(LEFT(A505,2))),
         DATE(VALUE(RIGHT(A505,4)),VALUE(MID(A505,4,2)),VALUE(LEFT(A505,2)))+1
       ),
       2,2
     ),
   "&amp;"  ""Not Available""
   )
 ))"),815.15)</f>
        <v>815.15</v>
      </c>
      <c r="G505" s="42">
        <f>IFERROR(__xludf.DUMMYFUNCTION("IF(E505="""","""",IFERROR(GOOGLEFINANCE(""NSE:""&amp;UPPER(TRIM(E505)),""price""),""Not Available""))"),993.95)</f>
        <v>993.95</v>
      </c>
      <c r="H505" s="53">
        <f t="shared" si="1"/>
        <v>142</v>
      </c>
      <c r="I505" s="58">
        <f t="shared" si="2"/>
        <v>0.2193461326</v>
      </c>
      <c r="J505" s="60">
        <f t="shared" si="3"/>
        <v>21934.61326</v>
      </c>
      <c r="K505" s="62">
        <v>1177.0</v>
      </c>
      <c r="L505" s="62">
        <v>308.0</v>
      </c>
      <c r="M505" s="68">
        <f t="shared" si="4"/>
        <v>0.4439060296</v>
      </c>
      <c r="N505" s="68">
        <f t="shared" si="5"/>
        <v>-0.6221554315</v>
      </c>
      <c r="O505" s="68">
        <v>0.621787401092</v>
      </c>
      <c r="P505" s="23">
        <v>46224</v>
      </c>
      <c r="R505" s="68">
        <v>0.6722</v>
      </c>
      <c r="S505" s="23">
        <v>46203</v>
      </c>
      <c r="T505" s="23">
        <v>46147</v>
      </c>
      <c r="U505" s="39">
        <v>815.15</v>
      </c>
      <c r="V505" s="39">
        <v>678.523333333</v>
      </c>
      <c r="W505" t="inlineStr">
        <is>
          <t>Above 75 DMA</t>
        </is>
      </c>
    </row>
    <row r="506">
      <c r="A506" s="23">
        <v>46147.0</v>
      </c>
      <c r="B506" s="25" t="str">
        <f t="shared" si="6"/>
        <v>Tuesday</v>
      </c>
      <c r="C506" s="243" t="s">
        <v>156</v>
      </c>
      <c r="D506" s="31">
        <f>IFERROR(__xludf.DUMMYFUNCTION("GOOGLEFINANCE(""NSE:""&amp;UPPER(TRIM(E506)),""marketcap"")/10000000"),22408.5839084)</f>
        <v>22408.58391</v>
      </c>
      <c r="E506" s="244" t="s">
        <v>373</v>
      </c>
      <c r="F506" s="39">
        <f>IFERROR(__xludf.DUMMYFUNCTION("IF(OR(E506="""",A506=""""),"""",
 IF(
   DATE(VALUE(RIGHT(A506,4)),VALUE(MID(A506,4,2)),VALUE(LEFT(A506,2)))&gt;=TODAY(),
   IFERROR(
     GOOGLEFINANCE(""NSE:""&amp;UPPER(TRIM(E506)),""price""),
     ""Not Available""
   ),
   IFERROR(
     INDEX(
       GOOGLE"&amp;"FINANCE(
         ""NSE:""&amp;UPPER(TRIM(E506)),
         ""close"",
         DATE(VALUE(RIGHT(A506,4)),VALUE(MID(A506,4,2)),VALUE(LEFT(A506,2))),
         DATE(VALUE(RIGHT(A506,4)),VALUE(MID(A506,4,2)),VALUE(LEFT(A506,2)))+1
       ),
       2,2
     ),
   "&amp;"  ""Not Available""
   )
 ))"),476.95)</f>
        <v>476.95</v>
      </c>
      <c r="G506" s="42">
        <f>IFERROR(__xludf.DUMMYFUNCTION("IF(E506="""","""",IFERROR(GOOGLEFINANCE(""NSE:""&amp;UPPER(TRIM(E506)),""price""),""Not Available""))"),448.3)</f>
        <v>448.3</v>
      </c>
      <c r="H506" s="53">
        <f t="shared" si="1"/>
        <v>142</v>
      </c>
      <c r="I506" s="58">
        <f t="shared" si="2"/>
        <v>-0.06006918964</v>
      </c>
      <c r="J506" s="60">
        <f t="shared" si="3"/>
        <v>-6006.918964</v>
      </c>
      <c r="K506" s="62">
        <v>497.0</v>
      </c>
      <c r="L506" s="62">
        <v>237.0</v>
      </c>
      <c r="M506" s="68">
        <f t="shared" si="4"/>
        <v>0.04203794947</v>
      </c>
      <c r="N506" s="68">
        <f t="shared" si="5"/>
        <v>-0.5030925674</v>
      </c>
      <c r="O506" s="68">
        <v>0.199391969808</v>
      </c>
      <c r="P506" s="23">
        <v>46251</v>
      </c>
      <c r="R506" s="68">
        <v>0.75</v>
      </c>
      <c r="S506" s="23">
        <v>46203</v>
      </c>
      <c r="T506" s="23">
        <v>46147</v>
      </c>
      <c r="U506" s="39">
        <v>476.95</v>
      </c>
      <c r="V506" s="39">
        <v>411.779333333</v>
      </c>
      <c r="W506" t="inlineStr">
        <is>
          <t>Above 75 DMA</t>
        </is>
      </c>
    </row>
    <row r="507">
      <c r="A507" s="23">
        <v>46147.0</v>
      </c>
      <c r="B507" s="25" t="str">
        <f t="shared" si="6"/>
        <v>Tuesday</v>
      </c>
      <c r="C507" s="243" t="s">
        <v>156</v>
      </c>
      <c r="D507" s="31">
        <f>IFERROR(__xludf.DUMMYFUNCTION("GOOGLEFINANCE(""NSE:""&amp;UPPER(TRIM(E507)),""marketcap"")/10000000"),264.9608643)</f>
        <v>264.9608643</v>
      </c>
      <c r="E507" s="244" t="s">
        <v>374</v>
      </c>
      <c r="F507" s="39">
        <f>IFERROR(__xludf.DUMMYFUNCTION("IF(OR(E507="""",A507=""""),"""",
 IF(
   DATE(VALUE(RIGHT(A507,4)),VALUE(MID(A507,4,2)),VALUE(LEFT(A507,2)))&gt;=TODAY(),
   IFERROR(
     GOOGLEFINANCE(""NSE:""&amp;UPPER(TRIM(E507)),""price""),
     ""Not Available""
   ),
   IFERROR(
     INDEX(
       GOOGLE"&amp;"FINANCE(
         ""NSE:""&amp;UPPER(TRIM(E507)),
         ""close"",
         DATE(VALUE(RIGHT(A507,4)),VALUE(MID(A507,4,2)),VALUE(LEFT(A507,2))),
         DATE(VALUE(RIGHT(A507,4)),VALUE(MID(A507,4,2)),VALUE(LEFT(A507,2)))+1
       ),
       2,2
     ),
   "&amp;"  ""Not Available""
   )
 ))"),49.27)</f>
        <v>49.27</v>
      </c>
      <c r="G507" s="42">
        <f>IFERROR(__xludf.DUMMYFUNCTION("IF(E507="""","""",IFERROR(GOOGLEFINANCE(""NSE:""&amp;UPPER(TRIM(E507)),""price""),""Not Available""))"),61.19)</f>
        <v>61.19</v>
      </c>
      <c r="H507" s="53">
        <f t="shared" si="1"/>
        <v>142</v>
      </c>
      <c r="I507" s="58">
        <f t="shared" si="2"/>
        <v>0.2419322103</v>
      </c>
      <c r="J507" s="60">
        <f t="shared" si="3"/>
        <v>24193.22103</v>
      </c>
      <c r="K507" s="62">
        <v>85.0</v>
      </c>
      <c r="L507" s="62">
        <v>16.0</v>
      </c>
      <c r="M507" s="68">
        <f t="shared" si="4"/>
        <v>0.725187741</v>
      </c>
      <c r="N507" s="68">
        <f t="shared" si="5"/>
        <v>-0.6752587782</v>
      </c>
      <c r="O507" s="68">
        <v>0.339557540085</v>
      </c>
      <c r="P507" s="23">
        <v>46280</v>
      </c>
      <c r="R507" s="68">
        <v>0.6983</v>
      </c>
      <c r="S507" s="23">
        <v>46203</v>
      </c>
      <c r="T507" s="23">
        <v>46147</v>
      </c>
      <c r="U507" s="39">
        <v>49.27</v>
      </c>
      <c r="V507" s="39">
        <v>37.7289333333</v>
      </c>
      <c r="W507" t="inlineStr">
        <is>
          <t>Above 75 DMA</t>
        </is>
      </c>
    </row>
    <row r="508">
      <c r="A508" s="23">
        <v>46147.0</v>
      </c>
      <c r="B508" s="25" t="str">
        <f t="shared" si="6"/>
        <v>Tuesday</v>
      </c>
      <c r="C508" s="243" t="s">
        <v>156</v>
      </c>
      <c r="D508" s="31">
        <f>IFERROR(__xludf.DUMMYFUNCTION("GOOGLEFINANCE(""NSE:""&amp;UPPER(TRIM(E508)),""marketcap"")/10000000"),4433.0009929)</f>
        <v>4433.000993</v>
      </c>
      <c r="E508" s="244" t="s">
        <v>376</v>
      </c>
      <c r="F508" s="39">
        <f>IFERROR(__xludf.DUMMYFUNCTION("IF(OR(E508="""",A508=""""),"""",
 IF(
   DATE(VALUE(RIGHT(A508,4)),VALUE(MID(A508,4,2)),VALUE(LEFT(A508,2)))&gt;=TODAY(),
   IFERROR(
     GOOGLEFINANCE(""NSE:""&amp;UPPER(TRIM(E508)),""price""),
     ""Not Available""
   ),
   IFERROR(
     INDEX(
       GOOGLE"&amp;"FINANCE(
         ""NSE:""&amp;UPPER(TRIM(E508)),
         ""close"",
         DATE(VALUE(RIGHT(A508,4)),VALUE(MID(A508,4,2)),VALUE(LEFT(A508,2))),
         DATE(VALUE(RIGHT(A508,4)),VALUE(MID(A508,4,2)),VALUE(LEFT(A508,2)))+1
       ),
       2,2
     ),
   "&amp;"  ""Not Available""
   )
 ))"),93.29)</f>
        <v>93.29</v>
      </c>
      <c r="G508" s="42">
        <f>IFERROR(__xludf.DUMMYFUNCTION("IF(E508="""","""",IFERROR(GOOGLEFINANCE(""NSE:""&amp;UPPER(TRIM(E508)),""price""),""Not Available""))"),71.75)</f>
        <v>71.75</v>
      </c>
      <c r="H508" s="53">
        <f t="shared" si="1"/>
        <v>142</v>
      </c>
      <c r="I508" s="58">
        <f t="shared" si="2"/>
        <v>-0.2308929146</v>
      </c>
      <c r="J508" s="60">
        <f t="shared" si="3"/>
        <v>-23089.29146</v>
      </c>
      <c r="K508" s="62">
        <v>124.0</v>
      </c>
      <c r="L508" s="62">
        <v>55.0</v>
      </c>
      <c r="M508" s="68">
        <f t="shared" si="4"/>
        <v>0.3291885518</v>
      </c>
      <c r="N508" s="68">
        <f t="shared" si="5"/>
        <v>-0.4104405617</v>
      </c>
      <c r="O508" s="68">
        <v>0.0279772751635</v>
      </c>
      <c r="P508" s="23">
        <v>46148</v>
      </c>
      <c r="R508" s="68">
        <v>0.5013</v>
      </c>
      <c r="S508" s="23">
        <v>46203</v>
      </c>
      <c r="T508" s="23">
        <v>46147</v>
      </c>
      <c r="U508" s="39">
        <v>93.29</v>
      </c>
      <c r="V508" s="39">
        <v>74.8577333333</v>
      </c>
      <c r="W508" t="inlineStr">
        <is>
          <t>Above 75 DMA</t>
        </is>
      </c>
    </row>
    <row r="509">
      <c r="A509" s="23">
        <v>46147.0</v>
      </c>
      <c r="B509" s="25" t="str">
        <f t="shared" si="6"/>
        <v>Tuesday</v>
      </c>
      <c r="C509" s="243" t="s">
        <v>156</v>
      </c>
      <c r="D509" s="31">
        <f>IFERROR(__xludf.DUMMYFUNCTION("GOOGLEFINANCE(""NSE:""&amp;UPPER(TRIM(E509)),""marketcap"")/10000000"),383.3313099)</f>
        <v>383.3313099</v>
      </c>
      <c r="E509" s="244" t="s">
        <v>377</v>
      </c>
      <c r="F509" s="39">
        <f>IFERROR(__xludf.DUMMYFUNCTION("IF(OR(E509="""",A509=""""),"""",
 IF(
   DATE(VALUE(RIGHT(A509,4)),VALUE(MID(A509,4,2)),VALUE(LEFT(A509,2)))&gt;=TODAY(),
   IFERROR(
     GOOGLEFINANCE(""NSE:""&amp;UPPER(TRIM(E509)),""price""),
     ""Not Available""
   ),
   IFERROR(
     INDEX(
       GOOGLE"&amp;"FINANCE(
         ""NSE:""&amp;UPPER(TRIM(E509)),
         ""close"",
         DATE(VALUE(RIGHT(A509,4)),VALUE(MID(A509,4,2)),VALUE(LEFT(A509,2))),
         DATE(VALUE(RIGHT(A509,4)),VALUE(MID(A509,4,2)),VALUE(LEFT(A509,2)))+1
       ),
       2,2
     ),
   "&amp;"  ""Not Available""
   )
 ))"),77.3)</f>
        <v>77.3</v>
      </c>
      <c r="G509" s="42">
        <f>IFERROR(__xludf.DUMMYFUNCTION("IF(E509="""","""",IFERROR(GOOGLEFINANCE(""NSE:""&amp;UPPER(TRIM(E509)),""price""),""Not Available""))"),84.48)</f>
        <v>84.48</v>
      </c>
      <c r="H509" s="53">
        <f t="shared" si="1"/>
        <v>142</v>
      </c>
      <c r="I509" s="58">
        <f t="shared" si="2"/>
        <v>0.09288486417</v>
      </c>
      <c r="J509" s="60">
        <f t="shared" si="3"/>
        <v>9288.486417</v>
      </c>
      <c r="K509" s="62">
        <v>130.0</v>
      </c>
      <c r="L509" s="62">
        <v>34.0</v>
      </c>
      <c r="M509" s="68">
        <f t="shared" si="4"/>
        <v>0.681759379</v>
      </c>
      <c r="N509" s="68">
        <f t="shared" si="5"/>
        <v>-0.5601552393</v>
      </c>
      <c r="O509" s="68">
        <v>0.345407503234</v>
      </c>
      <c r="P509" s="23">
        <v>46247</v>
      </c>
      <c r="R509" s="68">
        <v>0.326</v>
      </c>
      <c r="S509" s="23">
        <v>46203</v>
      </c>
      <c r="T509" s="23">
        <v>46147</v>
      </c>
      <c r="U509" s="39">
        <v>77.3</v>
      </c>
      <c r="V509" s="39">
        <v>69.3222666667</v>
      </c>
      <c r="W509" t="inlineStr">
        <is>
          <t>Above 75 DMA</t>
        </is>
      </c>
    </row>
    <row r="510">
      <c r="A510" s="23">
        <v>46147.0</v>
      </c>
      <c r="B510" s="25" t="str">
        <f t="shared" si="6"/>
        <v>Tuesday</v>
      </c>
      <c r="C510" s="243" t="s">
        <v>156</v>
      </c>
      <c r="D510" s="31">
        <f>IFERROR(__xludf.DUMMYFUNCTION("GOOGLEFINANCE(""NSE:""&amp;UPPER(TRIM(E510)),""marketcap"")/10000000"),1209.0856894)</f>
        <v>1209.085689</v>
      </c>
      <c r="E510" s="244" t="s">
        <v>379</v>
      </c>
      <c r="F510" s="39">
        <f>IFERROR(__xludf.DUMMYFUNCTION("IF(OR(E510="""",A510=""""),"""",
 IF(
   DATE(VALUE(RIGHT(A510,4)),VALUE(MID(A510,4,2)),VALUE(LEFT(A510,2)))&gt;=TODAY(),
   IFERROR(
     GOOGLEFINANCE(""NSE:""&amp;UPPER(TRIM(E510)),""price""),
     ""Not Available""
   ),
   IFERROR(
     INDEX(
       GOOGLE"&amp;"FINANCE(
         ""NSE:""&amp;UPPER(TRIM(E510)),
         ""close"",
         DATE(VALUE(RIGHT(A510,4)),VALUE(MID(A510,4,2)),VALUE(LEFT(A510,2))),
         DATE(VALUE(RIGHT(A510,4)),VALUE(MID(A510,4,2)),VALUE(LEFT(A510,2)))+1
       ),
       2,2
     ),
   "&amp;"  ""Not Available""
   )
 ))"),90.61)</f>
        <v>90.61</v>
      </c>
      <c r="G510" s="42">
        <f>IFERROR(__xludf.DUMMYFUNCTION("IF(E510="""","""",IFERROR(GOOGLEFINANCE(""NSE:""&amp;UPPER(TRIM(E510)),""price""),""Not Available""))"),70.85)</f>
        <v>70.85</v>
      </c>
      <c r="H510" s="53">
        <f t="shared" si="1"/>
        <v>142</v>
      </c>
      <c r="I510" s="58">
        <f t="shared" si="2"/>
        <v>-0.2180774749</v>
      </c>
      <c r="J510" s="60">
        <f t="shared" si="3"/>
        <v>-21807.74749</v>
      </c>
      <c r="K510" s="62">
        <v>138.0</v>
      </c>
      <c r="L510" s="62">
        <v>51.0</v>
      </c>
      <c r="M510" s="68">
        <f t="shared" si="4"/>
        <v>0.5230107052</v>
      </c>
      <c r="N510" s="68">
        <f t="shared" si="5"/>
        <v>-0.4371482176</v>
      </c>
      <c r="O510" s="68">
        <v>0.0913806423132</v>
      </c>
      <c r="P510" s="23">
        <v>46150</v>
      </c>
      <c r="R510" s="68">
        <v>0.2789</v>
      </c>
      <c r="S510" s="23">
        <v>46203</v>
      </c>
      <c r="T510" s="23">
        <v>46147</v>
      </c>
      <c r="U510" s="39">
        <v>90.61</v>
      </c>
      <c r="V510" s="39">
        <v>76.9352</v>
      </c>
      <c r="W510" t="inlineStr">
        <is>
          <t>Above 75 DMA</t>
        </is>
      </c>
    </row>
    <row r="511">
      <c r="A511" s="23">
        <v>46147.0</v>
      </c>
      <c r="B511" s="25" t="str">
        <f t="shared" si="6"/>
        <v>Tuesday</v>
      </c>
      <c r="C511" s="243" t="s">
        <v>156</v>
      </c>
      <c r="D511" s="31">
        <f>IFERROR(__xludf.DUMMYFUNCTION("GOOGLEFINANCE(""NSE:""&amp;UPPER(TRIM(E511)),""marketcap"")/10000000"),29209.3352416)</f>
        <v>29209.33524</v>
      </c>
      <c r="E511" s="244" t="s">
        <v>380</v>
      </c>
      <c r="F511" s="39">
        <f>IFERROR(__xludf.DUMMYFUNCTION("IF(OR(E511="""",A511=""""),"""",
 IF(
   DATE(VALUE(RIGHT(A511,4)),VALUE(MID(A511,4,2)),VALUE(LEFT(A511,2)))&gt;=TODAY(),
   IFERROR(
     GOOGLEFINANCE(""NSE:""&amp;UPPER(TRIM(E511)),""price""),
     ""Not Available""
   ),
   IFERROR(
     INDEX(
       GOOGLE"&amp;"FINANCE(
         ""NSE:""&amp;UPPER(TRIM(E511)),
         ""close"",
         DATE(VALUE(RIGHT(A511,4)),VALUE(MID(A511,4,2)),VALUE(LEFT(A511,2))),
         DATE(VALUE(RIGHT(A511,4)),VALUE(MID(A511,4,2)),VALUE(LEFT(A511,2)))+1
       ),
       2,2
     ),
   "&amp;"  ""Not Available""
   )
 ))"),624.05)</f>
        <v>624.05</v>
      </c>
      <c r="G511" s="42">
        <f>IFERROR(__xludf.DUMMYFUNCTION("IF(E511="""","""",IFERROR(GOOGLEFINANCE(""NSE:""&amp;UPPER(TRIM(E511)),""price""),""Not Available""))"),719.35)</f>
        <v>719.35</v>
      </c>
      <c r="H511" s="53">
        <f t="shared" si="1"/>
        <v>142</v>
      </c>
      <c r="I511" s="58">
        <f t="shared" si="2"/>
        <v>0.1527121224</v>
      </c>
      <c r="J511" s="60">
        <f t="shared" si="3"/>
        <v>15271.21224</v>
      </c>
      <c r="K511" s="62">
        <v>794.0</v>
      </c>
      <c r="L511" s="62">
        <v>381.0</v>
      </c>
      <c r="M511" s="68">
        <f t="shared" si="4"/>
        <v>0.2723339476</v>
      </c>
      <c r="N511" s="68">
        <f t="shared" si="5"/>
        <v>-0.3894719974</v>
      </c>
      <c r="O511" s="68">
        <v>0.42777021072</v>
      </c>
      <c r="P511" s="23">
        <v>46245</v>
      </c>
      <c r="Q511" s="68">
        <v>0.195415283547</v>
      </c>
      <c r="R511" s="68">
        <v>0.5517</v>
      </c>
      <c r="S511" s="23">
        <v>46203</v>
      </c>
      <c r="T511" s="23">
        <v>46147</v>
      </c>
      <c r="U511" s="39">
        <v>624.05</v>
      </c>
      <c r="V511" s="39">
        <v>590.894666667</v>
      </c>
      <c r="W511" t="inlineStr">
        <is>
          <t>Above 75 DMA</t>
        </is>
      </c>
    </row>
    <row r="512">
      <c r="A512" s="23">
        <v>46147.0</v>
      </c>
      <c r="B512" s="25" t="str">
        <f t="shared" si="6"/>
        <v>Tuesday</v>
      </c>
      <c r="C512" s="243" t="s">
        <v>156</v>
      </c>
      <c r="D512" s="31">
        <f>IFERROR(__xludf.DUMMYFUNCTION("GOOGLEFINANCE(""NSE:""&amp;UPPER(TRIM(E512)),""marketcap"")/10000000"),1819.975635)</f>
        <v>1819.975635</v>
      </c>
      <c r="E512" s="244" t="s">
        <v>382</v>
      </c>
      <c r="F512" s="39">
        <f>IFERROR(__xludf.DUMMYFUNCTION("IF(OR(E512="""",A512=""""),"""",
 IF(
   DATE(VALUE(RIGHT(A512,4)),VALUE(MID(A512,4,2)),VALUE(LEFT(A512,2)))&gt;=TODAY(),
   IFERROR(
     GOOGLEFINANCE(""NSE:""&amp;UPPER(TRIM(E512)),""price""),
     ""Not Available""
   ),
   IFERROR(
     INDEX(
       GOOGLE"&amp;"FINANCE(
         ""NSE:""&amp;UPPER(TRIM(E512)),
         ""close"",
         DATE(VALUE(RIGHT(A512,4)),VALUE(MID(A512,4,2)),VALUE(LEFT(A512,2))),
         DATE(VALUE(RIGHT(A512,4)),VALUE(MID(A512,4,2)),VALUE(LEFT(A512,2)))+1
       ),
       2,2
     ),
   "&amp;"  ""Not Available""
   )
 ))"),439.35)</f>
        <v>439.35</v>
      </c>
      <c r="G512" s="42">
        <f>IFERROR(__xludf.DUMMYFUNCTION("IF(E512="""","""",IFERROR(GOOGLEFINANCE(""NSE:""&amp;UPPER(TRIM(E512)),""price""),""Not Available""))"),591.0)</f>
        <v>591</v>
      </c>
      <c r="H512" s="53">
        <f t="shared" si="1"/>
        <v>142</v>
      </c>
      <c r="I512" s="58">
        <f t="shared" si="2"/>
        <v>0.3451689997</v>
      </c>
      <c r="J512" s="60">
        <f t="shared" si="3"/>
        <v>34516.89997</v>
      </c>
      <c r="K512" s="62">
        <v>633.0</v>
      </c>
      <c r="L512" s="62">
        <v>258.0</v>
      </c>
      <c r="M512" s="68">
        <f t="shared" si="4"/>
        <v>0.4407647661</v>
      </c>
      <c r="N512" s="68">
        <f t="shared" si="5"/>
        <v>-0.4127688631</v>
      </c>
      <c r="O512" s="68">
        <v>0.35279390008</v>
      </c>
      <c r="P512" s="23">
        <v>46286</v>
      </c>
      <c r="R512" s="68">
        <v>0.6874</v>
      </c>
      <c r="S512" s="23">
        <v>46203</v>
      </c>
      <c r="T512" s="23">
        <v>46147</v>
      </c>
      <c r="U512" s="39">
        <v>439.35</v>
      </c>
      <c r="V512" s="39">
        <v>373.07</v>
      </c>
      <c r="W512" t="inlineStr">
        <is>
          <t>Above 75 DMA</t>
        </is>
      </c>
    </row>
    <row r="513">
      <c r="A513" s="23">
        <v>46147.0</v>
      </c>
      <c r="B513" s="25" t="str">
        <f t="shared" si="6"/>
        <v>Tuesday</v>
      </c>
      <c r="C513" s="243" t="s">
        <v>156</v>
      </c>
      <c r="D513" s="31">
        <f>IFERROR(__xludf.DUMMYFUNCTION("GOOGLEFINANCE(""NSE:""&amp;UPPER(TRIM(E513)),""marketcap"")/10000000"),7092.534267)</f>
        <v>7092.534267</v>
      </c>
      <c r="E513" s="244" t="s">
        <v>383</v>
      </c>
      <c r="F513" s="39">
        <f>IFERROR(__xludf.DUMMYFUNCTION("IF(OR(E513="""",A513=""""),"""",
 IF(
   DATE(VALUE(RIGHT(A513,4)),VALUE(MID(A513,4,2)),VALUE(LEFT(A513,2)))&gt;=TODAY(),
   IFERROR(
     GOOGLEFINANCE(""NSE:""&amp;UPPER(TRIM(E513)),""price""),
     ""Not Available""
   ),
   IFERROR(
     INDEX(
       GOOGLE"&amp;"FINANCE(
         ""NSE:""&amp;UPPER(TRIM(E513)),
         ""close"",
         DATE(VALUE(RIGHT(A513,4)),VALUE(MID(A513,4,2)),VALUE(LEFT(A513,2))),
         DATE(VALUE(RIGHT(A513,4)),VALUE(MID(A513,4,2)),VALUE(LEFT(A513,2)))+1
       ),
       2,2
     ),
   "&amp;"  ""Not Available""
   )
 ))"),350.8)</f>
        <v>350.8</v>
      </c>
      <c r="G513" s="42">
        <f>IFERROR(__xludf.DUMMYFUNCTION("IF(E513="""","""",IFERROR(GOOGLEFINANCE(""NSE:""&amp;UPPER(TRIM(E513)),""price""),""Not Available""))"),393.65)</f>
        <v>393.65</v>
      </c>
      <c r="H513" s="53">
        <f t="shared" si="1"/>
        <v>142</v>
      </c>
      <c r="I513" s="58">
        <f t="shared" si="2"/>
        <v>0.1221493729</v>
      </c>
      <c r="J513" s="60">
        <f t="shared" si="3"/>
        <v>12214.93729</v>
      </c>
      <c r="K513" s="62">
        <v>474.0</v>
      </c>
      <c r="L513" s="62">
        <v>160.0</v>
      </c>
      <c r="M513" s="68">
        <f t="shared" si="4"/>
        <v>0.3511972634</v>
      </c>
      <c r="N513" s="68">
        <f t="shared" si="5"/>
        <v>-0.5438996579</v>
      </c>
      <c r="O513" s="68">
        <v>0.220068415051</v>
      </c>
      <c r="P513" s="23">
        <v>46149</v>
      </c>
      <c r="R513" s="68">
        <v>0.5116</v>
      </c>
      <c r="S513" s="23">
        <v>46203</v>
      </c>
      <c r="T513" s="23">
        <v>46147</v>
      </c>
      <c r="U513" s="39">
        <v>350.8</v>
      </c>
      <c r="V513" s="39">
        <v>247.276666667</v>
      </c>
      <c r="W513" t="inlineStr">
        <is>
          <t>Above 75 DMA</t>
        </is>
      </c>
    </row>
    <row r="514">
      <c r="A514" s="23">
        <v>46146.0</v>
      </c>
      <c r="B514" s="25" t="str">
        <f t="shared" si="6"/>
        <v>Monday</v>
      </c>
      <c r="C514" s="243" t="s">
        <v>156</v>
      </c>
      <c r="D514" s="31">
        <f>IFERROR(__xludf.DUMMYFUNCTION("GOOGLEFINANCE(""NSE:""&amp;UPPER(TRIM(E514)),""marketcap"")/10000000"),8023.7623367)</f>
        <v>8023.762337</v>
      </c>
      <c r="E514" s="244" t="s">
        <v>385</v>
      </c>
      <c r="F514" s="39">
        <f>IFERROR(__xludf.DUMMYFUNCTION("IF(OR(E514="""",A514=""""),"""",
 IF(
   DATE(VALUE(RIGHT(A514,4)),VALUE(MID(A514,4,2)),VALUE(LEFT(A514,2)))&gt;=TODAY(),
   IFERROR(
     GOOGLEFINANCE(""NSE:""&amp;UPPER(TRIM(E514)),""price""),
     ""Not Available""
   ),
   IFERROR(
     INDEX(
       GOOGLE"&amp;"FINANCE(
         ""NSE:""&amp;UPPER(TRIM(E514)),
         ""close"",
         DATE(VALUE(RIGHT(A514,4)),VALUE(MID(A514,4,2)),VALUE(LEFT(A514,2))),
         DATE(VALUE(RIGHT(A514,4)),VALUE(MID(A514,4,2)),VALUE(LEFT(A514,2)))+1
       ),
       2,2
     ),
   "&amp;"  ""Not Available""
   )
 ))"),70.9)</f>
        <v>70.9</v>
      </c>
      <c r="G514" s="42">
        <f>IFERROR(__xludf.DUMMYFUNCTION("IF(E514="""","""",IFERROR(GOOGLEFINANCE(""NSE:""&amp;UPPER(TRIM(E514)),""price""),""Not Available""))"),70.13)</f>
        <v>70.13</v>
      </c>
      <c r="H514" s="53">
        <f t="shared" si="1"/>
        <v>143</v>
      </c>
      <c r="I514" s="58">
        <f t="shared" si="2"/>
        <v>-0.01086036671</v>
      </c>
      <c r="J514" s="60">
        <f t="shared" si="3"/>
        <v>-1086.036671</v>
      </c>
      <c r="K514" s="62">
        <v>81.0</v>
      </c>
      <c r="L514" s="62">
        <v>48.0</v>
      </c>
      <c r="M514" s="68">
        <f t="shared" si="4"/>
        <v>0.1424541608</v>
      </c>
      <c r="N514" s="68">
        <f t="shared" si="5"/>
        <v>-0.3229901269</v>
      </c>
      <c r="O514" s="68">
        <v>0.183356840621</v>
      </c>
      <c r="P514" s="23">
        <v>46218</v>
      </c>
      <c r="R514" s="68">
        <v>0</v>
      </c>
      <c r="S514" s="23">
        <v>46203</v>
      </c>
      <c r="T514" s="23">
        <v>46146</v>
      </c>
      <c r="U514" s="39">
        <v>70.9</v>
      </c>
      <c r="V514" s="39">
        <v>63.7372</v>
      </c>
      <c r="W514" t="inlineStr">
        <is>
          <t>Above 75 DMA</t>
        </is>
      </c>
    </row>
    <row r="515">
      <c r="A515" s="23">
        <v>46146.0</v>
      </c>
      <c r="B515" s="25" t="str">
        <f t="shared" si="6"/>
        <v>Monday</v>
      </c>
      <c r="C515" s="243" t="s">
        <v>156</v>
      </c>
      <c r="D515" s="31">
        <f>IFERROR(__xludf.DUMMYFUNCTION("GOOGLEFINANCE(""NSE:""&amp;UPPER(TRIM(E515)),""marketcap"")/10000000"),7092.534267)</f>
        <v>7092.534267</v>
      </c>
      <c r="E515" s="244" t="s">
        <v>383</v>
      </c>
      <c r="F515" s="39">
        <f>IFERROR(__xludf.DUMMYFUNCTION("IF(OR(E515="""",A515=""""),"""",
 IF(
   DATE(VALUE(RIGHT(A515,4)),VALUE(MID(A515,4,2)),VALUE(LEFT(A515,2)))&gt;=TODAY(),
   IFERROR(
     GOOGLEFINANCE(""NSE:""&amp;UPPER(TRIM(E515)),""price""),
     ""Not Available""
   ),
   IFERROR(
     INDEX(
       GOOGLE"&amp;"FINANCE(
         ""NSE:""&amp;UPPER(TRIM(E515)),
         ""close"",
         DATE(VALUE(RIGHT(A515,4)),VALUE(MID(A515,4,2)),VALUE(LEFT(A515,2))),
         DATE(VALUE(RIGHT(A515,4)),VALUE(MID(A515,4,2)),VALUE(LEFT(A515,2)))+1
       ),
       2,2
     ),
   "&amp;"  ""Not Available""
   )
 ))"),321.15)</f>
        <v>321.15</v>
      </c>
      <c r="G515" s="42">
        <f>IFERROR(__xludf.DUMMYFUNCTION("IF(E515="""","""",IFERROR(GOOGLEFINANCE(""NSE:""&amp;UPPER(TRIM(E515)),""price""),""Not Available""))"),393.65)</f>
        <v>393.65</v>
      </c>
      <c r="H515" s="53">
        <f t="shared" si="1"/>
        <v>143</v>
      </c>
      <c r="I515" s="58">
        <f t="shared" si="2"/>
        <v>0.2257512066</v>
      </c>
      <c r="J515" s="60">
        <f t="shared" si="3"/>
        <v>22575.12066</v>
      </c>
      <c r="K515" s="62">
        <v>474.0</v>
      </c>
      <c r="L515" s="62">
        <v>160.0</v>
      </c>
      <c r="M515" s="68">
        <f t="shared" si="4"/>
        <v>0.4759458197</v>
      </c>
      <c r="N515" s="68">
        <f t="shared" si="5"/>
        <v>-0.5017904406</v>
      </c>
      <c r="O515" s="68">
        <v>0.332710571384</v>
      </c>
      <c r="P515" s="23">
        <v>46149</v>
      </c>
      <c r="R515" s="68">
        <v>0.5116</v>
      </c>
      <c r="S515" s="23">
        <v>46203</v>
      </c>
      <c r="T515" s="23">
        <v>46146</v>
      </c>
      <c r="U515" s="39">
        <v>321.15</v>
      </c>
      <c r="V515" s="39">
        <v>245.934</v>
      </c>
      <c r="W515" t="inlineStr">
        <is>
          <t>Above 75 DMA</t>
        </is>
      </c>
    </row>
    <row r="516">
      <c r="A516" s="23">
        <v>46146.0</v>
      </c>
      <c r="B516" s="25" t="str">
        <f t="shared" si="6"/>
        <v>Monday</v>
      </c>
      <c r="C516" s="243" t="s">
        <v>156</v>
      </c>
      <c r="D516" s="31">
        <f>IFERROR(__xludf.DUMMYFUNCTION("GOOGLEFINANCE(""NSE:""&amp;UPPER(TRIM(E516)),""marketcap"")/10000000"),32840.18148)</f>
        <v>32840.18148</v>
      </c>
      <c r="E516" s="244" t="s">
        <v>386</v>
      </c>
      <c r="F516" s="39">
        <f>IFERROR(__xludf.DUMMYFUNCTION("IF(OR(E516="""",A516=""""),"""",
 IF(
   DATE(VALUE(RIGHT(A516,4)),VALUE(MID(A516,4,2)),VALUE(LEFT(A516,2)))&gt;=TODAY(),
   IFERROR(
     GOOGLEFINANCE(""NSE:""&amp;UPPER(TRIM(E516)),""price""),
     ""Not Available""
   ),
   IFERROR(
     INDEX(
       GOOGLE"&amp;"FINANCE(
         ""NSE:""&amp;UPPER(TRIM(E516)),
         ""close"",
         DATE(VALUE(RIGHT(A516,4)),VALUE(MID(A516,4,2)),VALUE(LEFT(A516,2))),
         DATE(VALUE(RIGHT(A516,4)),VALUE(MID(A516,4,2)),VALUE(LEFT(A516,2)))+1
       ),
       2,2
     ),
   "&amp;"  ""Not Available""
   )
 ))"),1573.4)</f>
        <v>1573.4</v>
      </c>
      <c r="G516" s="42">
        <f>IFERROR(__xludf.DUMMYFUNCTION("IF(E516="""","""",IFERROR(GOOGLEFINANCE(""NSE:""&amp;UPPER(TRIM(E516)),""price""),""Not Available""))"),1964.0)</f>
        <v>1964</v>
      </c>
      <c r="H516" s="53">
        <f t="shared" si="1"/>
        <v>143</v>
      </c>
      <c r="I516" s="58">
        <f t="shared" si="2"/>
        <v>0.2482521927</v>
      </c>
      <c r="J516" s="60">
        <f t="shared" si="3"/>
        <v>24825.21927</v>
      </c>
      <c r="K516" s="62">
        <v>1503.0</v>
      </c>
      <c r="L516" s="62">
        <v>1389.0</v>
      </c>
      <c r="M516" s="68">
        <f t="shared" si="4"/>
        <v>-0.04474386679</v>
      </c>
      <c r="N516" s="68">
        <f t="shared" si="5"/>
        <v>-0.1171984238</v>
      </c>
      <c r="O516" s="68">
        <v>0.295665437905</v>
      </c>
      <c r="P516" s="23">
        <v>46281</v>
      </c>
      <c r="R516" s="68">
        <v>0.5319</v>
      </c>
      <c r="S516" s="23">
        <v>46203</v>
      </c>
      <c r="T516" s="23">
        <v>46146</v>
      </c>
      <c r="U516" s="39">
        <v>1573.4</v>
      </c>
      <c r="V516" s="39">
        <v>1393.192</v>
      </c>
      <c r="W516" t="inlineStr">
        <is>
          <t>Above 75 DMA</t>
        </is>
      </c>
    </row>
    <row r="517">
      <c r="A517" s="23">
        <v>46146.0</v>
      </c>
      <c r="B517" s="25" t="str">
        <f t="shared" si="6"/>
        <v>Monday</v>
      </c>
      <c r="C517" s="243" t="s">
        <v>156</v>
      </c>
      <c r="D517" s="31">
        <f>IFERROR(__xludf.DUMMYFUNCTION("GOOGLEFINANCE(""NSE:""&amp;UPPER(TRIM(E517)),""marketcap"")/10000000"),67179.792932)</f>
        <v>67179.79293</v>
      </c>
      <c r="E517" s="244" t="s">
        <v>387</v>
      </c>
      <c r="F517" s="39">
        <f>IFERROR(__xludf.DUMMYFUNCTION("IF(OR(E517="""",A517=""""),"""",
 IF(
   DATE(VALUE(RIGHT(A517,4)),VALUE(MID(A517,4,2)),VALUE(LEFT(A517,2)))&gt;=TODAY(),
   IFERROR(
     GOOGLEFINANCE(""NSE:""&amp;UPPER(TRIM(E517)),""price""),
     ""Not Available""
   ),
   IFERROR(
     INDEX(
       GOOGLE"&amp;"FINANCE(
         ""NSE:""&amp;UPPER(TRIM(E517)),
         ""close"",
         DATE(VALUE(RIGHT(A517,4)),VALUE(MID(A517,4,2)),VALUE(LEFT(A517,2))),
         DATE(VALUE(RIGHT(A517,4)),VALUE(MID(A517,4,2)),VALUE(LEFT(A517,2)))+1
       ),
       2,2
     ),
   "&amp;"  ""Not Available""
   )
 ))"),744.85)</f>
        <v>744.85</v>
      </c>
      <c r="G517" s="42">
        <f>IFERROR(__xludf.DUMMYFUNCTION("IF(E517="""","""",IFERROR(GOOGLEFINANCE(""NSE:""&amp;UPPER(TRIM(E517)),""price""),""Not Available""))"),770.7)</f>
        <v>770.7</v>
      </c>
      <c r="H517" s="53">
        <f t="shared" si="1"/>
        <v>143</v>
      </c>
      <c r="I517" s="58">
        <f t="shared" si="2"/>
        <v>0.03470497416</v>
      </c>
      <c r="J517" s="60">
        <f t="shared" si="3"/>
        <v>3470.497416</v>
      </c>
      <c r="K517" s="62">
        <v>689.0</v>
      </c>
      <c r="L517" s="62">
        <v>928.0</v>
      </c>
      <c r="M517" s="68">
        <f t="shared" si="4"/>
        <v>-0.07498153991</v>
      </c>
      <c r="N517" s="68">
        <f t="shared" si="5"/>
        <v>0.2458884339</v>
      </c>
      <c r="O517" s="68">
        <v>0.196616768477</v>
      </c>
      <c r="P517" s="23">
        <v>46244</v>
      </c>
      <c r="R517" s="68">
        <v>0.4039</v>
      </c>
      <c r="S517" s="23">
        <v>46203</v>
      </c>
      <c r="T517" s="23">
        <v>46146</v>
      </c>
      <c r="U517" s="39">
        <v>744.85</v>
      </c>
      <c r="V517" s="39">
        <v>634.27</v>
      </c>
      <c r="W517" t="inlineStr">
        <is>
          <t>Above 75 DMA</t>
        </is>
      </c>
    </row>
    <row r="518">
      <c r="A518" s="23">
        <v>46146.0</v>
      </c>
      <c r="B518" s="25" t="str">
        <f t="shared" si="6"/>
        <v>Monday</v>
      </c>
      <c r="C518" s="243" t="s">
        <v>156</v>
      </c>
      <c r="D518" s="31">
        <f>IFERROR(__xludf.DUMMYFUNCTION("GOOGLEFINANCE(""NSE:""&amp;UPPER(TRIM(E518)),""marketcap"")/10000000"),5225.8164599)</f>
        <v>5225.81646</v>
      </c>
      <c r="E518" s="244" t="s">
        <v>388</v>
      </c>
      <c r="F518" s="39">
        <f>IFERROR(__xludf.DUMMYFUNCTION("IF(OR(E518="""",A518=""""),"""",
 IF(
   DATE(VALUE(RIGHT(A518,4)),VALUE(MID(A518,4,2)),VALUE(LEFT(A518,2)))&gt;=TODAY(),
   IFERROR(
     GOOGLEFINANCE(""NSE:""&amp;UPPER(TRIM(E518)),""price""),
     ""Not Available""
   ),
   IFERROR(
     INDEX(
       GOOGLE"&amp;"FINANCE(
         ""NSE:""&amp;UPPER(TRIM(E518)),
         ""close"",
         DATE(VALUE(RIGHT(A518,4)),VALUE(MID(A518,4,2)),VALUE(LEFT(A518,2))),
         DATE(VALUE(RIGHT(A518,4)),VALUE(MID(A518,4,2)),VALUE(LEFT(A518,2)))+1
       ),
       2,2
     ),
   "&amp;"  ""Not Available""
   )
 ))"),968.25)</f>
        <v>968.25</v>
      </c>
      <c r="G518" s="42">
        <f>IFERROR(__xludf.DUMMYFUNCTION("IF(E518="""","""",IFERROR(GOOGLEFINANCE(""NSE:""&amp;UPPER(TRIM(E518)),""price""),""Not Available""))"),1504.2)</f>
        <v>1504.2</v>
      </c>
      <c r="H518" s="53">
        <f t="shared" si="1"/>
        <v>143</v>
      </c>
      <c r="I518" s="58">
        <f t="shared" si="2"/>
        <v>0.5535243997</v>
      </c>
      <c r="J518" s="60">
        <f t="shared" si="3"/>
        <v>55352.43997</v>
      </c>
      <c r="K518" s="62">
        <v>1414.0</v>
      </c>
      <c r="L518" s="62">
        <v>851.0</v>
      </c>
      <c r="M518" s="68">
        <f t="shared" si="4"/>
        <v>0.4603666408</v>
      </c>
      <c r="N518" s="68">
        <f t="shared" si="5"/>
        <v>-0.1210947586</v>
      </c>
      <c r="O518" s="68">
        <v>0.833100955332</v>
      </c>
      <c r="P518" s="23">
        <v>46245</v>
      </c>
      <c r="R518" s="68">
        <v>0.6189</v>
      </c>
      <c r="S518" s="23">
        <v>46203</v>
      </c>
      <c r="T518" s="23">
        <v>46146</v>
      </c>
      <c r="U518" s="39">
        <v>968.25</v>
      </c>
      <c r="V518" s="39">
        <v>722.208666667</v>
      </c>
      <c r="W518" t="inlineStr">
        <is>
          <t>Above 75 DMA</t>
        </is>
      </c>
    </row>
    <row r="519">
      <c r="A519" s="23">
        <v>46146.0</v>
      </c>
      <c r="B519" s="25" t="str">
        <f t="shared" si="6"/>
        <v>Monday</v>
      </c>
      <c r="C519" s="243" t="s">
        <v>156</v>
      </c>
      <c r="D519" s="31">
        <f>IFERROR(__xludf.DUMMYFUNCTION("GOOGLEFINANCE(""NSE:""&amp;UPPER(TRIM(E519)),""marketcap"")/10000000"),387.9690867)</f>
        <v>387.9690867</v>
      </c>
      <c r="E519" s="244" t="s">
        <v>389</v>
      </c>
      <c r="F519" s="39">
        <f>IFERROR(__xludf.DUMMYFUNCTION("IF(OR(E519="""",A519=""""),"""",
 IF(
   DATE(VALUE(RIGHT(A519,4)),VALUE(MID(A519,4,2)),VALUE(LEFT(A519,2)))&gt;=TODAY(),
   IFERROR(
     GOOGLEFINANCE(""NSE:""&amp;UPPER(TRIM(E519)),""price""),
     ""Not Available""
   ),
   IFERROR(
     INDEX(
       GOOGLE"&amp;"FINANCE(
         ""NSE:""&amp;UPPER(TRIM(E519)),
         ""close"",
         DATE(VALUE(RIGHT(A519,4)),VALUE(MID(A519,4,2)),VALUE(LEFT(A519,2))),
         DATE(VALUE(RIGHT(A519,4)),VALUE(MID(A519,4,2)),VALUE(LEFT(A519,2)))+1
       ),
       2,2
     ),
   "&amp;"  ""Not Available""
   )
 ))"),537.0)</f>
        <v>537</v>
      </c>
      <c r="G519" s="42">
        <f>IFERROR(__xludf.DUMMYFUNCTION("IF(E519="""","""",IFERROR(GOOGLEFINANCE(""NSE:""&amp;UPPER(TRIM(E519)),""price""),""Not Available""))"),453.0)</f>
        <v>453</v>
      </c>
      <c r="H519" s="53">
        <f t="shared" si="1"/>
        <v>143</v>
      </c>
      <c r="I519" s="58">
        <f t="shared" si="2"/>
        <v>-0.156424581</v>
      </c>
      <c r="J519" s="60">
        <f t="shared" si="3"/>
        <v>-15642.4581</v>
      </c>
      <c r="K519" s="62">
        <v>906.0</v>
      </c>
      <c r="L519" s="62">
        <v>381.0</v>
      </c>
      <c r="M519" s="68">
        <f t="shared" si="4"/>
        <v>0.687150838</v>
      </c>
      <c r="N519" s="68">
        <f t="shared" si="5"/>
        <v>-0.2905027933</v>
      </c>
      <c r="O519" s="68">
        <v>0.182495344507</v>
      </c>
      <c r="P519" s="23">
        <v>46147</v>
      </c>
      <c r="R519" s="68">
        <v>0.5865</v>
      </c>
      <c r="S519" s="23">
        <v>46203</v>
      </c>
      <c r="T519" s="23">
        <v>46146</v>
      </c>
      <c r="U519" s="39">
        <v>537</v>
      </c>
      <c r="V519" s="39">
        <v>430.663333333</v>
      </c>
      <c r="W519" t="inlineStr">
        <is>
          <t>Above 75 DMA</t>
        </is>
      </c>
    </row>
    <row r="520">
      <c r="A520" s="23">
        <v>46146.0</v>
      </c>
      <c r="B520" s="25" t="str">
        <f t="shared" si="6"/>
        <v>Monday</v>
      </c>
      <c r="C520" s="243" t="s">
        <v>156</v>
      </c>
      <c r="D520" s="31">
        <f>IFERROR(__xludf.DUMMYFUNCTION("GOOGLEFINANCE(""NSE:""&amp;UPPER(TRIM(E520)),""marketcap"")/10000000"),7388.8813909)</f>
        <v>7388.881391</v>
      </c>
      <c r="E520" s="244" t="s">
        <v>390</v>
      </c>
      <c r="F520" s="39">
        <f>IFERROR(__xludf.DUMMYFUNCTION("IF(OR(E520="""",A520=""""),"""",
 IF(
   DATE(VALUE(RIGHT(A520,4)),VALUE(MID(A520,4,2)),VALUE(LEFT(A520,2)))&gt;=TODAY(),
   IFERROR(
     GOOGLEFINANCE(""NSE:""&amp;UPPER(TRIM(E520)),""price""),
     ""Not Available""
   ),
   IFERROR(
     INDEX(
       GOOGLE"&amp;"FINANCE(
         ""NSE:""&amp;UPPER(TRIM(E520)),
         ""close"",
         DATE(VALUE(RIGHT(A520,4)),VALUE(MID(A520,4,2)),VALUE(LEFT(A520,2))),
         DATE(VALUE(RIGHT(A520,4)),VALUE(MID(A520,4,2)),VALUE(LEFT(A520,2)))+1
       ),
       2,2
     ),
   "&amp;"  ""Not Available""
   )
 ))"),844.4)</f>
        <v>844.4</v>
      </c>
      <c r="G520" s="42">
        <f>IFERROR(__xludf.DUMMYFUNCTION("IF(E520="""","""",IFERROR(GOOGLEFINANCE(""NSE:""&amp;UPPER(TRIM(E520)),""price""),""Not Available""))"),1291.2)</f>
        <v>1291.2</v>
      </c>
      <c r="H520" s="53">
        <f t="shared" si="1"/>
        <v>143</v>
      </c>
      <c r="I520" s="58">
        <f t="shared" si="2"/>
        <v>0.5291331123</v>
      </c>
      <c r="J520" s="60">
        <f t="shared" si="3"/>
        <v>52913.31123</v>
      </c>
      <c r="K520" s="62">
        <v>1127.0</v>
      </c>
      <c r="L520" s="62">
        <v>541.0</v>
      </c>
      <c r="M520" s="68">
        <f t="shared" si="4"/>
        <v>0.3346755092</v>
      </c>
      <c r="N520" s="68">
        <f t="shared" si="5"/>
        <v>-0.3593083847</v>
      </c>
      <c r="O520" s="68">
        <v>0.602913311227</v>
      </c>
      <c r="P520" s="23">
        <v>46288</v>
      </c>
      <c r="R520" s="68">
        <v>0.509</v>
      </c>
      <c r="S520" s="23">
        <v>46203</v>
      </c>
      <c r="T520" s="23">
        <v>46146</v>
      </c>
      <c r="U520" s="39">
        <v>844.4</v>
      </c>
      <c r="V520" s="39">
        <v>695.522</v>
      </c>
      <c r="W520" t="inlineStr">
        <is>
          <t>Above 75 DMA</t>
        </is>
      </c>
    </row>
    <row r="521">
      <c r="A521" s="23">
        <v>46146.0</v>
      </c>
      <c r="B521" s="25" t="str">
        <f t="shared" si="6"/>
        <v>Monday</v>
      </c>
      <c r="C521" s="243" t="s">
        <v>156</v>
      </c>
      <c r="D521" s="31">
        <f>IFERROR(__xludf.DUMMYFUNCTION("GOOGLEFINANCE(""NSE:""&amp;UPPER(TRIM(E521)),""marketcap"")/10000000"),540.4253175)</f>
        <v>540.4253175</v>
      </c>
      <c r="E521" s="244" t="s">
        <v>391</v>
      </c>
      <c r="F521" s="39">
        <f>IFERROR(__xludf.DUMMYFUNCTION("IF(OR(E521="""",A521=""""),"""",
 IF(
   DATE(VALUE(RIGHT(A521,4)),VALUE(MID(A521,4,2)),VALUE(LEFT(A521,2)))&gt;=TODAY(),
   IFERROR(
     GOOGLEFINANCE(""NSE:""&amp;UPPER(TRIM(E521)),""price""),
     ""Not Available""
   ),
   IFERROR(
     INDEX(
       GOOGLE"&amp;"FINANCE(
         ""NSE:""&amp;UPPER(TRIM(E521)),
         ""close"",
         DATE(VALUE(RIGHT(A521,4)),VALUE(MID(A521,4,2)),VALUE(LEFT(A521,2))),
         DATE(VALUE(RIGHT(A521,4)),VALUE(MID(A521,4,2)),VALUE(LEFT(A521,2)))+1
       ),
       2,2
     ),
   "&amp;"  ""Not Available""
   )
 ))"),25.56)</f>
        <v>25.56</v>
      </c>
      <c r="G521" s="42">
        <f>IFERROR(__xludf.DUMMYFUNCTION("IF(E521="""","""",IFERROR(GOOGLEFINANCE(""NSE:""&amp;UPPER(TRIM(E521)),""price""),""Not Available""))"),22.3)</f>
        <v>22.3</v>
      </c>
      <c r="H521" s="53">
        <f t="shared" si="1"/>
        <v>143</v>
      </c>
      <c r="I521" s="58">
        <f t="shared" si="2"/>
        <v>-0.127543036</v>
      </c>
      <c r="J521" s="60">
        <f t="shared" si="3"/>
        <v>-12754.3036</v>
      </c>
      <c r="K521" s="62">
        <v>41.0</v>
      </c>
      <c r="L521" s="62">
        <v>15.0</v>
      </c>
      <c r="M521" s="68">
        <f t="shared" si="4"/>
        <v>0.6040688576</v>
      </c>
      <c r="N521" s="68">
        <f t="shared" si="5"/>
        <v>-0.4131455399</v>
      </c>
      <c r="O521" s="68">
        <v>0.0524256651017</v>
      </c>
      <c r="P521" s="23">
        <v>46153</v>
      </c>
      <c r="R521" s="68">
        <v>0.324</v>
      </c>
      <c r="S521" s="23">
        <v>46203</v>
      </c>
      <c r="T521" s="23">
        <v>46146</v>
      </c>
      <c r="U521" s="39">
        <v>25.56</v>
      </c>
      <c r="V521" s="39">
        <v>20.7969333333</v>
      </c>
      <c r="W521" t="inlineStr">
        <is>
          <t>Above 75 DMA</t>
        </is>
      </c>
    </row>
    <row r="522">
      <c r="A522" s="23">
        <v>46145.0</v>
      </c>
      <c r="B522" s="25" t="str">
        <f t="shared" si="6"/>
        <v>Sunday</v>
      </c>
      <c r="C522" s="243" t="s">
        <v>156</v>
      </c>
      <c r="D522" s="31">
        <f>IFERROR(__xludf.DUMMYFUNCTION("GOOGLEFINANCE(""NSE:""&amp;UPPER(TRIM(E522)),""marketcap"")/10000000"),3857.1327905)</f>
        <v>3857.132791</v>
      </c>
      <c r="E522" s="244" t="s">
        <v>392</v>
      </c>
      <c r="F522" s="39">
        <f>IFERROR(__xludf.DUMMYFUNCTION("IF(OR(E522="""",A522=""""),"""",
 IF(
   DATE(VALUE(RIGHT(A522,4)),VALUE(MID(A522,4,2)),VALUE(LEFT(A522,2)))&gt;=TODAY(),
   IFERROR(
     GOOGLEFINANCE(""NSE:""&amp;UPPER(TRIM(E522)),""price""),
     ""Not Available""
   ),
   IFERROR(
     INDEX(
       GOOGLE"&amp;"FINANCE(
         ""NSE:""&amp;UPPER(TRIM(E522)),
         ""close"",
         DATE(VALUE(RIGHT(A522,4)),VALUE(MID(A522,4,2)),VALUE(LEFT(A522,2))),
         DATE(VALUE(RIGHT(A522,4)),VALUE(MID(A522,4,2)),VALUE(LEFT(A522,2)))+1
       ),
       2,2
     ),
   "&amp;"  ""Not Available""
   )
 ))"),540.45)</f>
        <v>540.45</v>
      </c>
      <c r="G522" s="42">
        <f>IFERROR(__xludf.DUMMYFUNCTION("IF(E522="""","""",IFERROR(GOOGLEFINANCE(""NSE:""&amp;UPPER(TRIM(E522)),""price""),""Not Available""))"),854.8)</f>
        <v>854.8</v>
      </c>
      <c r="H522" s="53">
        <f t="shared" si="1"/>
        <v>144</v>
      </c>
      <c r="I522" s="58">
        <f t="shared" si="2"/>
        <v>0.5816449255</v>
      </c>
      <c r="J522" s="60">
        <f t="shared" si="3"/>
        <v>58164.49255</v>
      </c>
      <c r="K522" s="62">
        <v>636.0</v>
      </c>
      <c r="L522" s="62">
        <v>638.0</v>
      </c>
      <c r="M522" s="68">
        <f t="shared" si="4"/>
        <v>0.1767971135</v>
      </c>
      <c r="N522" s="68">
        <f t="shared" si="5"/>
        <v>0.1804977334</v>
      </c>
      <c r="O522" s="68">
        <v>0.694791377556</v>
      </c>
      <c r="P522" s="23">
        <v>46266</v>
      </c>
      <c r="Q522" s="68">
        <v>0.212660843892</v>
      </c>
      <c r="R522" s="68">
        <v>0.6588</v>
      </c>
      <c r="S522" s="23">
        <v>46203</v>
      </c>
      <c r="T522" s="23">
        <v>46142</v>
      </c>
      <c r="U522" s="39">
        <v>534.35</v>
      </c>
      <c r="V522" s="39">
        <v>470.614666667</v>
      </c>
      <c r="W522" t="inlineStr">
        <is>
          <t>Above 75 DMA</t>
        </is>
      </c>
    </row>
    <row r="523">
      <c r="A523" s="23">
        <v>46145.0</v>
      </c>
      <c r="B523" s="25" t="str">
        <f t="shared" si="6"/>
        <v>Sunday</v>
      </c>
      <c r="C523" s="243" t="s">
        <v>156</v>
      </c>
      <c r="D523" s="31">
        <f>IFERROR(__xludf.DUMMYFUNCTION("GOOGLEFINANCE(""NSE:""&amp;UPPER(TRIM(E523)),""marketcap"")/10000000"),3183.811488)</f>
        <v>3183.811488</v>
      </c>
      <c r="E523" s="244" t="s">
        <v>393</v>
      </c>
      <c r="F523" s="39">
        <f>IFERROR(__xludf.DUMMYFUNCTION("IF(OR(E523="""",A523=""""),"""",
 IF(
   DATE(VALUE(RIGHT(A523,4)),VALUE(MID(A523,4,2)),VALUE(LEFT(A523,2)))&gt;=TODAY(),
   IFERROR(
     GOOGLEFINANCE(""NSE:""&amp;UPPER(TRIM(E523)),""price""),
     ""Not Available""
   ),
   IFERROR(
     INDEX(
       GOOGLE"&amp;"FINANCE(
         ""NSE:""&amp;UPPER(TRIM(E523)),
         ""close"",
         DATE(VALUE(RIGHT(A523,4)),VALUE(MID(A523,4,2)),VALUE(LEFT(A523,2))),
         DATE(VALUE(RIGHT(A523,4)),VALUE(MID(A523,4,2)),VALUE(LEFT(A523,2)))+1
       ),
       2,2
     ),
   "&amp;"  ""Not Available""
   )
 ))"),816.6)</f>
        <v>816.6</v>
      </c>
      <c r="G523" s="42">
        <f>IFERROR(__xludf.DUMMYFUNCTION("IF(E523="""","""",IFERROR(GOOGLEFINANCE(""NSE:""&amp;UPPER(TRIM(E523)),""price""),""Not Available""))"),804.1)</f>
        <v>804.1</v>
      </c>
      <c r="H523" s="53">
        <f t="shared" si="1"/>
        <v>144</v>
      </c>
      <c r="I523" s="58">
        <f t="shared" si="2"/>
        <v>-0.01530737203</v>
      </c>
      <c r="J523" s="60">
        <f t="shared" si="3"/>
        <v>-1530.737203</v>
      </c>
      <c r="K523" s="62">
        <v>1232.0</v>
      </c>
      <c r="L523" s="62">
        <v>523.0</v>
      </c>
      <c r="M523" s="68">
        <f t="shared" si="4"/>
        <v>0.5086945873</v>
      </c>
      <c r="N523" s="68">
        <f t="shared" si="5"/>
        <v>-0.3595395542</v>
      </c>
      <c r="O523" s="68">
        <v>0.399706098457</v>
      </c>
      <c r="P523" s="23">
        <v>46209</v>
      </c>
      <c r="R523" s="68">
        <v>0.6882</v>
      </c>
      <c r="S523" s="23">
        <v>46203</v>
      </c>
      <c r="T523" s="23">
        <v>46142</v>
      </c>
      <c r="U523" s="39">
        <v>787.15</v>
      </c>
      <c r="V523" s="39">
        <v>727.614666667</v>
      </c>
      <c r="W523" t="inlineStr">
        <is>
          <t>Above 75 DMA</t>
        </is>
      </c>
    </row>
    <row r="524">
      <c r="A524" s="23">
        <v>46145.0</v>
      </c>
      <c r="B524" s="25" t="str">
        <f t="shared" si="6"/>
        <v>Sunday</v>
      </c>
      <c r="C524" s="243" t="s">
        <v>156</v>
      </c>
      <c r="D524" s="31">
        <f>IFERROR(__xludf.DUMMYFUNCTION("GOOGLEFINANCE(""NSE:""&amp;UPPER(TRIM(E524)),""marketcap"")/10000000"),4634.911825)</f>
        <v>4634.911825</v>
      </c>
      <c r="E524" s="244" t="s">
        <v>394</v>
      </c>
      <c r="F524" s="39">
        <f>IFERROR(__xludf.DUMMYFUNCTION("IF(OR(E524="""",A524=""""),"""",
 IF(
   DATE(VALUE(RIGHT(A524,4)),VALUE(MID(A524,4,2)),VALUE(LEFT(A524,2)))&gt;=TODAY(),
   IFERROR(
     GOOGLEFINANCE(""NSE:""&amp;UPPER(TRIM(E524)),""price""),
     ""Not Available""
   ),
   IFERROR(
     INDEX(
       GOOGLE"&amp;"FINANCE(
         ""NSE:""&amp;UPPER(TRIM(E524)),
         ""close"",
         DATE(VALUE(RIGHT(A524,4)),VALUE(MID(A524,4,2)),VALUE(LEFT(A524,2))),
         DATE(VALUE(RIGHT(A524,4)),VALUE(MID(A524,4,2)),VALUE(LEFT(A524,2)))+1
       ),
       2,2
     ),
   "&amp;"  ""Not Available""
   )
 ))"),217.09)</f>
        <v>217.09</v>
      </c>
      <c r="G524" s="42">
        <f>IFERROR(__xludf.DUMMYFUNCTION("IF(E524="""","""",IFERROR(GOOGLEFINANCE(""NSE:""&amp;UPPER(TRIM(E524)),""price""),""Not Available""))"),156.45)</f>
        <v>156.45</v>
      </c>
      <c r="H524" s="53">
        <f t="shared" si="1"/>
        <v>144</v>
      </c>
      <c r="I524" s="58">
        <f t="shared" si="2"/>
        <v>-0.279331153</v>
      </c>
      <c r="J524" s="60">
        <f t="shared" si="3"/>
        <v>-27933.1153</v>
      </c>
      <c r="K524" s="62">
        <v>211.0</v>
      </c>
      <c r="L524" s="62">
        <v>151.0</v>
      </c>
      <c r="M524" s="68">
        <f t="shared" si="4"/>
        <v>-0.02805288129</v>
      </c>
      <c r="N524" s="68">
        <f t="shared" si="5"/>
        <v>-0.3044359482</v>
      </c>
      <c r="O524" s="68">
        <v>-0.0624165092819</v>
      </c>
      <c r="P524" s="23">
        <v>46149</v>
      </c>
      <c r="R524" s="68">
        <v>0.1622</v>
      </c>
      <c r="S524" s="23">
        <v>46203</v>
      </c>
      <c r="T524" s="23">
        <v>46142</v>
      </c>
      <c r="U524" s="39">
        <v>184.2</v>
      </c>
      <c r="V524" s="39">
        <v>150.923466667</v>
      </c>
      <c r="W524" t="inlineStr">
        <is>
          <t>Above 75 DMA</t>
        </is>
      </c>
    </row>
    <row r="525">
      <c r="A525" s="23">
        <v>46145.0</v>
      </c>
      <c r="B525" s="25" t="str">
        <f t="shared" si="6"/>
        <v>Sunday</v>
      </c>
      <c r="C525" s="243" t="s">
        <v>156</v>
      </c>
      <c r="D525" s="31">
        <f>IFERROR(__xludf.DUMMYFUNCTION("GOOGLEFINANCE(""NSE:""&amp;UPPER(TRIM(E525)),""marketcap"")/10000000"),255606.345225)</f>
        <v>255606.3452</v>
      </c>
      <c r="E525" s="244" t="s">
        <v>397</v>
      </c>
      <c r="F525" s="39">
        <f>IFERROR(__xludf.DUMMYFUNCTION("IF(OR(E525="""",A525=""""),"""",
 IF(
   DATE(VALUE(RIGHT(A525,4)),VALUE(MID(A525,4,2)),VALUE(LEFT(A525,2)))&gt;=TODAY(),
   IFERROR(
     GOOGLEFINANCE(""NSE:""&amp;UPPER(TRIM(E525)),""price""),
     ""Not Available""
   ),
   IFERROR(
     INDEX(
       GOOGLE"&amp;"FINANCE(
         ""NSE:""&amp;UPPER(TRIM(E525)),
         ""close"",
         DATE(VALUE(RIGHT(A525,4)),VALUE(MID(A525,4,2)),VALUE(LEFT(A525,2))),
         DATE(VALUE(RIGHT(A525,4)),VALUE(MID(A525,4,2)),VALUE(LEFT(A525,2)))+1
       ),
       2,2
     ),
   "&amp;"  ""Not Available""
   )
 ))"),6619.5)</f>
        <v>6619.5</v>
      </c>
      <c r="G525" s="42">
        <f>IFERROR(__xludf.DUMMYFUNCTION("IF(E525="""","""",IFERROR(GOOGLEFINANCE(""NSE:""&amp;UPPER(TRIM(E525)),""price""),""Not Available""))"),9628.5)</f>
        <v>9628.5</v>
      </c>
      <c r="H525" s="53">
        <f t="shared" si="1"/>
        <v>144</v>
      </c>
      <c r="I525" s="58">
        <f t="shared" si="2"/>
        <v>0.4545660548</v>
      </c>
      <c r="J525" s="60">
        <f t="shared" si="3"/>
        <v>45456.60548</v>
      </c>
      <c r="K525" s="62">
        <v>7335.0</v>
      </c>
      <c r="L525" s="62">
        <v>6123.0</v>
      </c>
      <c r="M525" s="68">
        <f t="shared" si="4"/>
        <v>0.1080897349</v>
      </c>
      <c r="N525" s="68">
        <f t="shared" si="5"/>
        <v>-0.07500566508</v>
      </c>
      <c r="O525" s="68">
        <v>0.453886245185</v>
      </c>
      <c r="P525" s="23">
        <v>46288</v>
      </c>
      <c r="R525" s="68">
        <v>0.5188</v>
      </c>
      <c r="S525" s="23">
        <v>46203</v>
      </c>
      <c r="T525" s="23">
        <v>46142</v>
      </c>
      <c r="U525" s="39">
        <v>6502.5</v>
      </c>
      <c r="V525" s="39">
        <v>6195.95333333</v>
      </c>
      <c r="W525" t="inlineStr">
        <is>
          <t>Above 75 DMA</t>
        </is>
      </c>
    </row>
    <row r="526">
      <c r="A526" s="23">
        <v>46145.0</v>
      </c>
      <c r="B526" s="25" t="str">
        <f t="shared" si="6"/>
        <v>Sunday</v>
      </c>
      <c r="C526" s="243" t="s">
        <v>156</v>
      </c>
      <c r="D526" s="31">
        <f>IFERROR(__xludf.DUMMYFUNCTION("GOOGLEFINANCE(""NSE:""&amp;UPPER(TRIM(E526)),""marketcap"")/10000000"),31800.4426045)</f>
        <v>31800.4426</v>
      </c>
      <c r="E526" s="244" t="s">
        <v>398</v>
      </c>
      <c r="F526" s="39">
        <f>IFERROR(__xludf.DUMMYFUNCTION("IF(OR(E526="""",A526=""""),"""",
 IF(
   DATE(VALUE(RIGHT(A526,4)),VALUE(MID(A526,4,2)),VALUE(LEFT(A526,2)))&gt;=TODAY(),
   IFERROR(
     GOOGLEFINANCE(""NSE:""&amp;UPPER(TRIM(E526)),""price""),
     ""Not Available""
   ),
   IFERROR(
     INDEX(
       GOOGLE"&amp;"FINANCE(
         ""NSE:""&amp;UPPER(TRIM(E526)),
         ""close"",
         DATE(VALUE(RIGHT(A526,4)),VALUE(MID(A526,4,2)),VALUE(LEFT(A526,2))),
         DATE(VALUE(RIGHT(A526,4)),VALUE(MID(A526,4,2)),VALUE(LEFT(A526,2)))+1
       ),
       2,2
     ),
   "&amp;"  ""Not Available""
   )
 ))"),1723.6)</f>
        <v>1723.6</v>
      </c>
      <c r="G526" s="42">
        <f>IFERROR(__xludf.DUMMYFUNCTION("IF(E526="""","""",IFERROR(GOOGLEFINANCE(""NSE:""&amp;UPPER(TRIM(E526)),""price""),""Not Available""))"),2185.3)</f>
        <v>2185.3</v>
      </c>
      <c r="H526" s="53">
        <f t="shared" si="1"/>
        <v>144</v>
      </c>
      <c r="I526" s="58">
        <f t="shared" si="2"/>
        <v>0.2678695753</v>
      </c>
      <c r="J526" s="60">
        <f t="shared" si="3"/>
        <v>26786.95753</v>
      </c>
      <c r="K526" s="62">
        <v>1873.0</v>
      </c>
      <c r="L526" s="62">
        <v>2453.0</v>
      </c>
      <c r="M526" s="68">
        <f t="shared" si="4"/>
        <v>0.08667904386</v>
      </c>
      <c r="N526" s="68">
        <f t="shared" si="5"/>
        <v>0.4231840334</v>
      </c>
      <c r="O526" s="68">
        <v>0.578092364818</v>
      </c>
      <c r="P526" s="23">
        <v>46196</v>
      </c>
      <c r="R526" s="68">
        <v>0.4107</v>
      </c>
      <c r="S526" s="23">
        <v>46203</v>
      </c>
      <c r="T526" s="23">
        <v>46142</v>
      </c>
      <c r="U526" s="39">
        <v>1698.2</v>
      </c>
      <c r="V526" s="39">
        <v>1370.63866667</v>
      </c>
      <c r="W526" t="inlineStr">
        <is>
          <t>Above 75 DMA</t>
        </is>
      </c>
    </row>
    <row r="527">
      <c r="A527" s="23">
        <v>46145.0</v>
      </c>
      <c r="B527" s="25" t="str">
        <f t="shared" si="6"/>
        <v>Sunday</v>
      </c>
      <c r="C527" s="243" t="s">
        <v>156</v>
      </c>
      <c r="D527" s="31">
        <f>IFERROR(__xludf.DUMMYFUNCTION("GOOGLEFINANCE(""NSE:""&amp;UPPER(TRIM(E527)),""marketcap"")/10000000"),2050.3488533)</f>
        <v>2050.348853</v>
      </c>
      <c r="E527" s="244" t="s">
        <v>399</v>
      </c>
      <c r="F527" s="39">
        <f>IFERROR(__xludf.DUMMYFUNCTION("IF(OR(E527="""",A527=""""),"""",
 IF(
   DATE(VALUE(RIGHT(A527,4)),VALUE(MID(A527,4,2)),VALUE(LEFT(A527,2)))&gt;=TODAY(),
   IFERROR(
     GOOGLEFINANCE(""NSE:""&amp;UPPER(TRIM(E527)),""price""),
     ""Not Available""
   ),
   IFERROR(
     INDEX(
       GOOGLE"&amp;"FINANCE(
         ""NSE:""&amp;UPPER(TRIM(E527)),
         ""close"",
         DATE(VALUE(RIGHT(A527,4)),VALUE(MID(A527,4,2)),VALUE(LEFT(A527,2))),
         DATE(VALUE(RIGHT(A527,4)),VALUE(MID(A527,4,2)),VALUE(LEFT(A527,2)))+1
       ),
       2,2
     ),
   "&amp;"  ""Not Available""
   )
 ))"),1037.9)</f>
        <v>1037.9</v>
      </c>
      <c r="G527" s="42">
        <f>IFERROR(__xludf.DUMMYFUNCTION("IF(E527="""","""",IFERROR(GOOGLEFINANCE(""NSE:""&amp;UPPER(TRIM(E527)),""price""),""Not Available""))"),306.4)</f>
        <v>306.4</v>
      </c>
      <c r="H527" s="53">
        <f t="shared" si="1"/>
        <v>144</v>
      </c>
      <c r="I527" s="58">
        <f t="shared" si="2"/>
        <v>-0.7047885153</v>
      </c>
      <c r="J527" s="60">
        <f t="shared" si="3"/>
        <v>-70478.85153</v>
      </c>
      <c r="K527" s="62">
        <v>1137.0</v>
      </c>
      <c r="L527" s="62">
        <v>274.0</v>
      </c>
      <c r="M527" s="68">
        <f t="shared" si="4"/>
        <v>0.09548126024</v>
      </c>
      <c r="N527" s="68">
        <f t="shared" si="5"/>
        <v>-0.7360053955</v>
      </c>
      <c r="O527" s="68">
        <v>0.174486944792</v>
      </c>
      <c r="P527" s="23">
        <v>46259</v>
      </c>
      <c r="R527" s="68">
        <v>0.5963</v>
      </c>
      <c r="S527" s="23">
        <v>46203</v>
      </c>
      <c r="T527" s="23">
        <v>46142</v>
      </c>
      <c r="U527" s="39">
        <v>1042.05</v>
      </c>
      <c r="V527" s="39">
        <v>911.512</v>
      </c>
      <c r="W527" t="inlineStr">
        <is>
          <t>Above 75 DMA</t>
        </is>
      </c>
    </row>
    <row r="528">
      <c r="A528" s="23">
        <v>46145.0</v>
      </c>
      <c r="B528" s="25" t="str">
        <f t="shared" si="6"/>
        <v>Sunday</v>
      </c>
      <c r="C528" s="243" t="s">
        <v>156</v>
      </c>
      <c r="D528" s="31">
        <f>IFERROR(__xludf.DUMMYFUNCTION("GOOGLEFINANCE(""NSE:""&amp;UPPER(TRIM(E528)),""marketcap"")/10000000"),1534.3914858)</f>
        <v>1534.391486</v>
      </c>
      <c r="E528" s="244" t="s">
        <v>400</v>
      </c>
      <c r="F528" s="39">
        <f>IFERROR(__xludf.DUMMYFUNCTION("IF(OR(E528="""",A528=""""),"""",
 IF(
   DATE(VALUE(RIGHT(A528,4)),VALUE(MID(A528,4,2)),VALUE(LEFT(A528,2)))&gt;=TODAY(),
   IFERROR(
     GOOGLEFINANCE(""NSE:""&amp;UPPER(TRIM(E528)),""price""),
     ""Not Available""
   ),
   IFERROR(
     INDEX(
       GOOGLE"&amp;"FINANCE(
         ""NSE:""&amp;UPPER(TRIM(E528)),
         ""close"",
         DATE(VALUE(RIGHT(A528,4)),VALUE(MID(A528,4,2)),VALUE(LEFT(A528,2))),
         DATE(VALUE(RIGHT(A528,4)),VALUE(MID(A528,4,2)),VALUE(LEFT(A528,2)))+1
       ),
       2,2
     ),
   "&amp;"  ""Not Available""
   )
 ))"),155.9)</f>
        <v>155.9</v>
      </c>
      <c r="G528" s="42">
        <f>IFERROR(__xludf.DUMMYFUNCTION("IF(E528="""","""",IFERROR(GOOGLEFINANCE(""NSE:""&amp;UPPER(TRIM(E528)),""price""),""Not Available""))"),144.35)</f>
        <v>144.35</v>
      </c>
      <c r="H528" s="53">
        <f t="shared" si="1"/>
        <v>144</v>
      </c>
      <c r="I528" s="58">
        <f t="shared" si="2"/>
        <v>-0.07408595253</v>
      </c>
      <c r="J528" s="60">
        <f t="shared" si="3"/>
        <v>-7408.595253</v>
      </c>
      <c r="K528" s="62">
        <v>191.0</v>
      </c>
      <c r="L528" s="62">
        <v>140.0</v>
      </c>
      <c r="M528" s="68">
        <f t="shared" si="4"/>
        <v>0.2251443233</v>
      </c>
      <c r="N528" s="68">
        <f t="shared" si="5"/>
        <v>-0.1019884541</v>
      </c>
      <c r="O528" s="68">
        <v>0.398332264272</v>
      </c>
      <c r="P528" s="23">
        <v>46227</v>
      </c>
      <c r="R528" s="68">
        <v>0.2248</v>
      </c>
      <c r="S528" s="23">
        <v>46203</v>
      </c>
      <c r="T528" s="23">
        <v>46142</v>
      </c>
      <c r="U528" s="39">
        <v>152.89</v>
      </c>
      <c r="V528" s="39">
        <v>133.697466667</v>
      </c>
      <c r="W528" t="inlineStr">
        <is>
          <t>Above 75 DMA</t>
        </is>
      </c>
    </row>
    <row r="529">
      <c r="A529" s="23">
        <v>46145.0</v>
      </c>
      <c r="B529" s="25" t="str">
        <f t="shared" si="6"/>
        <v>Sunday</v>
      </c>
      <c r="C529" s="243" t="s">
        <v>156</v>
      </c>
      <c r="D529" s="31">
        <f>IFERROR(__xludf.DUMMYFUNCTION("GOOGLEFINANCE(""NSE:""&amp;UPPER(TRIM(E529)),""marketcap"")/10000000"),3414.2405313)</f>
        <v>3414.240531</v>
      </c>
      <c r="E529" s="244" t="s">
        <v>402</v>
      </c>
      <c r="F529" s="39">
        <f>IFERROR(__xludf.DUMMYFUNCTION("IF(OR(E529="""",A529=""""),"""",
 IF(
   DATE(VALUE(RIGHT(A529,4)),VALUE(MID(A529,4,2)),VALUE(LEFT(A529,2)))&gt;=TODAY(),
   IFERROR(
     GOOGLEFINANCE(""NSE:""&amp;UPPER(TRIM(E529)),""price""),
     ""Not Available""
   ),
   IFERROR(
     INDEX(
       GOOGLE"&amp;"FINANCE(
         ""NSE:""&amp;UPPER(TRIM(E529)),
         ""close"",
         DATE(VALUE(RIGHT(A529,4)),VALUE(MID(A529,4,2)),VALUE(LEFT(A529,2))),
         DATE(VALUE(RIGHT(A529,4)),VALUE(MID(A529,4,2)),VALUE(LEFT(A529,2)))+1
       ),
       2,2
     ),
   "&amp;"  ""Not Available""
   )
 ))"),491.1)</f>
        <v>491.1</v>
      </c>
      <c r="G529" s="42">
        <f>IFERROR(__xludf.DUMMYFUNCTION("IF(E529="""","""",IFERROR(GOOGLEFINANCE(""NSE:""&amp;UPPER(TRIM(E529)),""price""),""Not Available""))"),607.3)</f>
        <v>607.3</v>
      </c>
      <c r="H529" s="53">
        <f t="shared" si="1"/>
        <v>144</v>
      </c>
      <c r="I529" s="58">
        <f t="shared" si="2"/>
        <v>0.236611688</v>
      </c>
      <c r="J529" s="60">
        <f t="shared" si="3"/>
        <v>23661.1688</v>
      </c>
      <c r="K529" s="62">
        <v>551.0</v>
      </c>
      <c r="L529" s="62">
        <v>369.0</v>
      </c>
      <c r="M529" s="68">
        <f t="shared" si="4"/>
        <v>0.1219710853</v>
      </c>
      <c r="N529" s="68">
        <f t="shared" si="5"/>
        <v>-0.2486255345</v>
      </c>
      <c r="O529" s="68">
        <v>0.355121156587</v>
      </c>
      <c r="P529" s="23">
        <v>46275</v>
      </c>
      <c r="R529" s="68">
        <v>0.5671</v>
      </c>
      <c r="S529" s="23">
        <v>46203</v>
      </c>
      <c r="T529" s="23">
        <v>46142</v>
      </c>
      <c r="U529" s="39">
        <v>461.9</v>
      </c>
      <c r="V529" s="39">
        <v>364.61</v>
      </c>
      <c r="W529" t="inlineStr">
        <is>
          <t>Above 75 DMA</t>
        </is>
      </c>
    </row>
    <row r="530">
      <c r="A530" s="23">
        <v>46145.0</v>
      </c>
      <c r="B530" s="25" t="str">
        <f t="shared" si="6"/>
        <v>Sunday</v>
      </c>
      <c r="C530" s="243" t="s">
        <v>156</v>
      </c>
      <c r="D530" s="31">
        <f>IFERROR(__xludf.DUMMYFUNCTION("GOOGLEFINANCE(""NSE:""&amp;UPPER(TRIM(E530)),""marketcap"")/10000000"),8699.1725182)</f>
        <v>8699.172518</v>
      </c>
      <c r="E530" s="244" t="s">
        <v>403</v>
      </c>
      <c r="F530" s="39">
        <f>IFERROR(__xludf.DUMMYFUNCTION("IF(OR(E530="""",A530=""""),"""",
 IF(
   DATE(VALUE(RIGHT(A530,4)),VALUE(MID(A530,4,2)),VALUE(LEFT(A530,2)))&gt;=TODAY(),
   IFERROR(
     GOOGLEFINANCE(""NSE:""&amp;UPPER(TRIM(E530)),""price""),
     ""Not Available""
   ),
   IFERROR(
     INDEX(
       GOOGLE"&amp;"FINANCE(
         ""NSE:""&amp;UPPER(TRIM(E530)),
         ""close"",
         DATE(VALUE(RIGHT(A530,4)),VALUE(MID(A530,4,2)),VALUE(LEFT(A530,2))),
         DATE(VALUE(RIGHT(A530,4)),VALUE(MID(A530,4,2)),VALUE(LEFT(A530,2)))+1
       ),
       2,2
     ),
   "&amp;"  ""Not Available""
   )
 ))"),115.24)</f>
        <v>115.24</v>
      </c>
      <c r="G530" s="42">
        <f>IFERROR(__xludf.DUMMYFUNCTION("IF(E530="""","""",IFERROR(GOOGLEFINANCE(""NSE:""&amp;UPPER(TRIM(E530)),""price""),""Not Available""))"),89.59)</f>
        <v>89.59</v>
      </c>
      <c r="H530" s="53">
        <f t="shared" si="1"/>
        <v>144</v>
      </c>
      <c r="I530" s="58">
        <f t="shared" si="2"/>
        <v>-0.2225789656</v>
      </c>
      <c r="J530" s="60">
        <f t="shared" si="3"/>
        <v>-22257.89656</v>
      </c>
      <c r="K530" s="62">
        <v>93.0</v>
      </c>
      <c r="L530" s="62">
        <v>171.0</v>
      </c>
      <c r="M530" s="68">
        <f t="shared" si="4"/>
        <v>-0.1929885456</v>
      </c>
      <c r="N530" s="68">
        <f t="shared" si="5"/>
        <v>0.4838597709</v>
      </c>
      <c r="O530" s="68">
        <v>0.0152724748351</v>
      </c>
      <c r="P530" s="23">
        <v>46150</v>
      </c>
      <c r="R530" s="68">
        <v>0.5515</v>
      </c>
      <c r="S530" s="23">
        <v>46203</v>
      </c>
      <c r="T530" s="23">
        <v>46142</v>
      </c>
      <c r="U530" s="39">
        <v>110.79</v>
      </c>
      <c r="V530" s="39">
        <v>80.5745333333</v>
      </c>
      <c r="W530" t="inlineStr">
        <is>
          <t>Above 75 DMA</t>
        </is>
      </c>
    </row>
    <row r="531">
      <c r="A531" s="23">
        <v>46145.0</v>
      </c>
      <c r="B531" s="25" t="str">
        <f t="shared" si="6"/>
        <v>Sunday</v>
      </c>
      <c r="C531" s="243" t="s">
        <v>156</v>
      </c>
      <c r="D531" s="31">
        <f>IFERROR(__xludf.DUMMYFUNCTION("GOOGLEFINANCE(""NSE:""&amp;UPPER(TRIM(E531)),""marketcap"")/10000000"),3292.6570838)</f>
        <v>3292.657084</v>
      </c>
      <c r="E531" s="244" t="s">
        <v>405</v>
      </c>
      <c r="F531" s="39">
        <f>IFERROR(__xludf.DUMMYFUNCTION("IF(OR(E531="""",A531=""""),"""",
 IF(
   DATE(VALUE(RIGHT(A531,4)),VALUE(MID(A531,4,2)),VALUE(LEFT(A531,2)))&gt;=TODAY(),
   IFERROR(
     GOOGLEFINANCE(""NSE:""&amp;UPPER(TRIM(E531)),""price""),
     ""Not Available""
   ),
   IFERROR(
     INDEX(
       GOOGLE"&amp;"FINANCE(
         ""NSE:""&amp;UPPER(TRIM(E531)),
         ""close"",
         DATE(VALUE(RIGHT(A531,4)),VALUE(MID(A531,4,2)),VALUE(LEFT(A531,2))),
         DATE(VALUE(RIGHT(A531,4)),VALUE(MID(A531,4,2)),VALUE(LEFT(A531,2)))+1
       ),
       2,2
     ),
   "&amp;"  ""Not Available""
   )
 ))"),353.65)</f>
        <v>353.65</v>
      </c>
      <c r="G531" s="42">
        <f>IFERROR(__xludf.DUMMYFUNCTION("IF(E531="""","""",IFERROR(GOOGLEFINANCE(""NSE:""&amp;UPPER(TRIM(E531)),""price""),""Not Available""))"),294.05)</f>
        <v>294.05</v>
      </c>
      <c r="H531" s="53">
        <f t="shared" si="1"/>
        <v>144</v>
      </c>
      <c r="I531" s="58">
        <f t="shared" si="2"/>
        <v>-0.1685282059</v>
      </c>
      <c r="J531" s="60">
        <f t="shared" si="3"/>
        <v>-16852.82059</v>
      </c>
      <c r="K531" s="62">
        <v>481.0</v>
      </c>
      <c r="L531" s="62">
        <v>233.0</v>
      </c>
      <c r="M531" s="68">
        <f t="shared" si="4"/>
        <v>0.3601017956</v>
      </c>
      <c r="N531" s="68">
        <f t="shared" si="5"/>
        <v>-0.3411565107</v>
      </c>
      <c r="O531" s="68">
        <v>0.184787219002</v>
      </c>
      <c r="P531" s="23">
        <v>46153</v>
      </c>
      <c r="R531" s="68">
        <v>0.4324</v>
      </c>
      <c r="S531" s="23">
        <v>46203</v>
      </c>
      <c r="T531" s="23">
        <v>46142</v>
      </c>
      <c r="U531" s="39">
        <v>347.7</v>
      </c>
      <c r="V531" s="39">
        <v>291.566666667</v>
      </c>
      <c r="W531" t="inlineStr">
        <is>
          <t>Above 75 DMA</t>
        </is>
      </c>
    </row>
    <row r="532">
      <c r="A532" s="246">
        <v>46145.0</v>
      </c>
      <c r="B532" s="25" t="str">
        <f t="shared" si="6"/>
        <v>Sunday</v>
      </c>
      <c r="C532" s="243" t="s">
        <v>156</v>
      </c>
      <c r="D532" s="31">
        <f>IFERROR(__xludf.DUMMYFUNCTION("GOOGLEFINANCE(""NSE:""&amp;UPPER(TRIM(E532)),""marketcap"")/10000000"),7776.65055)</f>
        <v>7776.65055</v>
      </c>
      <c r="E532" s="247" t="s">
        <v>242</v>
      </c>
      <c r="F532" s="39">
        <f>IFERROR(__xludf.DUMMYFUNCTION("IF(OR(E532="""",A532=""""),"""",
 IF(
   DATE(VALUE(RIGHT(A532,4)),VALUE(MID(A532,4,2)),VALUE(LEFT(A532,2)))&gt;=TODAY(),
   IFERROR(
     GOOGLEFINANCE(""NSE:""&amp;UPPER(TRIM(E532)),""price""),
     ""Not Available""
   ),
   IFERROR(
     INDEX(
       GOOGLE"&amp;"FINANCE(
         ""NSE:""&amp;UPPER(TRIM(E532)),
         ""close"",
         DATE(VALUE(RIGHT(A532,4)),VALUE(MID(A532,4,2)),VALUE(LEFT(A532,2))),
         DATE(VALUE(RIGHT(A532,4)),VALUE(MID(A532,4,2)),VALUE(LEFT(A532,2)))+1
       ),
       2,2
     ),
   "&amp;"  ""Not Available""
   )
 ))"),691.2)</f>
        <v>691.2</v>
      </c>
      <c r="G532" s="42">
        <f>IFERROR(__xludf.DUMMYFUNCTION("IF(E532="""","""",IFERROR(GOOGLEFINANCE(""NSE:""&amp;UPPER(TRIM(E532)),""price""),""Not Available""))"),966.25)</f>
        <v>966.25</v>
      </c>
      <c r="H532" s="53">
        <f t="shared" si="1"/>
        <v>144</v>
      </c>
      <c r="I532" s="58">
        <f t="shared" si="2"/>
        <v>0.3979311343</v>
      </c>
      <c r="J532" s="60">
        <f t="shared" si="3"/>
        <v>39793.11343</v>
      </c>
      <c r="K532" s="62">
        <v>1145.0</v>
      </c>
      <c r="L532" s="62">
        <v>430.0</v>
      </c>
      <c r="M532" s="68">
        <f t="shared" si="4"/>
        <v>0.6565393519</v>
      </c>
      <c r="N532" s="68">
        <f t="shared" si="5"/>
        <v>-0.3778935185</v>
      </c>
      <c r="O532" s="68">
        <v>0.569733796296</v>
      </c>
      <c r="P532" s="23">
        <v>46174</v>
      </c>
      <c r="R532" s="68">
        <v>0.683</v>
      </c>
      <c r="S532" s="23">
        <v>46203</v>
      </c>
      <c r="T532" s="23">
        <v>46142</v>
      </c>
      <c r="U532" s="39">
        <v>694.9</v>
      </c>
      <c r="V532" s="39">
        <v>655.132</v>
      </c>
      <c r="W532" t="inlineStr">
        <is>
          <t>Above 75 DMA</t>
        </is>
      </c>
    </row>
    <row r="533">
      <c r="A533" s="23">
        <v>46145.0</v>
      </c>
      <c r="B533" s="25" t="str">
        <f t="shared" si="6"/>
        <v>Sunday</v>
      </c>
      <c r="C533" s="243" t="s">
        <v>156</v>
      </c>
      <c r="D533" s="31">
        <f>IFERROR(__xludf.DUMMYFUNCTION("GOOGLEFINANCE(""NSE:""&amp;UPPER(TRIM(E533)),""marketcap"")/10000000"),8474.02731)</f>
        <v>8474.02731</v>
      </c>
      <c r="E533" s="244" t="s">
        <v>232</v>
      </c>
      <c r="F533" s="39">
        <f>IFERROR(__xludf.DUMMYFUNCTION("IF(OR(E533="""",A533=""""),"""",
 IF(
   DATE(VALUE(RIGHT(A533,4)),VALUE(MID(A533,4,2)),VALUE(LEFT(A533,2)))&gt;=TODAY(),
   IFERROR(
     GOOGLEFINANCE(""NSE:""&amp;UPPER(TRIM(E533)),""price""),
     ""Not Available""
   ),
   IFERROR(
     INDEX(
       GOOGLE"&amp;"FINANCE(
         ""NSE:""&amp;UPPER(TRIM(E533)),
         ""close"",
         DATE(VALUE(RIGHT(A533,4)),VALUE(MID(A533,4,2)),VALUE(LEFT(A533,2))),
         DATE(VALUE(RIGHT(A533,4)),VALUE(MID(A533,4,2)),VALUE(LEFT(A533,2)))+1
       ),
       2,2
     ),
   "&amp;"  ""Not Available""
   )
 ))"),806.1)</f>
        <v>806.1</v>
      </c>
      <c r="G533" s="42">
        <f>IFERROR(__xludf.DUMMYFUNCTION("IF(E533="""","""",IFERROR(GOOGLEFINANCE(""NSE:""&amp;UPPER(TRIM(E533)),""price""),""Not Available""))"),935.1)</f>
        <v>935.1</v>
      </c>
      <c r="H533" s="53">
        <f t="shared" si="1"/>
        <v>144</v>
      </c>
      <c r="I533" s="58">
        <f t="shared" si="2"/>
        <v>0.160029773</v>
      </c>
      <c r="J533" s="60">
        <f t="shared" si="3"/>
        <v>16002.9773</v>
      </c>
      <c r="K533" s="62">
        <v>886.0</v>
      </c>
      <c r="L533" s="62">
        <v>467.0</v>
      </c>
      <c r="M533" s="68">
        <f t="shared" si="4"/>
        <v>0.09911921598</v>
      </c>
      <c r="N533" s="68">
        <f t="shared" si="5"/>
        <v>-0.420667411</v>
      </c>
      <c r="O533" s="68">
        <v>0.187569780424</v>
      </c>
      <c r="P533" s="23">
        <v>46288</v>
      </c>
      <c r="Q533" s="68">
        <v>0.105952491391</v>
      </c>
      <c r="R533" s="68">
        <v>0.4286</v>
      </c>
      <c r="S533" s="23">
        <v>46203</v>
      </c>
      <c r="T533" s="23">
        <v>46142</v>
      </c>
      <c r="U533" s="39">
        <v>740.25</v>
      </c>
      <c r="V533" s="39">
        <v>709.119333333</v>
      </c>
      <c r="W533" t="inlineStr">
        <is>
          <t>Above 75 DMA</t>
        </is>
      </c>
    </row>
    <row r="534">
      <c r="A534" s="23">
        <v>46145.0</v>
      </c>
      <c r="B534" s="25" t="str">
        <f t="shared" si="6"/>
        <v>Sunday</v>
      </c>
      <c r="C534" s="243" t="s">
        <v>156</v>
      </c>
      <c r="D534" s="31">
        <f>IFERROR(__xludf.DUMMYFUNCTION("GOOGLEFINANCE(""NSE:""&amp;UPPER(TRIM(E534)),""marketcap"")/10000000"),3345.5553347)</f>
        <v>3345.555335</v>
      </c>
      <c r="E534" s="244" t="s">
        <v>407</v>
      </c>
      <c r="F534" s="39">
        <f>IFERROR(__xludf.DUMMYFUNCTION("IF(OR(E534="""",A534=""""),"""",
 IF(
   DATE(VALUE(RIGHT(A534,4)),VALUE(MID(A534,4,2)),VALUE(LEFT(A534,2)))&gt;=TODAY(),
   IFERROR(
     GOOGLEFINANCE(""NSE:""&amp;UPPER(TRIM(E534)),""price""),
     ""Not Available""
   ),
   IFERROR(
     INDEX(
       GOOGLE"&amp;"FINANCE(
         ""NSE:""&amp;UPPER(TRIM(E534)),
         ""close"",
         DATE(VALUE(RIGHT(A534,4)),VALUE(MID(A534,4,2)),VALUE(LEFT(A534,2))),
         DATE(VALUE(RIGHT(A534,4)),VALUE(MID(A534,4,2)),VALUE(LEFT(A534,2)))+1
       ),
       2,2
     ),
   "&amp;"  ""Not Available""
   )
 ))"),407.25)</f>
        <v>407.25</v>
      </c>
      <c r="G534" s="42">
        <f>IFERROR(__xludf.DUMMYFUNCTION("IF(E534="""","""",IFERROR(GOOGLEFINANCE(""NSE:""&amp;UPPER(TRIM(E534)),""price""),""Not Available""))"),267.65)</f>
        <v>267.65</v>
      </c>
      <c r="H534" s="53">
        <f t="shared" si="1"/>
        <v>144</v>
      </c>
      <c r="I534" s="58">
        <f t="shared" si="2"/>
        <v>-0.3427869859</v>
      </c>
      <c r="J534" s="60">
        <f t="shared" si="3"/>
        <v>-34278.69859</v>
      </c>
      <c r="K534" s="62">
        <v>310.0</v>
      </c>
      <c r="L534" s="62">
        <v>458.0</v>
      </c>
      <c r="M534" s="68">
        <f t="shared" si="4"/>
        <v>-0.2387968079</v>
      </c>
      <c r="N534" s="68">
        <f t="shared" si="5"/>
        <v>0.124616329</v>
      </c>
      <c r="O534" s="68">
        <v>0.0666666666667</v>
      </c>
      <c r="P534" s="23">
        <v>46146</v>
      </c>
      <c r="R534" s="68">
        <v>0.7129</v>
      </c>
      <c r="S534" s="23">
        <v>46203</v>
      </c>
      <c r="T534" s="23">
        <v>46142</v>
      </c>
      <c r="U534" s="39">
        <v>395.55</v>
      </c>
      <c r="V534" s="39">
        <v>299.092</v>
      </c>
      <c r="W534" t="inlineStr">
        <is>
          <t>Above 75 DMA</t>
        </is>
      </c>
    </row>
    <row r="535">
      <c r="A535" s="23">
        <v>46145.0</v>
      </c>
      <c r="B535" s="25" t="str">
        <f t="shared" si="6"/>
        <v>Sunday</v>
      </c>
      <c r="C535" s="243" t="s">
        <v>156</v>
      </c>
      <c r="D535" s="31">
        <f>IFERROR(__xludf.DUMMYFUNCTION("GOOGLEFINANCE(""NSE:""&amp;UPPER(TRIM(E535)),""marketcap"")/10000000"),2544.8913973)</f>
        <v>2544.891397</v>
      </c>
      <c r="E535" s="244" t="s">
        <v>145</v>
      </c>
      <c r="F535" s="39">
        <f>IFERROR(__xludf.DUMMYFUNCTION("IF(OR(E535="""",A535=""""),"""",
 IF(
   DATE(VALUE(RIGHT(A535,4)),VALUE(MID(A535,4,2)),VALUE(LEFT(A535,2)))&gt;=TODAY(),
   IFERROR(
     GOOGLEFINANCE(""NSE:""&amp;UPPER(TRIM(E535)),""price""),
     ""Not Available""
   ),
   IFERROR(
     INDEX(
       GOOGLE"&amp;"FINANCE(
         ""NSE:""&amp;UPPER(TRIM(E535)),
         ""close"",
         DATE(VALUE(RIGHT(A535,4)),VALUE(MID(A535,4,2)),VALUE(LEFT(A535,2))),
         DATE(VALUE(RIGHT(A535,4)),VALUE(MID(A535,4,2)),VALUE(LEFT(A535,2)))+1
       ),
       2,2
     ),
   "&amp;"  ""Not Available""
   )
 ))"),484.0)</f>
        <v>484</v>
      </c>
      <c r="G535" s="42">
        <f>IFERROR(__xludf.DUMMYFUNCTION("IF(E535="""","""",IFERROR(GOOGLEFINANCE(""NSE:""&amp;UPPER(TRIM(E535)),""price""),""Not Available""))"),457.45)</f>
        <v>457.45</v>
      </c>
      <c r="H535" s="53">
        <f t="shared" si="1"/>
        <v>144</v>
      </c>
      <c r="I535" s="58">
        <f t="shared" si="2"/>
        <v>-0.0548553719</v>
      </c>
      <c r="J535" s="60">
        <f t="shared" si="3"/>
        <v>-5485.53719</v>
      </c>
      <c r="K535" s="62">
        <v>666.0</v>
      </c>
      <c r="L535" s="62">
        <v>463.0</v>
      </c>
      <c r="M535" s="68">
        <f t="shared" si="4"/>
        <v>0.3760330579</v>
      </c>
      <c r="N535" s="68">
        <f t="shared" si="5"/>
        <v>-0.04338842975</v>
      </c>
      <c r="O535" s="68">
        <v>0.121694214876</v>
      </c>
      <c r="P535" s="23">
        <v>46265</v>
      </c>
      <c r="R535" s="68">
        <v>0.7498</v>
      </c>
      <c r="S535" s="23">
        <v>46203</v>
      </c>
      <c r="T535" s="23">
        <v>46142</v>
      </c>
      <c r="U535" s="39">
        <v>397.95</v>
      </c>
      <c r="V535" s="39">
        <v>359.072666667</v>
      </c>
      <c r="W535" t="inlineStr">
        <is>
          <t>Above 75 DMA</t>
        </is>
      </c>
    </row>
    <row r="536">
      <c r="A536" s="23">
        <v>46145.0</v>
      </c>
      <c r="B536" s="25" t="str">
        <f t="shared" si="6"/>
        <v>Sunday</v>
      </c>
      <c r="C536" s="243" t="s">
        <v>156</v>
      </c>
      <c r="D536" s="31">
        <f>IFERROR(__xludf.DUMMYFUNCTION("GOOGLEFINANCE(""NSE:""&amp;UPPER(TRIM(E536)),""marketcap"")/10000000"),4808.3820133)</f>
        <v>4808.382013</v>
      </c>
      <c r="E536" s="244" t="s">
        <v>408</v>
      </c>
      <c r="F536" s="39">
        <f>IFERROR(__xludf.DUMMYFUNCTION("IF(OR(E536="""",A536=""""),"""",
 IF(
   DATE(VALUE(RIGHT(A536,4)),VALUE(MID(A536,4,2)),VALUE(LEFT(A536,2)))&gt;=TODAY(),
   IFERROR(
     GOOGLEFINANCE(""NSE:""&amp;UPPER(TRIM(E536)),""price""),
     ""Not Available""
   ),
   IFERROR(
     INDEX(
       GOOGLE"&amp;"FINANCE(
         ""NSE:""&amp;UPPER(TRIM(E536)),
         ""close"",
         DATE(VALUE(RIGHT(A536,4)),VALUE(MID(A536,4,2)),VALUE(LEFT(A536,2))),
         DATE(VALUE(RIGHT(A536,4)),VALUE(MID(A536,4,2)),VALUE(LEFT(A536,2)))+1
       ),
       2,2
     ),
   "&amp;"  ""Not Available""
   )
 ))"),2417.0)</f>
        <v>2417</v>
      </c>
      <c r="G536" s="42">
        <f>IFERROR(__xludf.DUMMYFUNCTION("IF(E536="""","""",IFERROR(GOOGLEFINANCE(""NSE:""&amp;UPPER(TRIM(E536)),""price""),""Not Available""))"),2916.3)</f>
        <v>2916.3</v>
      </c>
      <c r="H536" s="53">
        <f t="shared" si="1"/>
        <v>144</v>
      </c>
      <c r="I536" s="58">
        <f t="shared" si="2"/>
        <v>0.206578403</v>
      </c>
      <c r="J536" s="60">
        <f t="shared" si="3"/>
        <v>20657.8403</v>
      </c>
      <c r="K536" s="62">
        <v>2593.0</v>
      </c>
      <c r="L536" s="62">
        <v>1512.0</v>
      </c>
      <c r="M536" s="68">
        <f t="shared" si="4"/>
        <v>0.07281754241</v>
      </c>
      <c r="N536" s="68">
        <f t="shared" si="5"/>
        <v>-0.3744311129</v>
      </c>
      <c r="O536" s="68">
        <v>0.275134464212</v>
      </c>
      <c r="P536" s="23">
        <v>46224</v>
      </c>
      <c r="R536" s="68">
        <v>0.7295</v>
      </c>
      <c r="S536" s="23">
        <v>46203</v>
      </c>
      <c r="T536" s="23">
        <v>46142</v>
      </c>
      <c r="U536" s="39">
        <v>2295</v>
      </c>
      <c r="V536" s="39">
        <v>1987.384</v>
      </c>
      <c r="W536" t="inlineStr">
        <is>
          <t>Above 75 DMA</t>
        </is>
      </c>
    </row>
    <row r="537">
      <c r="A537" s="23">
        <v>46142.0</v>
      </c>
      <c r="B537" s="25" t="str">
        <f t="shared" si="6"/>
        <v>Thursday</v>
      </c>
      <c r="C537" s="243" t="s">
        <v>156</v>
      </c>
      <c r="D537" s="31">
        <f>IFERROR(__xludf.DUMMYFUNCTION("GOOGLEFINANCE(""NSE:""&amp;UPPER(TRIM(E537)),""marketcap"")/10000000"),4890.0109595)</f>
        <v>4890.01096</v>
      </c>
      <c r="E537" s="244" t="s">
        <v>415</v>
      </c>
      <c r="F537" s="39">
        <f>IFERROR(__xludf.DUMMYFUNCTION("IF(OR(E537="""",A537=""""),"""",
 IF(
   DATE(VALUE(RIGHT(A537,4)),VALUE(MID(A537,4,2)),VALUE(LEFT(A537,2)))&gt;=TODAY(),
   IFERROR(
     GOOGLEFINANCE(""NSE:""&amp;UPPER(TRIM(E537)),""price""),
     ""Not Available""
   ),
   IFERROR(
     INDEX(
       GOOGLE"&amp;"FINANCE(
         ""NSE:""&amp;UPPER(TRIM(E537)),
         ""close"",
         DATE(VALUE(RIGHT(A537,4)),VALUE(MID(A537,4,2)),VALUE(LEFT(A537,2))),
         DATE(VALUE(RIGHT(A537,4)),VALUE(MID(A537,4,2)),VALUE(LEFT(A537,2)))+1
       ),
       2,2
     ),
   "&amp;"  ""Not Available""
   )
 ))"),1030.5)</f>
        <v>1030.5</v>
      </c>
      <c r="G537" s="7">
        <v>1973.0</v>
      </c>
      <c r="H537" s="53">
        <f t="shared" si="1"/>
        <v>147</v>
      </c>
      <c r="I537" s="58">
        <f t="shared" si="2"/>
        <v>0.9146045609</v>
      </c>
      <c r="J537" s="60">
        <f t="shared" si="3"/>
        <v>91460.45609</v>
      </c>
      <c r="K537" s="62">
        <v>1025.0</v>
      </c>
      <c r="L537" s="62">
        <v>1200.0</v>
      </c>
      <c r="M537" s="68">
        <f t="shared" si="4"/>
        <v>-0.005337214944</v>
      </c>
      <c r="N537" s="68">
        <f t="shared" si="5"/>
        <v>0.1644832606</v>
      </c>
      <c r="O537" s="68">
        <v>1.5121785541</v>
      </c>
      <c r="P537" s="23">
        <v>46275</v>
      </c>
    </row>
    <row r="538">
      <c r="A538" s="23">
        <v>46138.0</v>
      </c>
      <c r="B538" s="25" t="str">
        <f t="shared" si="6"/>
        <v>Sunday</v>
      </c>
      <c r="C538" s="243" t="s">
        <v>156</v>
      </c>
      <c r="D538" s="31">
        <f>IFERROR(__xludf.DUMMYFUNCTION("GOOGLEFINANCE(""NSE:""&amp;UPPER(TRIM(E538)),""marketcap"")/10000000"),2878.6281011)</f>
        <v>2878.628101</v>
      </c>
      <c r="E538" s="244" t="s">
        <v>416</v>
      </c>
      <c r="F538" s="39">
        <f>IFERROR(__xludf.DUMMYFUNCTION("IF(OR(E538="""",A538=""""),"""",
 IF(
   DATE(VALUE(RIGHT(A538,4)),VALUE(MID(A538,4,2)),VALUE(LEFT(A538,2)))&gt;=TODAY(),
   IFERROR(
     GOOGLEFINANCE(""NSE:""&amp;UPPER(TRIM(E538)),""price""),
     ""Not Available""
   ),
   IFERROR(
     INDEX(
       GOOGLE"&amp;"FINANCE(
         ""NSE:""&amp;UPPER(TRIM(E538)),
         ""close"",
         DATE(VALUE(RIGHT(A538,4)),VALUE(MID(A538,4,2)),VALUE(LEFT(A538,2))),
         DATE(VALUE(RIGHT(A538,4)),VALUE(MID(A538,4,2)),VALUE(LEFT(A538,2)))+1
       ),
       2,2
     ),
   "&amp;"  ""Not Available""
   )
 ))"),1339.0)</f>
        <v>1339</v>
      </c>
      <c r="G538" s="42">
        <f>IFERROR(__xludf.DUMMYFUNCTION("IF(E538="""","""",IFERROR(GOOGLEFINANCE(""NSE:""&amp;UPPER(TRIM(E538)),""price""),""Not Available""))"),1713.1)</f>
        <v>1713.1</v>
      </c>
      <c r="H538" s="53">
        <f t="shared" si="1"/>
        <v>151</v>
      </c>
      <c r="I538" s="58">
        <f t="shared" si="2"/>
        <v>0.2793876027</v>
      </c>
      <c r="J538" s="60">
        <f t="shared" si="3"/>
        <v>27938.76027</v>
      </c>
      <c r="K538" s="62">
        <v>1273.0</v>
      </c>
      <c r="L538" s="62">
        <v>941.0</v>
      </c>
      <c r="M538" s="68">
        <f t="shared" si="4"/>
        <v>-0.04929051531</v>
      </c>
      <c r="N538" s="68">
        <f t="shared" si="5"/>
        <v>-0.2972367438</v>
      </c>
      <c r="O538" s="68">
        <v>0.926811053025</v>
      </c>
      <c r="P538" s="23">
        <v>46240</v>
      </c>
      <c r="R538" s="68">
        <v>0.2873</v>
      </c>
      <c r="S538" s="23">
        <v>46203</v>
      </c>
      <c r="T538" s="23">
        <v>46136</v>
      </c>
      <c r="U538" s="39">
        <v>1296.45</v>
      </c>
      <c r="V538" s="39">
        <v>1123.04666667</v>
      </c>
      <c r="W538" t="inlineStr">
        <is>
          <t>Above 75 DMA</t>
        </is>
      </c>
    </row>
    <row r="539">
      <c r="A539" s="23">
        <v>46138.0</v>
      </c>
      <c r="B539" s="25" t="str">
        <f t="shared" si="6"/>
        <v>Sunday</v>
      </c>
      <c r="C539" s="243" t="s">
        <v>156</v>
      </c>
      <c r="D539" s="31">
        <f>IFERROR(__xludf.DUMMYFUNCTION("GOOGLEFINANCE(""NSE:""&amp;UPPER(TRIM(E539)),""marketcap"")/10000000"),4764.7562233)</f>
        <v>4764.756223</v>
      </c>
      <c r="E539" s="244" t="s">
        <v>417</v>
      </c>
      <c r="F539" s="39">
        <f>IFERROR(__xludf.DUMMYFUNCTION("IF(OR(E539="""",A539=""""),"""",
 IF(
   DATE(VALUE(RIGHT(A539,4)),VALUE(MID(A539,4,2)),VALUE(LEFT(A539,2)))&gt;=TODAY(),
   IFERROR(
     GOOGLEFINANCE(""NSE:""&amp;UPPER(TRIM(E539)),""price""),
     ""Not Available""
   ),
   IFERROR(
     INDEX(
       GOOGLE"&amp;"FINANCE(
         ""NSE:""&amp;UPPER(TRIM(E539)),
         ""close"",
         DATE(VALUE(RIGHT(A539,4)),VALUE(MID(A539,4,2)),VALUE(LEFT(A539,2))),
         DATE(VALUE(RIGHT(A539,4)),VALUE(MID(A539,4,2)),VALUE(LEFT(A539,2)))+1
       ),
       2,2
     ),
   "&amp;"  ""Not Available""
   )
 ))"),148.23)</f>
        <v>148.23</v>
      </c>
      <c r="G539" s="42">
        <f>IFERROR(__xludf.DUMMYFUNCTION("IF(E539="""","""",IFERROR(GOOGLEFINANCE(""NSE:""&amp;UPPER(TRIM(E539)),""price""),""Not Available""))"),181.63)</f>
        <v>181.63</v>
      </c>
      <c r="H539" s="53">
        <f t="shared" si="1"/>
        <v>151</v>
      </c>
      <c r="I539" s="58">
        <f t="shared" si="2"/>
        <v>0.2253255077</v>
      </c>
      <c r="J539" s="60">
        <f t="shared" si="3"/>
        <v>22532.55077</v>
      </c>
      <c r="K539" s="62">
        <v>209.0</v>
      </c>
      <c r="L539" s="62">
        <v>96.0</v>
      </c>
      <c r="M539" s="68">
        <f t="shared" si="4"/>
        <v>0.409970991</v>
      </c>
      <c r="N539" s="68">
        <f t="shared" si="5"/>
        <v>-0.3523578223</v>
      </c>
      <c r="O539" s="68">
        <v>0.277744046414</v>
      </c>
      <c r="P539" s="23">
        <v>46255</v>
      </c>
      <c r="R539" s="68">
        <v>0.5224</v>
      </c>
      <c r="S539" s="23">
        <v>46203</v>
      </c>
      <c r="T539" s="23">
        <v>46136</v>
      </c>
      <c r="U539" s="39">
        <v>155.27</v>
      </c>
      <c r="V539" s="39">
        <v>128.157466667</v>
      </c>
      <c r="W539" t="inlineStr">
        <is>
          <t>Above 75 DMA</t>
        </is>
      </c>
    </row>
    <row r="540">
      <c r="A540" s="23">
        <v>46138.0</v>
      </c>
      <c r="B540" s="25" t="str">
        <f t="shared" si="6"/>
        <v>Sunday</v>
      </c>
      <c r="C540" s="243" t="s">
        <v>156</v>
      </c>
      <c r="D540" s="31">
        <f>IFERROR(__xludf.DUMMYFUNCTION("GOOGLEFINANCE(""NSE:""&amp;UPPER(TRIM(E540)),""marketcap"")/10000000"),5297.5263855)</f>
        <v>5297.526386</v>
      </c>
      <c r="E540" s="244" t="s">
        <v>419</v>
      </c>
      <c r="F540" s="39">
        <f>IFERROR(__xludf.DUMMYFUNCTION("IF(OR(E540="""",A540=""""),"""",
 IF(
   DATE(VALUE(RIGHT(A540,4)),VALUE(MID(A540,4,2)),VALUE(LEFT(A540,2)))&gt;=TODAY(),
   IFERROR(
     GOOGLEFINANCE(""NSE:""&amp;UPPER(TRIM(E540)),""price""),
     ""Not Available""
   ),
   IFERROR(
     INDEX(
       GOOGLE"&amp;"FINANCE(
         ""NSE:""&amp;UPPER(TRIM(E540)),
         ""close"",
         DATE(VALUE(RIGHT(A540,4)),VALUE(MID(A540,4,2)),VALUE(LEFT(A540,2))),
         DATE(VALUE(RIGHT(A540,4)),VALUE(MID(A540,4,2)),VALUE(LEFT(A540,2)))+1
       ),
       2,2
     ),
   "&amp;"  ""Not Available""
   )
 ))"),416.1)</f>
        <v>416.1</v>
      </c>
      <c r="G540" s="42">
        <f>IFERROR(__xludf.DUMMYFUNCTION("IF(E540="""","""",IFERROR(GOOGLEFINANCE(""NSE:""&amp;UPPER(TRIM(E540)),""price""),""Not Available""))"),240.4)</f>
        <v>240.4</v>
      </c>
      <c r="H540" s="53">
        <f t="shared" si="1"/>
        <v>151</v>
      </c>
      <c r="I540" s="58">
        <f t="shared" si="2"/>
        <v>-0.4222542658</v>
      </c>
      <c r="J540" s="60">
        <f t="shared" si="3"/>
        <v>-42225.42658</v>
      </c>
      <c r="K540" s="62">
        <v>465.0</v>
      </c>
      <c r="L540" s="62">
        <v>225.0</v>
      </c>
      <c r="M540" s="68">
        <f t="shared" si="4"/>
        <v>0.117519827</v>
      </c>
      <c r="N540" s="68">
        <f t="shared" si="5"/>
        <v>-0.4592645999</v>
      </c>
      <c r="O540" s="68">
        <v>0.140471040615</v>
      </c>
      <c r="P540" s="23">
        <v>46206</v>
      </c>
      <c r="R540" s="68">
        <v>0.6058</v>
      </c>
      <c r="S540" s="23">
        <v>46203</v>
      </c>
      <c r="T540" s="23">
        <v>46136</v>
      </c>
      <c r="U540" s="39">
        <v>361.6</v>
      </c>
      <c r="V540" s="39">
        <v>323.952666667</v>
      </c>
      <c r="W540" t="inlineStr">
        <is>
          <t>Above 75 DMA</t>
        </is>
      </c>
    </row>
    <row r="541">
      <c r="A541" s="23">
        <v>46138.0</v>
      </c>
      <c r="B541" s="25" t="str">
        <f t="shared" si="6"/>
        <v>Sunday</v>
      </c>
      <c r="C541" s="243" t="s">
        <v>156</v>
      </c>
      <c r="D541" s="31">
        <f>IFERROR(__xludf.DUMMYFUNCTION("GOOGLEFINANCE(""NSE:""&amp;UPPER(TRIM(E541)),""marketcap"")/10000000"),14419.9650064)</f>
        <v>14419.96501</v>
      </c>
      <c r="E541" s="244" t="s">
        <v>420</v>
      </c>
      <c r="F541" s="39">
        <f>IFERROR(__xludf.DUMMYFUNCTION("IF(OR(E541="""",A541=""""),"""",
 IF(
   DATE(VALUE(RIGHT(A541,4)),VALUE(MID(A541,4,2)),VALUE(LEFT(A541,2)))&gt;=TODAY(),
   IFERROR(
     GOOGLEFINANCE(""NSE:""&amp;UPPER(TRIM(E541)),""price""),
     ""Not Available""
   ),
   IFERROR(
     INDEX(
       GOOGLE"&amp;"FINANCE(
         ""NSE:""&amp;UPPER(TRIM(E541)),
         ""close"",
         DATE(VALUE(RIGHT(A541,4)),VALUE(MID(A541,4,2)),VALUE(LEFT(A541,2))),
         DATE(VALUE(RIGHT(A541,4)),VALUE(MID(A541,4,2)),VALUE(LEFT(A541,2)))+1
       ),
       2,2
     ),
   "&amp;"  ""Not Available""
   )
 ))"),2422.6)</f>
        <v>2422.6</v>
      </c>
      <c r="G541" s="7">
        <v>3169.0</v>
      </c>
      <c r="H541" s="53">
        <f t="shared" si="1"/>
        <v>151</v>
      </c>
      <c r="I541" s="58">
        <f t="shared" si="2"/>
        <v>0.3080987369</v>
      </c>
      <c r="J541" s="60">
        <f t="shared" si="3"/>
        <v>30809.87369</v>
      </c>
      <c r="K541" s="62">
        <v>2733.0</v>
      </c>
      <c r="L541" s="62">
        <v>2377.0</v>
      </c>
      <c r="M541" s="68">
        <f t="shared" si="4"/>
        <v>0.1281268059</v>
      </c>
      <c r="N541" s="68">
        <f t="shared" si="5"/>
        <v>-0.01882275241</v>
      </c>
      <c r="O541" s="68">
        <v>0.492281020391</v>
      </c>
      <c r="P541" s="23">
        <v>46245</v>
      </c>
      <c r="R541" s="68">
        <v>0.4109</v>
      </c>
      <c r="S541" s="23">
        <v>46203</v>
      </c>
      <c r="T541" s="23">
        <v>46136</v>
      </c>
      <c r="U541" s="39">
        <v>2503.1</v>
      </c>
      <c r="V541" s="39">
        <v>2054.10933333</v>
      </c>
      <c r="W541" t="inlineStr">
        <is>
          <t>Above 75 DMA</t>
        </is>
      </c>
    </row>
    <row r="542">
      <c r="A542" s="23">
        <v>46138.0</v>
      </c>
      <c r="B542" s="25" t="str">
        <f t="shared" si="6"/>
        <v>Sunday</v>
      </c>
      <c r="C542" s="243" t="s">
        <v>156</v>
      </c>
      <c r="D542" s="31">
        <f>IFERROR(__xludf.DUMMYFUNCTION("GOOGLEFINANCE(""NSE:""&amp;UPPER(TRIM(E542)),""marketcap"")/10000000"),2751.4062)</f>
        <v>2751.4062</v>
      </c>
      <c r="E542" s="244" t="s">
        <v>421</v>
      </c>
      <c r="F542" s="39">
        <f>IFERROR(__xludf.DUMMYFUNCTION("IF(OR(E542="""",A542=""""),"""",
 IF(
   DATE(VALUE(RIGHT(A542,4)),VALUE(MID(A542,4,2)),VALUE(LEFT(A542,2)))&gt;=TODAY(),
   IFERROR(
     GOOGLEFINANCE(""NSE:""&amp;UPPER(TRIM(E542)),""price""),
     ""Not Available""
   ),
   IFERROR(
     INDEX(
       GOOGLE"&amp;"FINANCE(
         ""NSE:""&amp;UPPER(TRIM(E542)),
         ""close"",
         DATE(VALUE(RIGHT(A542,4)),VALUE(MID(A542,4,2)),VALUE(LEFT(A542,2))),
         DATE(VALUE(RIGHT(A542,4)),VALUE(MID(A542,4,2)),VALUE(LEFT(A542,2)))+1
       ),
       2,2
     ),
   "&amp;"  ""Not Available""
   )
 ))"),491.3)</f>
        <v>491.3</v>
      </c>
      <c r="G542" s="7">
        <v>737.0</v>
      </c>
      <c r="H542" s="53">
        <f t="shared" si="1"/>
        <v>151</v>
      </c>
      <c r="I542" s="58">
        <f t="shared" si="2"/>
        <v>0.5001017708</v>
      </c>
      <c r="J542" s="60">
        <f t="shared" si="3"/>
        <v>50010.17708</v>
      </c>
      <c r="K542" s="62">
        <v>478.0</v>
      </c>
      <c r="L542" s="62">
        <v>565.0</v>
      </c>
      <c r="M542" s="68">
        <f t="shared" si="4"/>
        <v>-0.02707103603</v>
      </c>
      <c r="N542" s="68">
        <f t="shared" si="5"/>
        <v>0.1500101771</v>
      </c>
      <c r="O542" s="68">
        <v>0.734174638714</v>
      </c>
      <c r="P542" s="23">
        <v>46274</v>
      </c>
      <c r="R542" s="68">
        <v>0.694</v>
      </c>
      <c r="S542" s="23">
        <v>46203</v>
      </c>
      <c r="T542" s="23">
        <v>46136</v>
      </c>
      <c r="U542" s="39">
        <v>489.45</v>
      </c>
      <c r="V542" s="39">
        <v>406.554666667</v>
      </c>
      <c r="W542" t="inlineStr">
        <is>
          <t>Above 75 DMA</t>
        </is>
      </c>
    </row>
    <row r="543">
      <c r="A543" s="23">
        <v>46138.0</v>
      </c>
      <c r="B543" s="25" t="str">
        <f t="shared" si="6"/>
        <v>Sunday</v>
      </c>
      <c r="C543" s="243" t="s">
        <v>156</v>
      </c>
      <c r="D543" s="31">
        <f>IFERROR(__xludf.DUMMYFUNCTION("GOOGLEFINANCE(""NSE:""&amp;UPPER(TRIM(E543)),""marketcap"")/10000000"),234.5617642)</f>
        <v>234.5617642</v>
      </c>
      <c r="E543" s="244" t="s">
        <v>423</v>
      </c>
      <c r="F543" s="39">
        <f>IFERROR(__xludf.DUMMYFUNCTION("IF(OR(E543="""",A543=""""),"""",
 IF(
   DATE(VALUE(RIGHT(A543,4)),VALUE(MID(A543,4,2)),VALUE(LEFT(A543,2)))&gt;=TODAY(),
   IFERROR(
     GOOGLEFINANCE(""NSE:""&amp;UPPER(TRIM(E543)),""price""),
     ""Not Available""
   ),
   IFERROR(
     INDEX(
       GOOGLE"&amp;"FINANCE(
         ""NSE:""&amp;UPPER(TRIM(E543)),
         ""close"",
         DATE(VALUE(RIGHT(A543,4)),VALUE(MID(A543,4,2)),VALUE(LEFT(A543,2))),
         DATE(VALUE(RIGHT(A543,4)),VALUE(MID(A543,4,2)),VALUE(LEFT(A543,2)))+1
       ),
       2,2
     ),
   "&amp;"  ""Not Available""
   )
 ))"),168.0)</f>
        <v>168</v>
      </c>
      <c r="G543" s="7">
        <v>135.0</v>
      </c>
      <c r="H543" s="53">
        <f t="shared" si="1"/>
        <v>151</v>
      </c>
      <c r="I543" s="58">
        <f t="shared" si="2"/>
        <v>-0.1964285714</v>
      </c>
      <c r="J543" s="60">
        <f t="shared" si="3"/>
        <v>-19642.85714</v>
      </c>
      <c r="K543" s="62">
        <v>159.0</v>
      </c>
      <c r="L543" s="62">
        <v>154.0</v>
      </c>
      <c r="M543" s="68">
        <f t="shared" si="4"/>
        <v>-0.05357142857</v>
      </c>
      <c r="N543" s="68">
        <f t="shared" si="5"/>
        <v>-0.08333333333</v>
      </c>
      <c r="O543" s="68">
        <v>0.0291666666667</v>
      </c>
      <c r="P543" s="23">
        <v>46163</v>
      </c>
      <c r="R543" s="68">
        <v>0.6563</v>
      </c>
      <c r="S543" s="23">
        <v>46203</v>
      </c>
      <c r="T543" s="23">
        <v>46136</v>
      </c>
      <c r="U543" s="39">
        <v>167.45</v>
      </c>
      <c r="V543" s="39">
        <v>149.976533333</v>
      </c>
      <c r="W543" t="inlineStr">
        <is>
          <t>Above 75 DMA</t>
        </is>
      </c>
    </row>
    <row r="544">
      <c r="A544" s="23">
        <v>46138.0</v>
      </c>
      <c r="B544" s="25" t="str">
        <f t="shared" si="6"/>
        <v>Sunday</v>
      </c>
      <c r="C544" s="243" t="s">
        <v>156</v>
      </c>
      <c r="D544" s="31">
        <f>IFERROR(__xludf.DUMMYFUNCTION("GOOGLEFINANCE(""NSE:""&amp;UPPER(TRIM(E544)),""marketcap"")/10000000"),4819.2)</f>
        <v>4819.2</v>
      </c>
      <c r="E544" s="244" t="s">
        <v>186</v>
      </c>
      <c r="F544" s="39">
        <f>IFERROR(__xludf.DUMMYFUNCTION("IF(OR(E544="""",A544=""""),"""",
 IF(
   DATE(VALUE(RIGHT(A544,4)),VALUE(MID(A544,4,2)),VALUE(LEFT(A544,2)))&gt;=TODAY(),
   IFERROR(
     GOOGLEFINANCE(""NSE:""&amp;UPPER(TRIM(E544)),""price""),
     ""Not Available""
   ),
   IFERROR(
     INDEX(
       GOOGLE"&amp;"FINANCE(
         ""NSE:""&amp;UPPER(TRIM(E544)),
         ""close"",
         DATE(VALUE(RIGHT(A544,4)),VALUE(MID(A544,4,2)),VALUE(LEFT(A544,2))),
         DATE(VALUE(RIGHT(A544,4)),VALUE(MID(A544,4,2)),VALUE(LEFT(A544,2)))+1
       ),
       2,2
     ),
   "&amp;"  ""Not Available""
   )
 ))"),487.85)</f>
        <v>487.85</v>
      </c>
      <c r="G544" s="42">
        <f>IFERROR(__xludf.DUMMYFUNCTION("IF(E544="""","""",IFERROR(GOOGLEFINANCE(""NSE:""&amp;UPPER(TRIM(E544)),""price""),""Not Available""))"),753.0)</f>
        <v>753</v>
      </c>
      <c r="H544" s="53">
        <f t="shared" si="1"/>
        <v>151</v>
      </c>
      <c r="I544" s="58">
        <f t="shared" si="2"/>
        <v>0.5435072256</v>
      </c>
      <c r="J544" s="60">
        <f t="shared" si="3"/>
        <v>54350.72256</v>
      </c>
      <c r="K544" s="62">
        <v>665.0</v>
      </c>
      <c r="L544" s="62">
        <v>4182.0</v>
      </c>
      <c r="M544" s="68">
        <f t="shared" si="4"/>
        <v>0.363123911</v>
      </c>
      <c r="N544" s="68">
        <f t="shared" si="5"/>
        <v>7.572307062</v>
      </c>
      <c r="O544" s="68">
        <v>0.691093573844</v>
      </c>
      <c r="P544" s="23">
        <v>46274</v>
      </c>
      <c r="R544" s="68">
        <v>0.6349</v>
      </c>
      <c r="S544" s="23">
        <v>46203</v>
      </c>
      <c r="T544" s="23">
        <v>46136</v>
      </c>
      <c r="U544" s="39">
        <v>495.6</v>
      </c>
      <c r="V544" s="39">
        <v>397.976666667</v>
      </c>
      <c r="W544" t="inlineStr">
        <is>
          <t>Above 75 DMA</t>
        </is>
      </c>
    </row>
    <row r="545">
      <c r="A545" s="23">
        <v>46138.0</v>
      </c>
      <c r="B545" s="25" t="str">
        <f t="shared" si="6"/>
        <v>Sunday</v>
      </c>
      <c r="C545" s="243" t="s">
        <v>156</v>
      </c>
      <c r="D545" s="31">
        <f>IFERROR(__xludf.DUMMYFUNCTION("GOOGLEFINANCE(""NSE:""&amp;UPPER(TRIM(E545)),""marketcap"")/10000000"),3163.9236)</f>
        <v>3163.9236</v>
      </c>
      <c r="E545" s="244" t="s">
        <v>425</v>
      </c>
      <c r="F545" s="39">
        <f>IFERROR(__xludf.DUMMYFUNCTION("IF(OR(E545="""",A545=""""),"""",
 IF(
   DATE(VALUE(RIGHT(A545,4)),VALUE(MID(A545,4,2)),VALUE(LEFT(A545,2)))&gt;=TODAY(),
   IFERROR(
     GOOGLEFINANCE(""NSE:""&amp;UPPER(TRIM(E545)),""price""),
     ""Not Available""
   ),
   IFERROR(
     INDEX(
       GOOGLE"&amp;"FINANCE(
         ""NSE:""&amp;UPPER(TRIM(E545)),
         ""close"",
         DATE(VALUE(RIGHT(A545,4)),VALUE(MID(A545,4,2)),VALUE(LEFT(A545,2))),
         DATE(VALUE(RIGHT(A545,4)),VALUE(MID(A545,4,2)),VALUE(LEFT(A545,2)))+1
       ),
       2,2
     ),
   "&amp;"  ""Not Available""
   )
 ))"),272.6)</f>
        <v>272.6</v>
      </c>
      <c r="G545" s="42">
        <f>IFERROR(__xludf.DUMMYFUNCTION("IF(E545="""","""",IFERROR(GOOGLEFINANCE(""NSE:""&amp;UPPER(TRIM(E545)),""price""),""Not Available""))"),244.0)</f>
        <v>244</v>
      </c>
      <c r="H545" s="53">
        <f t="shared" si="1"/>
        <v>151</v>
      </c>
      <c r="I545" s="58">
        <f t="shared" si="2"/>
        <v>-0.1049156273</v>
      </c>
      <c r="J545" s="60">
        <f t="shared" si="3"/>
        <v>-10491.56273</v>
      </c>
      <c r="K545" s="62">
        <v>384.0</v>
      </c>
      <c r="L545" s="62">
        <v>105.0</v>
      </c>
      <c r="M545" s="68">
        <f t="shared" si="4"/>
        <v>0.4086573734</v>
      </c>
      <c r="N545" s="68">
        <f t="shared" si="5"/>
        <v>-0.6148202494</v>
      </c>
      <c r="O545" s="68">
        <v>0.162509170946</v>
      </c>
      <c r="P545" s="23">
        <v>46237</v>
      </c>
      <c r="R545" s="68">
        <v>0.196</v>
      </c>
      <c r="S545" s="23">
        <v>46203</v>
      </c>
      <c r="T545" s="23">
        <v>46136</v>
      </c>
      <c r="U545" s="39">
        <v>259.29</v>
      </c>
      <c r="V545" s="39">
        <v>210.8072</v>
      </c>
      <c r="W545" t="inlineStr">
        <is>
          <t>Above 75 DMA</t>
        </is>
      </c>
    </row>
    <row r="546">
      <c r="A546" s="23">
        <v>46135.0</v>
      </c>
      <c r="B546" s="25" t="str">
        <f t="shared" si="6"/>
        <v>Thursday</v>
      </c>
      <c r="C546" s="243" t="s">
        <v>156</v>
      </c>
      <c r="D546" s="31">
        <f>IFERROR(__xludf.DUMMYFUNCTION("GOOGLEFINANCE(""NSE:""&amp;UPPER(TRIM(E546)),""marketcap"")/10000000"),99281.43939)</f>
        <v>99281.43939</v>
      </c>
      <c r="E546" s="244" t="s">
        <v>427</v>
      </c>
      <c r="F546" s="39">
        <f>IFERROR(__xludf.DUMMYFUNCTION("IF(OR(E546="""",A546=""""),"""",
 IF(
   DATE(VALUE(RIGHT(A546,4)),VALUE(MID(A546,4,2)),VALUE(LEFT(A546,2)))&gt;=TODAY(),
   IFERROR(
     GOOGLEFINANCE(""NSE:""&amp;UPPER(TRIM(E546)),""price""),
     ""Not Available""
   ),
   IFERROR(
     INDEX(
       GOOGLE"&amp;"FINANCE(
         ""NSE:""&amp;UPPER(TRIM(E546)),
         ""close"",
         DATE(VALUE(RIGHT(A546,4)),VALUE(MID(A546,4,2)),VALUE(LEFT(A546,2))),
         DATE(VALUE(RIGHT(A546,4)),VALUE(MID(A546,4,2)),VALUE(LEFT(A546,2)))+1
       ),
       2,2
     ),
   "&amp;"  ""Not Available""
   )
 ))"),1435.4)</f>
        <v>1435.4</v>
      </c>
      <c r="G546" s="42">
        <f>IFERROR(__xludf.DUMMYFUNCTION("IF(E546="""","""",IFERROR(GOOGLEFINANCE(""NSE:""&amp;UPPER(TRIM(E546)),""price""),""Not Available""))"),1726.1)</f>
        <v>1726.1</v>
      </c>
      <c r="H546" s="53">
        <f t="shared" si="1"/>
        <v>154</v>
      </c>
      <c r="I546" s="58">
        <f t="shared" si="2"/>
        <v>0.2025219451</v>
      </c>
      <c r="J546" s="60">
        <f t="shared" si="3"/>
        <v>20252.19451</v>
      </c>
      <c r="K546" s="62">
        <v>1459.0</v>
      </c>
      <c r="L546" s="62">
        <v>1466.0</v>
      </c>
      <c r="M546" s="68">
        <f t="shared" si="4"/>
        <v>0.01644141006</v>
      </c>
      <c r="N546" s="68">
        <f t="shared" si="5"/>
        <v>0.02131809948</v>
      </c>
      <c r="O546" s="68">
        <v>0.21143932005</v>
      </c>
      <c r="P546" s="23">
        <v>46286</v>
      </c>
      <c r="R546" s="68">
        <v>0.5188</v>
      </c>
      <c r="S546" s="23">
        <v>46203</v>
      </c>
      <c r="T546" s="23">
        <v>46135</v>
      </c>
      <c r="U546" s="39">
        <v>1435.4</v>
      </c>
      <c r="V546" s="39">
        <v>1238.964</v>
      </c>
      <c r="W546" t="inlineStr">
        <is>
          <t>Above 75 DMA</t>
        </is>
      </c>
    </row>
    <row r="547">
      <c r="A547" s="23">
        <v>46135.0</v>
      </c>
      <c r="B547" s="25" t="str">
        <f t="shared" si="6"/>
        <v>Thursday</v>
      </c>
      <c r="C547" s="243" t="s">
        <v>156</v>
      </c>
      <c r="D547" s="31">
        <f>IFERROR(__xludf.DUMMYFUNCTION("GOOGLEFINANCE(""NSE:""&amp;UPPER(TRIM(E547)),""marketcap"")/10000000"),20473.8287495)</f>
        <v>20473.82875</v>
      </c>
      <c r="E547" s="244" t="s">
        <v>429</v>
      </c>
      <c r="F547" s="39">
        <f>IFERROR(__xludf.DUMMYFUNCTION("IF(OR(E547="""",A547=""""),"""",
 IF(
   DATE(VALUE(RIGHT(A547,4)),VALUE(MID(A547,4,2)),VALUE(LEFT(A547,2)))&gt;=TODAY(),
   IFERROR(
     GOOGLEFINANCE(""NSE:""&amp;UPPER(TRIM(E547)),""price""),
     ""Not Available""
   ),
   IFERROR(
     INDEX(
       GOOGLE"&amp;"FINANCE(
         ""NSE:""&amp;UPPER(TRIM(E547)),
         ""close"",
         DATE(VALUE(RIGHT(A547,4)),VALUE(MID(A547,4,2)),VALUE(LEFT(A547,2))),
         DATE(VALUE(RIGHT(A547,4)),VALUE(MID(A547,4,2)),VALUE(LEFT(A547,2)))+1
       ),
       2,2
     ),
   "&amp;"  ""Not Available""
   )
 ))"),1069.3)</f>
        <v>1069.3</v>
      </c>
      <c r="G547" s="42">
        <f>IFERROR(__xludf.DUMMYFUNCTION("IF(E547="""","""",IFERROR(GOOGLEFINANCE(""NSE:""&amp;UPPER(TRIM(E547)),""price""),""Not Available""))"),1374.9)</f>
        <v>1374.9</v>
      </c>
      <c r="H547" s="53">
        <f t="shared" si="1"/>
        <v>154</v>
      </c>
      <c r="I547" s="58">
        <f t="shared" si="2"/>
        <v>0.285794445</v>
      </c>
      <c r="J547" s="60">
        <f t="shared" si="3"/>
        <v>28579.4445</v>
      </c>
      <c r="K547" s="62">
        <v>1037.0</v>
      </c>
      <c r="L547" s="62">
        <v>1521.0</v>
      </c>
      <c r="M547" s="68">
        <f t="shared" si="4"/>
        <v>-0.03020667727</v>
      </c>
      <c r="N547" s="68">
        <f t="shared" si="5"/>
        <v>0.4224258861</v>
      </c>
      <c r="O547" s="68">
        <v>0.568783316188</v>
      </c>
      <c r="P547" s="23">
        <v>46276</v>
      </c>
      <c r="R547" s="68">
        <v>0.6729</v>
      </c>
      <c r="S547" s="23">
        <v>46203</v>
      </c>
      <c r="T547" s="23">
        <v>46135</v>
      </c>
      <c r="U547" s="39">
        <v>1024.6</v>
      </c>
      <c r="V547" s="39">
        <v>883.682666667</v>
      </c>
      <c r="W547" t="inlineStr">
        <is>
          <t>Above 75 DMA</t>
        </is>
      </c>
    </row>
    <row r="548">
      <c r="A548" s="23">
        <v>46135.0</v>
      </c>
      <c r="B548" s="25" t="str">
        <f t="shared" si="6"/>
        <v>Thursday</v>
      </c>
      <c r="C548" s="243" t="s">
        <v>156</v>
      </c>
      <c r="D548" s="31">
        <f>IFERROR(__xludf.DUMMYFUNCTION("GOOGLEFINANCE(""NSE:""&amp;UPPER(TRIM(E548)),""marketcap"")/10000000"),6884.2963348)</f>
        <v>6884.296335</v>
      </c>
      <c r="E548" s="244" t="s">
        <v>431</v>
      </c>
      <c r="F548" s="39">
        <f>IFERROR(__xludf.DUMMYFUNCTION("IF(OR(E548="""",A548=""""),"""",
 IF(
   DATE(VALUE(RIGHT(A548,4)),VALUE(MID(A548,4,2)),VALUE(LEFT(A548,2)))&gt;=TODAY(),
   IFERROR(
     GOOGLEFINANCE(""NSE:""&amp;UPPER(TRIM(E548)),""price""),
     ""Not Available""
   ),
   IFERROR(
     INDEX(
       GOOGLE"&amp;"FINANCE(
         ""NSE:""&amp;UPPER(TRIM(E548)),
         ""close"",
         DATE(VALUE(RIGHT(A548,4)),VALUE(MID(A548,4,2)),VALUE(LEFT(A548,2))),
         DATE(VALUE(RIGHT(A548,4)),VALUE(MID(A548,4,2)),VALUE(LEFT(A548,2)))+1
       ),
       2,2
     ),
   "&amp;"  ""Not Available""
   )
 ))"),191.89)</f>
        <v>191.89</v>
      </c>
      <c r="G548" s="42">
        <f>IFERROR(__xludf.DUMMYFUNCTION("IF(E548="""","""",IFERROR(GOOGLEFINANCE(""NSE:""&amp;UPPER(TRIM(E548)),""price""),""Not Available""))"),213.41)</f>
        <v>213.41</v>
      </c>
      <c r="H548" s="53">
        <f t="shared" si="1"/>
        <v>154</v>
      </c>
      <c r="I548" s="58">
        <f t="shared" si="2"/>
        <v>0.1121475846</v>
      </c>
      <c r="J548" s="60">
        <f t="shared" si="3"/>
        <v>11214.75846</v>
      </c>
      <c r="K548" s="62">
        <v>210.0</v>
      </c>
      <c r="L548" s="62">
        <v>223.0</v>
      </c>
      <c r="M548" s="68">
        <f t="shared" si="4"/>
        <v>0.09437698682</v>
      </c>
      <c r="N548" s="68">
        <f t="shared" si="5"/>
        <v>0.1621241336</v>
      </c>
      <c r="O548" s="68">
        <v>0.223617697639</v>
      </c>
      <c r="P548" s="23">
        <v>46273</v>
      </c>
      <c r="Q548" s="68">
        <v>0.0591960711257</v>
      </c>
      <c r="R548" s="68">
        <v>0.1623</v>
      </c>
      <c r="S548" s="23">
        <v>46203</v>
      </c>
      <c r="T548" s="23">
        <v>46135</v>
      </c>
      <c r="U548" s="39">
        <v>191.89</v>
      </c>
      <c r="V548" s="39">
        <v>183.301066667</v>
      </c>
      <c r="W548" t="inlineStr">
        <is>
          <t>Above 75 DMA</t>
        </is>
      </c>
    </row>
    <row r="549">
      <c r="A549" s="23">
        <v>46135.0</v>
      </c>
      <c r="B549" s="25" t="str">
        <f t="shared" si="6"/>
        <v>Thursday</v>
      </c>
      <c r="C549" s="243" t="s">
        <v>156</v>
      </c>
      <c r="D549" s="31">
        <f>IFERROR(__xludf.DUMMYFUNCTION("GOOGLEFINANCE(""NSE:""&amp;UPPER(TRIM(E549)),""marketcap"")/10000000"),5297.5263855)</f>
        <v>5297.526386</v>
      </c>
      <c r="E549" s="244" t="s">
        <v>419</v>
      </c>
      <c r="F549" s="39">
        <f>IFERROR(__xludf.DUMMYFUNCTION("IF(OR(E549="""",A549=""""),"""",
 IF(
   DATE(VALUE(RIGHT(A549,4)),VALUE(MID(A549,4,2)),VALUE(LEFT(A549,2)))&gt;=TODAY(),
   IFERROR(
     GOOGLEFINANCE(""NSE:""&amp;UPPER(TRIM(E549)),""price""),
     ""Not Available""
   ),
   IFERROR(
     INDEX(
       GOOGLE"&amp;"FINANCE(
         ""NSE:""&amp;UPPER(TRIM(E549)),
         ""close"",
         DATE(VALUE(RIGHT(A549,4)),VALUE(MID(A549,4,2)),VALUE(LEFT(A549,2))),
         DATE(VALUE(RIGHT(A549,4)),VALUE(MID(A549,4,2)),VALUE(LEFT(A549,2)))+1
       ),
       2,2
     ),
   "&amp;"  ""Not Available""
   )
 ))"),419.9)</f>
        <v>419.9</v>
      </c>
      <c r="G549" s="42">
        <f>IFERROR(__xludf.DUMMYFUNCTION("IF(E549="""","""",IFERROR(GOOGLEFINANCE(""NSE:""&amp;UPPER(TRIM(E549)),""price""),""Not Available""))"),240.4)</f>
        <v>240.4</v>
      </c>
      <c r="H549" s="53">
        <f t="shared" si="1"/>
        <v>154</v>
      </c>
      <c r="I549" s="58">
        <f t="shared" si="2"/>
        <v>-0.427482734</v>
      </c>
      <c r="J549" s="60">
        <f t="shared" si="3"/>
        <v>-42748.2734</v>
      </c>
      <c r="K549" s="62">
        <v>465.0</v>
      </c>
      <c r="L549" s="62">
        <v>225.0</v>
      </c>
      <c r="M549" s="68">
        <f t="shared" si="4"/>
        <v>0.1074065254</v>
      </c>
      <c r="N549" s="68">
        <f t="shared" si="5"/>
        <v>-0.4641581329</v>
      </c>
      <c r="O549" s="68">
        <v>0.130150035723</v>
      </c>
      <c r="P549" s="23">
        <v>46206</v>
      </c>
      <c r="R549" s="68">
        <v>0.6058</v>
      </c>
      <c r="S549" s="23">
        <v>46203</v>
      </c>
      <c r="T549" s="23">
        <v>46135</v>
      </c>
      <c r="U549" s="39">
        <v>363.65</v>
      </c>
      <c r="V549" s="39">
        <v>323.540666667</v>
      </c>
      <c r="W549" t="inlineStr">
        <is>
          <t>Above 75 DMA</t>
        </is>
      </c>
    </row>
    <row r="550">
      <c r="A550" s="23">
        <v>46135.0</v>
      </c>
      <c r="B550" s="25" t="str">
        <f t="shared" si="6"/>
        <v>Thursday</v>
      </c>
      <c r="C550" s="243" t="s">
        <v>156</v>
      </c>
      <c r="D550" s="31">
        <f>IFERROR(__xludf.DUMMYFUNCTION("GOOGLEFINANCE(""NSE:""&amp;UPPER(TRIM(E550)),""marketcap"")/10000000"),17334.3827799)</f>
        <v>17334.38278</v>
      </c>
      <c r="E550" s="244" t="s">
        <v>433</v>
      </c>
      <c r="F550" s="39">
        <f>IFERROR(__xludf.DUMMYFUNCTION("IF(OR(E550="""",A550=""""),"""",
 IF(
   DATE(VALUE(RIGHT(A550,4)),VALUE(MID(A550,4,2)),VALUE(LEFT(A550,2)))&gt;=TODAY(),
   IFERROR(
     GOOGLEFINANCE(""NSE:""&amp;UPPER(TRIM(E550)),""price""),
     ""Not Available""
   ),
   IFERROR(
     INDEX(
       GOOGLE"&amp;"FINANCE(
         ""NSE:""&amp;UPPER(TRIM(E550)),
         ""close"",
         DATE(VALUE(RIGHT(A550,4)),VALUE(MID(A550,4,2)),VALUE(LEFT(A550,2))),
         DATE(VALUE(RIGHT(A550,4)),VALUE(MID(A550,4,2)),VALUE(LEFT(A550,2)))+1
       ),
       2,2
     ),
   "&amp;"  ""Not Available""
   )
 ))"),2111.0)</f>
        <v>2111</v>
      </c>
      <c r="G550" s="42">
        <f>IFERROR(__xludf.DUMMYFUNCTION("IF(E550="""","""",IFERROR(GOOGLEFINANCE(""NSE:""&amp;UPPER(TRIM(E550)),""price""),""Not Available""))"),2684.1)</f>
        <v>2684.1</v>
      </c>
      <c r="H550" s="53">
        <f t="shared" si="1"/>
        <v>154</v>
      </c>
      <c r="I550" s="58">
        <f t="shared" si="2"/>
        <v>0.2714827096</v>
      </c>
      <c r="J550" s="60">
        <f t="shared" si="3"/>
        <v>27148.27096</v>
      </c>
      <c r="K550" s="62">
        <v>2136.0</v>
      </c>
      <c r="L550" s="62">
        <v>1619.0</v>
      </c>
      <c r="M550" s="68">
        <f t="shared" si="4"/>
        <v>0.01184272856</v>
      </c>
      <c r="N550" s="68">
        <f t="shared" si="5"/>
        <v>-0.2330648982</v>
      </c>
      <c r="O550" s="68">
        <v>0.414779725249</v>
      </c>
      <c r="P550" s="23">
        <v>46251</v>
      </c>
      <c r="R550" s="68">
        <v>0.5584</v>
      </c>
      <c r="S550" s="23">
        <v>46203</v>
      </c>
      <c r="T550" s="23">
        <v>46135</v>
      </c>
      <c r="U550" s="39">
        <v>2111</v>
      </c>
      <c r="V550" s="39">
        <v>1602.804</v>
      </c>
      <c r="W550" t="inlineStr">
        <is>
          <t>Above 75 DMA</t>
        </is>
      </c>
    </row>
    <row r="551">
      <c r="A551" s="23">
        <v>46135.0</v>
      </c>
      <c r="B551" s="25" t="str">
        <f t="shared" si="6"/>
        <v>Thursday</v>
      </c>
      <c r="C551" s="243" t="s">
        <v>156</v>
      </c>
      <c r="D551" s="31">
        <f>IFERROR(__xludf.DUMMYFUNCTION("GOOGLEFINANCE(""NSE:""&amp;UPPER(TRIM(E551)),""marketcap"")/10000000"),117357.2979)</f>
        <v>117357.2979</v>
      </c>
      <c r="E551" s="244" t="s">
        <v>434</v>
      </c>
      <c r="F551" s="39">
        <f>IFERROR(__xludf.DUMMYFUNCTION("IF(OR(E551="""",A551=""""),"""",
 IF(
   DATE(VALUE(RIGHT(A551,4)),VALUE(MID(A551,4,2)),VALUE(LEFT(A551,2)))&gt;=TODAY(),
   IFERROR(
     GOOGLEFINANCE(""NSE:""&amp;UPPER(TRIM(E551)),""price""),
     ""Not Available""
   ),
   IFERROR(
     INDEX(
       GOOGLE"&amp;"FINANCE(
         ""NSE:""&amp;UPPER(TRIM(E551)),
         ""close"",
         DATE(VALUE(RIGHT(A551,4)),VALUE(MID(A551,4,2)),VALUE(LEFT(A551,2))),
         DATE(VALUE(RIGHT(A551,4)),VALUE(MID(A551,4,2)),VALUE(LEFT(A551,2)))+1
       ),
       2,2
     ),
   "&amp;"  ""Not Available""
   )
 ))"),1254.5)</f>
        <v>1254.5</v>
      </c>
      <c r="G551" s="42">
        <f>IFERROR(__xludf.DUMMYFUNCTION("IF(E551="""","""",IFERROR(GOOGLEFINANCE(""NSE:""&amp;UPPER(TRIM(E551)),""price""),""Not Available""))"),1153.0)</f>
        <v>1153</v>
      </c>
      <c r="H551" s="53">
        <f t="shared" si="1"/>
        <v>154</v>
      </c>
      <c r="I551" s="58">
        <f t="shared" si="2"/>
        <v>-0.08090872858</v>
      </c>
      <c r="J551" s="60">
        <f t="shared" si="3"/>
        <v>-8090.872858</v>
      </c>
      <c r="K551" s="62">
        <v>1130.0</v>
      </c>
      <c r="L551" s="62">
        <v>1358.0</v>
      </c>
      <c r="M551" s="68">
        <f t="shared" si="4"/>
        <v>-0.09924272619</v>
      </c>
      <c r="N551" s="68">
        <f t="shared" si="5"/>
        <v>0.08250298924</v>
      </c>
      <c r="O551" s="68">
        <v>0.0311677959346</v>
      </c>
      <c r="P551" s="23">
        <v>46139</v>
      </c>
      <c r="R551" s="68">
        <v>0.6269</v>
      </c>
      <c r="S551" s="23">
        <v>46203</v>
      </c>
      <c r="T551" s="23">
        <v>46135</v>
      </c>
      <c r="U551" s="39">
        <v>1254.5</v>
      </c>
      <c r="V551" s="39">
        <v>1157.11866667</v>
      </c>
      <c r="W551" t="inlineStr">
        <is>
          <t>Above 75 DMA</t>
        </is>
      </c>
    </row>
    <row r="552">
      <c r="A552" s="23">
        <v>46135.0</v>
      </c>
      <c r="B552" s="25" t="str">
        <f t="shared" si="6"/>
        <v>Thursday</v>
      </c>
      <c r="C552" s="243" t="s">
        <v>156</v>
      </c>
      <c r="D552" s="31">
        <f>IFERROR(__xludf.DUMMYFUNCTION("GOOGLEFINANCE(""NSE:""&amp;UPPER(TRIM(E552)),""marketcap"")/10000000"),19726.0610466)</f>
        <v>19726.06105</v>
      </c>
      <c r="E552" s="244" t="s">
        <v>436</v>
      </c>
      <c r="F552" s="39">
        <f>IFERROR(__xludf.DUMMYFUNCTION("IF(OR(E552="""",A552=""""),"""",
 IF(
   DATE(VALUE(RIGHT(A552,4)),VALUE(MID(A552,4,2)),VALUE(LEFT(A552,2)))&gt;=TODAY(),
   IFERROR(
     GOOGLEFINANCE(""NSE:""&amp;UPPER(TRIM(E552)),""price""),
     ""Not Available""
   ),
   IFERROR(
     INDEX(
       GOOGLE"&amp;"FINANCE(
         ""NSE:""&amp;UPPER(TRIM(E552)),
         ""close"",
         DATE(VALUE(RIGHT(A552,4)),VALUE(MID(A552,4,2)),VALUE(LEFT(A552,2))),
         DATE(VALUE(RIGHT(A552,4)),VALUE(MID(A552,4,2)),VALUE(LEFT(A552,2)))+1
       ),
       2,2
     ),
   "&amp;"  ""Not Available""
   )
 ))"),1349.5)</f>
        <v>1349.5</v>
      </c>
      <c r="G552" s="42">
        <f>IFERROR(__xludf.DUMMYFUNCTION("IF(E552="""","""",IFERROR(GOOGLEFINANCE(""NSE:""&amp;UPPER(TRIM(E552)),""price""),""Not Available""))"),2089.6)</f>
        <v>2089.6</v>
      </c>
      <c r="H552" s="53">
        <f t="shared" si="1"/>
        <v>154</v>
      </c>
      <c r="I552" s="58">
        <f t="shared" si="2"/>
        <v>0.5484253427</v>
      </c>
      <c r="J552" s="60">
        <f t="shared" si="3"/>
        <v>54842.53427</v>
      </c>
      <c r="K552" s="62">
        <v>1125.0</v>
      </c>
      <c r="L552" s="62">
        <v>1698.0</v>
      </c>
      <c r="M552" s="68">
        <f t="shared" si="4"/>
        <v>-0.1663579103</v>
      </c>
      <c r="N552" s="68">
        <f t="shared" si="5"/>
        <v>0.258243794</v>
      </c>
      <c r="O552" s="68">
        <v>0.830307521304</v>
      </c>
      <c r="P552" s="23">
        <v>46266</v>
      </c>
      <c r="R552" s="68">
        <v>0.7846</v>
      </c>
      <c r="S552" s="23">
        <v>46203</v>
      </c>
      <c r="T552" s="23">
        <v>46135</v>
      </c>
      <c r="U552" s="39">
        <v>1349.5</v>
      </c>
      <c r="V552" s="39">
        <v>1206.28</v>
      </c>
      <c r="W552" t="inlineStr">
        <is>
          <t>Above 75 DMA</t>
        </is>
      </c>
    </row>
    <row r="553">
      <c r="A553" s="23">
        <v>46135.0</v>
      </c>
      <c r="B553" s="25" t="str">
        <f t="shared" si="6"/>
        <v>Thursday</v>
      </c>
      <c r="C553" s="243" t="s">
        <v>156</v>
      </c>
      <c r="D553" s="31">
        <f>IFERROR(__xludf.DUMMYFUNCTION("GOOGLEFINANCE(""NSE:""&amp;UPPER(TRIM(E553)),""marketcap"")/10000000"),261961.4569)</f>
        <v>261961.4569</v>
      </c>
      <c r="E553" s="244" t="s">
        <v>439</v>
      </c>
      <c r="F553" s="39">
        <f>IFERROR(__xludf.DUMMYFUNCTION("IF(OR(E553="""",A553=""""),"""",
 IF(
   DATE(VALUE(RIGHT(A553,4)),VALUE(MID(A553,4,2)),VALUE(LEFT(A553,2)))&gt;=TODAY(),
   IFERROR(
     GOOGLEFINANCE(""NSE:""&amp;UPPER(TRIM(E553)),""price""),
     ""Not Available""
   ),
   IFERROR(
     INDEX(
       GOOGLE"&amp;"FINANCE(
         ""NSE:""&amp;UPPER(TRIM(E553)),
         ""close"",
         DATE(VALUE(RIGHT(A553,4)),VALUE(MID(A553,4,2)),VALUE(LEFT(A553,2))),
         DATE(VALUE(RIGHT(A553,4)),VALUE(MID(A553,4,2)),VALUE(LEFT(A553,2)))+1
       ),
       2,2
     ),
   "&amp;"  ""Not Available""
   )
 ))"),1410.5)</f>
        <v>1410.5</v>
      </c>
      <c r="G553" s="42">
        <f>IFERROR(__xludf.DUMMYFUNCTION("IF(E553="""","""",IFERROR(GOOGLEFINANCE(""NSE:""&amp;UPPER(TRIM(E553)),""price""),""Not Available""))"),1358.6)</f>
        <v>1358.6</v>
      </c>
      <c r="H553" s="53">
        <f t="shared" si="1"/>
        <v>154</v>
      </c>
      <c r="I553" s="58">
        <f t="shared" si="2"/>
        <v>-0.0367954626</v>
      </c>
      <c r="J553" s="60">
        <f t="shared" si="3"/>
        <v>-3679.54626</v>
      </c>
      <c r="K553" s="62">
        <v>1229.0</v>
      </c>
      <c r="L553" s="62">
        <v>1226.0</v>
      </c>
      <c r="M553" s="68">
        <f t="shared" si="4"/>
        <v>-0.1286777738</v>
      </c>
      <c r="N553" s="68">
        <f t="shared" si="5"/>
        <v>-0.1308046792</v>
      </c>
      <c r="O553" s="68">
        <v>0.101028004254</v>
      </c>
      <c r="P553" s="23">
        <v>46241</v>
      </c>
      <c r="R553" s="68">
        <v>0.6276</v>
      </c>
      <c r="S553" s="23">
        <v>46203</v>
      </c>
      <c r="T553" s="23">
        <v>46135</v>
      </c>
      <c r="U553" s="39">
        <v>1410.5</v>
      </c>
      <c r="V553" s="39">
        <v>1273.43066667</v>
      </c>
      <c r="W553" t="inlineStr">
        <is>
          <t>Above 75 DMA</t>
        </is>
      </c>
    </row>
    <row r="554">
      <c r="A554" s="23">
        <v>46135.0</v>
      </c>
      <c r="B554" s="25" t="str">
        <f t="shared" si="6"/>
        <v>Thursday</v>
      </c>
      <c r="C554" s="243" t="s">
        <v>156</v>
      </c>
      <c r="D554" s="31">
        <f>IFERROR(__xludf.DUMMYFUNCTION("GOOGLEFINANCE(""NSE:""&amp;UPPER(TRIM(E554)),""marketcap"")/10000000"),14131.2804422)</f>
        <v>14131.28044</v>
      </c>
      <c r="E554" s="244" t="s">
        <v>355</v>
      </c>
      <c r="F554" s="39">
        <f>IFERROR(__xludf.DUMMYFUNCTION("IF(OR(E554="""",A554=""""),"""",
 IF(
   DATE(VALUE(RIGHT(A554,4)),VALUE(MID(A554,4,2)),VALUE(LEFT(A554,2)))&gt;=TODAY(),
   IFERROR(
     GOOGLEFINANCE(""NSE:""&amp;UPPER(TRIM(E554)),""price""),
     ""Not Available""
   ),
   IFERROR(
     INDEX(
       GOOGLE"&amp;"FINANCE(
         ""NSE:""&amp;UPPER(TRIM(E554)),
         ""close"",
         DATE(VALUE(RIGHT(A554,4)),VALUE(MID(A554,4,2)),VALUE(LEFT(A554,2))),
         DATE(VALUE(RIGHT(A554,4)),VALUE(MID(A554,4,2)),VALUE(LEFT(A554,2)))+1
       ),
       2,2
     ),
   "&amp;"  ""Not Available""
   )
 ))"),78.05)</f>
        <v>78.05</v>
      </c>
      <c r="G554" s="7">
        <v>81.0</v>
      </c>
      <c r="H554" s="53">
        <f t="shared" si="1"/>
        <v>154</v>
      </c>
      <c r="I554" s="58">
        <f t="shared" si="2"/>
        <v>0.03779628443</v>
      </c>
      <c r="J554" s="60">
        <f t="shared" si="3"/>
        <v>3779.628443</v>
      </c>
      <c r="K554" s="62">
        <v>89.0</v>
      </c>
      <c r="L554" s="62">
        <v>63.0</v>
      </c>
      <c r="M554" s="68">
        <f t="shared" si="4"/>
        <v>0.1402946829</v>
      </c>
      <c r="N554" s="68">
        <f t="shared" si="5"/>
        <v>-0.1928251121</v>
      </c>
      <c r="O554" s="68">
        <v>0.171044202434</v>
      </c>
      <c r="P554" s="23">
        <v>46234</v>
      </c>
      <c r="R554" s="68">
        <v>0.553</v>
      </c>
      <c r="S554" s="23">
        <v>46203</v>
      </c>
      <c r="T554" s="23">
        <v>46135</v>
      </c>
      <c r="U554" s="39">
        <v>78.05</v>
      </c>
      <c r="V554" s="39">
        <v>75.3536</v>
      </c>
      <c r="W554" t="inlineStr">
        <is>
          <t>Above 75 DMA</t>
        </is>
      </c>
    </row>
    <row r="555">
      <c r="A555" s="23">
        <v>46134.0</v>
      </c>
      <c r="B555" s="25" t="str">
        <f t="shared" si="6"/>
        <v>Wednesday</v>
      </c>
      <c r="C555" s="243" t="s">
        <v>156</v>
      </c>
      <c r="D555" s="31">
        <f>IFERROR(__xludf.DUMMYFUNCTION("GOOGLEFINANCE(""NSE:""&amp;UPPER(TRIM(E555)),""marketcap"")/10000000"),6713.222425)</f>
        <v>6713.222425</v>
      </c>
      <c r="E555" s="7" t="s">
        <v>442</v>
      </c>
      <c r="F555" s="39">
        <f>IFERROR(__xludf.DUMMYFUNCTION("IF(OR(E555="""",A555=""""),"""",
 IF(
   DATE(VALUE(RIGHT(A555,4)),VALUE(MID(A555,4,2)),VALUE(LEFT(A555,2)))&gt;=TODAY(),
   IFERROR(
     GOOGLEFINANCE(""NSE:""&amp;UPPER(TRIM(E555)),""price""),
     ""Not Available""
   ),
   IFERROR(
     INDEX(
       GOOGLE"&amp;"FINANCE(
         ""NSE:""&amp;UPPER(TRIM(E555)),
         ""close"",
         DATE(VALUE(RIGHT(A555,4)),VALUE(MID(A555,4,2)),VALUE(LEFT(A555,2))),
         DATE(VALUE(RIGHT(A555,4)),VALUE(MID(A555,4,2)),VALUE(LEFT(A555,2)))+1
       ),
       2,2
     ),
   "&amp;"  ""Not Available""
   )
 ))"),235.49)</f>
        <v>235.49</v>
      </c>
      <c r="G555" s="42">
        <f>IFERROR(__xludf.DUMMYFUNCTION("IF(E555="""","""",IFERROR(GOOGLEFINANCE(""NSE:""&amp;UPPER(TRIM(E555)),""price""),""Not Available""))"),227.5)</f>
        <v>227.5</v>
      </c>
      <c r="H555" s="53">
        <f t="shared" si="1"/>
        <v>155</v>
      </c>
      <c r="I555" s="58">
        <f t="shared" si="2"/>
        <v>-0.0339292539</v>
      </c>
      <c r="J555" s="60">
        <f t="shared" si="3"/>
        <v>-3392.92539</v>
      </c>
      <c r="K555" s="62">
        <v>241.0</v>
      </c>
      <c r="L555" s="62">
        <v>269.0</v>
      </c>
      <c r="M555" s="68">
        <f t="shared" si="4"/>
        <v>0.02339802115</v>
      </c>
      <c r="N555" s="68">
        <f t="shared" si="5"/>
        <v>0.1422990361</v>
      </c>
      <c r="O555" s="68">
        <v>0.103231559727</v>
      </c>
      <c r="P555" s="23">
        <v>46260</v>
      </c>
      <c r="R555" s="68">
        <v>0.7424</v>
      </c>
      <c r="S555" s="23">
        <v>46203</v>
      </c>
      <c r="T555" s="23">
        <v>46134</v>
      </c>
      <c r="U555" s="39">
        <v>235.49</v>
      </c>
      <c r="V555" s="39">
        <v>174.614666667</v>
      </c>
      <c r="W555" t="inlineStr">
        <is>
          <t>Above 75 DMA</t>
        </is>
      </c>
    </row>
    <row r="556">
      <c r="A556" s="23">
        <v>46134.0</v>
      </c>
      <c r="B556" s="25" t="str">
        <f t="shared" si="6"/>
        <v>Wednesday</v>
      </c>
      <c r="C556" s="243" t="s">
        <v>156</v>
      </c>
      <c r="D556" s="31">
        <f>IFERROR(__xludf.DUMMYFUNCTION("GOOGLEFINANCE(""NSE:""&amp;UPPER(TRIM(E556)),""marketcap"")/10000000"),7015.2081226)</f>
        <v>7015.208123</v>
      </c>
      <c r="E556" s="7" t="s">
        <v>450</v>
      </c>
      <c r="F556" s="39">
        <f>IFERROR(__xludf.DUMMYFUNCTION("IF(OR(E556="""",A556=""""),"""",
 IF(
   DATE(VALUE(RIGHT(A556,4)),VALUE(MID(A556,4,2)),VALUE(LEFT(A556,2)))&gt;=TODAY(),
   IFERROR(
     GOOGLEFINANCE(""NSE:""&amp;UPPER(TRIM(E556)),""price""),
     ""Not Available""
   ),
   IFERROR(
     INDEX(
       GOOGLE"&amp;"FINANCE(
         ""NSE:""&amp;UPPER(TRIM(E556)),
         ""close"",
         DATE(VALUE(RIGHT(A556,4)),VALUE(MID(A556,4,2)),VALUE(LEFT(A556,2))),
         DATE(VALUE(RIGHT(A556,4)),VALUE(MID(A556,4,2)),VALUE(LEFT(A556,2)))+1
       ),
       2,2
     ),
   "&amp;"  ""Not Available""
   )
 ))"),1658.6)</f>
        <v>1658.6</v>
      </c>
      <c r="G556" s="42">
        <f>IFERROR(__xludf.DUMMYFUNCTION("IF(E556="""","""",IFERROR(GOOGLEFINANCE(""NSE:""&amp;UPPER(TRIM(E556)),""price""),""Not Available""))"),2335.1)</f>
        <v>2335.1</v>
      </c>
      <c r="H556" s="53">
        <f t="shared" si="1"/>
        <v>155</v>
      </c>
      <c r="I556" s="58">
        <f t="shared" si="2"/>
        <v>0.4078741107</v>
      </c>
      <c r="J556" s="60">
        <f t="shared" si="3"/>
        <v>40787.41107</v>
      </c>
      <c r="K556" s="62">
        <v>2175.0</v>
      </c>
      <c r="L556" s="62">
        <v>801.0</v>
      </c>
      <c r="M556" s="68">
        <f t="shared" si="4"/>
        <v>0.3113469191</v>
      </c>
      <c r="N556" s="68">
        <f t="shared" si="5"/>
        <v>-0.5170625829</v>
      </c>
      <c r="O556" s="68">
        <v>0.50711443386</v>
      </c>
      <c r="P556" s="23">
        <v>46286</v>
      </c>
      <c r="R556" s="68">
        <v>0.5301</v>
      </c>
      <c r="S556" s="23">
        <v>46203</v>
      </c>
      <c r="T556" s="23">
        <v>46134</v>
      </c>
      <c r="U556" s="39">
        <v>1658.6</v>
      </c>
      <c r="V556" s="39">
        <v>1302.35866667</v>
      </c>
      <c r="W556" t="inlineStr">
        <is>
          <t>Above 75 DMA</t>
        </is>
      </c>
    </row>
    <row r="557">
      <c r="A557" s="23">
        <v>46134.0</v>
      </c>
      <c r="B557" s="25" t="str">
        <f t="shared" si="6"/>
        <v>Wednesday</v>
      </c>
      <c r="C557" s="243" t="s">
        <v>156</v>
      </c>
      <c r="D557" s="31">
        <f>IFERROR(__xludf.DUMMYFUNCTION("GOOGLEFINANCE(""NSE:""&amp;UPPER(TRIM(E557)),""marketcap"")/10000000"),26305.3664121)</f>
        <v>26305.36641</v>
      </c>
      <c r="E557" s="7" t="s">
        <v>117</v>
      </c>
      <c r="F557" s="39">
        <f>IFERROR(__xludf.DUMMYFUNCTION("IF(OR(E557="""",A557=""""),"""",
 IF(
   DATE(VALUE(RIGHT(A557,4)),VALUE(MID(A557,4,2)),VALUE(LEFT(A557,2)))&gt;=TODAY(),
   IFERROR(
     GOOGLEFINANCE(""NSE:""&amp;UPPER(TRIM(E557)),""price""),
     ""Not Available""
   ),
   IFERROR(
     INDEX(
       GOOGLE"&amp;"FINANCE(
         ""NSE:""&amp;UPPER(TRIM(E557)),
         ""close"",
         DATE(VALUE(RIGHT(A557,4)),VALUE(MID(A557,4,2)),VALUE(LEFT(A557,2))),
         DATE(VALUE(RIGHT(A557,4)),VALUE(MID(A557,4,2)),VALUE(LEFT(A557,2)))+1
       ),
       2,2
     ),
   "&amp;"  ""Not Available""
   )
 ))"),4019.6)</f>
        <v>4019.6</v>
      </c>
      <c r="G557" s="42">
        <f>IFERROR(__xludf.DUMMYFUNCTION("IF(E557="""","""",IFERROR(GOOGLEFINANCE(""NSE:""&amp;UPPER(TRIM(E557)),""price""),""Not Available""))"),4666.0)</f>
        <v>4666</v>
      </c>
      <c r="H557" s="53">
        <f t="shared" si="1"/>
        <v>155</v>
      </c>
      <c r="I557" s="58">
        <f t="shared" si="2"/>
        <v>0.1608120211</v>
      </c>
      <c r="J557" s="60">
        <f t="shared" si="3"/>
        <v>16081.20211</v>
      </c>
      <c r="K557" s="62">
        <v>2732.0</v>
      </c>
      <c r="L557" s="62">
        <v>6339.0</v>
      </c>
      <c r="M557" s="68">
        <f t="shared" si="4"/>
        <v>-0.3203303811</v>
      </c>
      <c r="N557" s="68">
        <f t="shared" si="5"/>
        <v>0.5770225893</v>
      </c>
      <c r="O557" s="68">
        <v>0.446163797393</v>
      </c>
      <c r="P557" s="23">
        <v>46258</v>
      </c>
      <c r="R557" s="68">
        <v>0.6698</v>
      </c>
      <c r="S557" s="23">
        <v>46203</v>
      </c>
      <c r="T557" s="23">
        <v>46134</v>
      </c>
      <c r="U557" s="39">
        <v>4019.6</v>
      </c>
      <c r="V557" s="39">
        <v>3310.52666667</v>
      </c>
      <c r="W557" t="inlineStr">
        <is>
          <t>Above 75 DMA</t>
        </is>
      </c>
    </row>
    <row r="558">
      <c r="A558" s="23">
        <v>46134.0</v>
      </c>
      <c r="B558" s="25" t="str">
        <f t="shared" si="6"/>
        <v>Wednesday</v>
      </c>
      <c r="C558" s="243" t="s">
        <v>156</v>
      </c>
      <c r="D558" s="31">
        <f>IFERROR(__xludf.DUMMYFUNCTION("GOOGLEFINANCE(""NSE:""&amp;UPPER(TRIM(E558)),""marketcap"")/10000000"),50342.19382)</f>
        <v>50342.19382</v>
      </c>
      <c r="E558" s="7" t="s">
        <v>465</v>
      </c>
      <c r="F558" s="39">
        <f>IFERROR(__xludf.DUMMYFUNCTION("IF(OR(E558="""",A558=""""),"""",
 IF(
   DATE(VALUE(RIGHT(A558,4)),VALUE(MID(A558,4,2)),VALUE(LEFT(A558,2)))&gt;=TODAY(),
   IFERROR(
     GOOGLEFINANCE(""NSE:""&amp;UPPER(TRIM(E558)),""price""),
     ""Not Available""
   ),
   IFERROR(
     INDEX(
       GOOGLE"&amp;"FINANCE(
         ""NSE:""&amp;UPPER(TRIM(E558)),
         ""close"",
         DATE(VALUE(RIGHT(A558,4)),VALUE(MID(A558,4,2)),VALUE(LEFT(A558,2))),
         DATE(VALUE(RIGHT(A558,4)),VALUE(MID(A558,4,2)),VALUE(LEFT(A558,2)))+1
       ),
       2,2
     ),
   "&amp;"  ""Not Available""
   )
 ))"),932.2)</f>
        <v>932.2</v>
      </c>
      <c r="G558" s="42">
        <f>IFERROR(__xludf.DUMMYFUNCTION("IF(E558="""","""",IFERROR(GOOGLEFINANCE(""NSE:""&amp;UPPER(TRIM(E558)),""price""),""Not Available""))"),778.0)</f>
        <v>778</v>
      </c>
      <c r="H558" s="53">
        <f t="shared" si="1"/>
        <v>155</v>
      </c>
      <c r="I558" s="58">
        <f t="shared" si="2"/>
        <v>-0.165415147</v>
      </c>
      <c r="J558" s="60">
        <f t="shared" si="3"/>
        <v>-16541.5147</v>
      </c>
      <c r="K558" s="62">
        <v>749.0</v>
      </c>
      <c r="L558" s="62">
        <v>877.0</v>
      </c>
      <c r="M558" s="68">
        <f t="shared" si="4"/>
        <v>-0.196524351</v>
      </c>
      <c r="N558" s="68">
        <f t="shared" si="5"/>
        <v>-0.05921476078</v>
      </c>
      <c r="O558" s="68">
        <v>0.135593220339</v>
      </c>
      <c r="P558" s="23">
        <v>46189</v>
      </c>
      <c r="R558" s="68">
        <v>0.9</v>
      </c>
      <c r="S558" s="23">
        <v>46203</v>
      </c>
      <c r="T558" s="23">
        <v>46134</v>
      </c>
      <c r="U558" s="39">
        <v>932.2</v>
      </c>
      <c r="V558" s="39">
        <v>811.289333333</v>
      </c>
      <c r="W558" t="inlineStr">
        <is>
          <t>Above 75 DMA</t>
        </is>
      </c>
    </row>
    <row r="559">
      <c r="A559" s="23">
        <v>46134.0</v>
      </c>
      <c r="B559" s="25" t="str">
        <f t="shared" si="6"/>
        <v>Wednesday</v>
      </c>
      <c r="C559" s="243" t="s">
        <v>156</v>
      </c>
      <c r="D559" s="31">
        <f>IFERROR(__xludf.DUMMYFUNCTION("GOOGLEFINANCE(""NSE:""&amp;UPPER(TRIM(E559)),""marketcap"")/10000000"),5048.9380725)</f>
        <v>5048.938073</v>
      </c>
      <c r="E559" s="7" t="s">
        <v>468</v>
      </c>
      <c r="F559" s="39">
        <f>IFERROR(__xludf.DUMMYFUNCTION("IF(OR(E559="""",A559=""""),"""",
 IF(
   DATE(VALUE(RIGHT(A559,4)),VALUE(MID(A559,4,2)),VALUE(LEFT(A559,2)))&gt;=TODAY(),
   IFERROR(
     GOOGLEFINANCE(""NSE:""&amp;UPPER(TRIM(E559)),""price""),
     ""Not Available""
   ),
   IFERROR(
     INDEX(
       GOOGLE"&amp;"FINANCE(
         ""NSE:""&amp;UPPER(TRIM(E559)),
         ""close"",
         DATE(VALUE(RIGHT(A559,4)),VALUE(MID(A559,4,2)),VALUE(LEFT(A559,2))),
         DATE(VALUE(RIGHT(A559,4)),VALUE(MID(A559,4,2)),VALUE(LEFT(A559,2)))+1
       ),
       2,2
     ),
   "&amp;"  ""Not Available""
   )
 ))"),323.05)</f>
        <v>323.05</v>
      </c>
      <c r="G559" s="42">
        <f>IFERROR(__xludf.DUMMYFUNCTION("IF(E559="""","""",IFERROR(GOOGLEFINANCE(""NSE:""&amp;UPPER(TRIM(E559)),""price""),""Not Available""))"),278.25)</f>
        <v>278.25</v>
      </c>
      <c r="H559" s="53">
        <f t="shared" si="1"/>
        <v>155</v>
      </c>
      <c r="I559" s="58">
        <f t="shared" si="2"/>
        <v>-0.1386782232</v>
      </c>
      <c r="J559" s="60">
        <f t="shared" si="3"/>
        <v>-13867.82232</v>
      </c>
      <c r="K559" s="62">
        <v>326.0</v>
      </c>
      <c r="L559" s="62">
        <v>317.0</v>
      </c>
      <c r="M559" s="68">
        <f t="shared" si="4"/>
        <v>0.009131713357</v>
      </c>
      <c r="N559" s="68">
        <f t="shared" si="5"/>
        <v>-0.01872775112</v>
      </c>
      <c r="O559" s="68">
        <v>0.110818758706</v>
      </c>
      <c r="P559" s="23">
        <v>46146</v>
      </c>
      <c r="R559" s="68">
        <v>0.6665</v>
      </c>
      <c r="S559" s="23">
        <v>46203</v>
      </c>
      <c r="T559" s="23">
        <v>46134</v>
      </c>
      <c r="U559" s="39">
        <v>323.05</v>
      </c>
      <c r="V559" s="39">
        <v>314.572666667</v>
      </c>
      <c r="W559" t="inlineStr">
        <is>
          <t>Above 75 DMA</t>
        </is>
      </c>
    </row>
    <row r="560">
      <c r="A560" s="23">
        <v>46134.0</v>
      </c>
      <c r="B560" s="25" t="str">
        <f t="shared" si="6"/>
        <v>Wednesday</v>
      </c>
      <c r="C560" s="243" t="s">
        <v>156</v>
      </c>
      <c r="D560" s="31">
        <f>IFERROR(__xludf.DUMMYFUNCTION("GOOGLEFINANCE(""NSE:""&amp;UPPER(TRIM(E560)),""marketcap"")/10000000"),62640.2428547)</f>
        <v>62640.24285</v>
      </c>
      <c r="E560" s="7" t="s">
        <v>471</v>
      </c>
      <c r="F560" s="39">
        <f>IFERROR(__xludf.DUMMYFUNCTION("IF(OR(E560="""",A560=""""),"""",
 IF(
   DATE(VALUE(RIGHT(A560,4)),VALUE(MID(A560,4,2)),VALUE(LEFT(A560,2)))&gt;=TODAY(),
   IFERROR(
     GOOGLEFINANCE(""NSE:""&amp;UPPER(TRIM(E560)),""price""),
     ""Not Available""
   ),
   IFERROR(
     INDEX(
       GOOGLE"&amp;"FINANCE(
         ""NSE:""&amp;UPPER(TRIM(E560)),
         ""close"",
         DATE(VALUE(RIGHT(A560,4)),VALUE(MID(A560,4,2)),VALUE(LEFT(A560,2))),
         DATE(VALUE(RIGHT(A560,4)),VALUE(MID(A560,4,2)),VALUE(LEFT(A560,2)))+1
       ),
       2,2
     ),
   "&amp;"  ""Not Available""
   )
 ))"),1657.4)</f>
        <v>1657.4</v>
      </c>
      <c r="G560" s="42">
        <f>IFERROR(__xludf.DUMMYFUNCTION("IF(E560="""","""",IFERROR(GOOGLEFINANCE(""NSE:""&amp;UPPER(TRIM(E560)),""price""),""Not Available""))"),1243.1)</f>
        <v>1243.1</v>
      </c>
      <c r="H560" s="53">
        <f t="shared" si="1"/>
        <v>155</v>
      </c>
      <c r="I560" s="58">
        <f t="shared" si="2"/>
        <v>-0.2499698323</v>
      </c>
      <c r="J560" s="60">
        <f t="shared" si="3"/>
        <v>-24996.98323</v>
      </c>
      <c r="K560" s="62">
        <v>1669.0</v>
      </c>
      <c r="L560" s="62">
        <v>1146.0</v>
      </c>
      <c r="M560" s="68">
        <f t="shared" si="4"/>
        <v>0.006998913962</v>
      </c>
      <c r="N560" s="68">
        <f t="shared" si="5"/>
        <v>-0.308555569</v>
      </c>
      <c r="O560" s="68">
        <v>0.100579220466</v>
      </c>
      <c r="P560" s="23">
        <v>46139</v>
      </c>
      <c r="R560" s="68">
        <v>0.5109</v>
      </c>
      <c r="S560" s="23">
        <v>46203</v>
      </c>
      <c r="T560" s="23">
        <v>46134</v>
      </c>
      <c r="U560" s="39">
        <v>1657.4</v>
      </c>
      <c r="V560" s="39">
        <v>1428.72933333</v>
      </c>
      <c r="W560" t="inlineStr">
        <is>
          <t>Above 75 DMA</t>
        </is>
      </c>
    </row>
    <row r="561">
      <c r="A561" s="23">
        <v>46134.0</v>
      </c>
      <c r="B561" s="25" t="str">
        <f t="shared" si="6"/>
        <v>Wednesday</v>
      </c>
      <c r="C561" s="243" t="s">
        <v>156</v>
      </c>
      <c r="D561" s="31">
        <f>IFERROR(__xludf.DUMMYFUNCTION("GOOGLEFINANCE(""NSE:""&amp;UPPER(TRIM(E561)),""marketcap"")/10000000"),23280.3923639)</f>
        <v>23280.39236</v>
      </c>
      <c r="E561" s="7" t="s">
        <v>473</v>
      </c>
      <c r="F561" s="39">
        <f>IFERROR(__xludf.DUMMYFUNCTION("IF(OR(E561="""",A561=""""),"""",
 IF(
   DATE(VALUE(RIGHT(A561,4)),VALUE(MID(A561,4,2)),VALUE(LEFT(A561,2)))&gt;=TODAY(),
   IFERROR(
     GOOGLEFINANCE(""NSE:""&amp;UPPER(TRIM(E561)),""price""),
     ""Not Available""
   ),
   IFERROR(
     INDEX(
       GOOGLE"&amp;"FINANCE(
         ""NSE:""&amp;UPPER(TRIM(E561)),
         ""close"",
         DATE(VALUE(RIGHT(A561,4)),VALUE(MID(A561,4,2)),VALUE(LEFT(A561,2))),
         DATE(VALUE(RIGHT(A561,4)),VALUE(MID(A561,4,2)),VALUE(LEFT(A561,2)))+1
       ),
       2,2
     ),
   "&amp;"  ""Not Available""
   )
 ))"),672.75)</f>
        <v>672.75</v>
      </c>
      <c r="G561" s="42">
        <f>IFERROR(__xludf.DUMMYFUNCTION("IF(E561="""","""",IFERROR(GOOGLEFINANCE(""NSE:""&amp;UPPER(TRIM(E561)),""price""),""Not Available""))"),853.45)</f>
        <v>853.45</v>
      </c>
      <c r="H561" s="53">
        <f t="shared" si="1"/>
        <v>155</v>
      </c>
      <c r="I561" s="58">
        <f t="shared" si="2"/>
        <v>0.2685990338</v>
      </c>
      <c r="J561" s="60">
        <f t="shared" si="3"/>
        <v>26859.90338</v>
      </c>
      <c r="K561" s="62">
        <v>690.0</v>
      </c>
      <c r="L561" s="62">
        <v>791.0</v>
      </c>
      <c r="M561" s="68">
        <f t="shared" si="4"/>
        <v>0.02564102564</v>
      </c>
      <c r="N561" s="68">
        <f t="shared" si="5"/>
        <v>0.1757710888</v>
      </c>
      <c r="O561" s="68">
        <v>0.372946859903</v>
      </c>
      <c r="P561" s="23">
        <v>46280</v>
      </c>
      <c r="R561" s="68">
        <v>0.3802</v>
      </c>
      <c r="S561" s="23">
        <v>46203</v>
      </c>
      <c r="T561" s="23">
        <v>46134</v>
      </c>
      <c r="U561" s="39">
        <v>672.75</v>
      </c>
      <c r="V561" s="39">
        <v>594.73</v>
      </c>
      <c r="W561" t="inlineStr">
        <is>
          <t>Above 75 DMA</t>
        </is>
      </c>
    </row>
    <row r="562">
      <c r="A562" s="248"/>
      <c r="B562" s="249"/>
      <c r="C562" s="249"/>
      <c r="D562" s="250"/>
      <c r="E562" s="249"/>
      <c r="F562" s="249"/>
      <c r="G562" s="251"/>
      <c r="H562" s="249"/>
      <c r="I562" s="252"/>
      <c r="J562" s="253"/>
      <c r="K562" s="42"/>
      <c r="L562" s="42"/>
      <c r="M562" s="68"/>
      <c r="N562" s="68"/>
    </row>
    <row r="563">
      <c r="A563" s="248"/>
      <c r="B563" s="249"/>
      <c r="C563" s="249"/>
      <c r="D563" s="250"/>
      <c r="E563" s="249"/>
      <c r="F563" s="249"/>
      <c r="G563" s="251"/>
      <c r="H563" s="249"/>
      <c r="I563" s="252"/>
      <c r="J563" s="253"/>
      <c r="K563" s="42"/>
      <c r="L563" s="42"/>
      <c r="M563" s="68"/>
      <c r="N563" s="68"/>
    </row>
    <row r="564">
      <c r="A564" s="248"/>
      <c r="B564" s="249"/>
      <c r="C564" s="249"/>
      <c r="D564" s="250"/>
      <c r="E564" s="249"/>
      <c r="F564" s="249"/>
      <c r="G564" s="251"/>
      <c r="H564" s="249"/>
      <c r="I564" s="252"/>
      <c r="J564" s="253"/>
      <c r="K564" s="42"/>
      <c r="L564" s="42"/>
      <c r="M564" s="68"/>
      <c r="N564" s="68"/>
    </row>
    <row r="565">
      <c r="A565" s="248"/>
      <c r="B565" s="249"/>
      <c r="C565" s="249"/>
      <c r="D565" s="250"/>
      <c r="E565" s="249"/>
      <c r="F565" s="249"/>
      <c r="G565" s="251"/>
      <c r="H565" s="249"/>
      <c r="I565" s="252"/>
      <c r="J565" s="253"/>
      <c r="K565" s="42"/>
      <c r="L565" s="42"/>
      <c r="M565" s="68"/>
      <c r="N565" s="68"/>
    </row>
    <row r="566">
      <c r="A566" s="248"/>
      <c r="B566" s="249"/>
      <c r="C566" s="249"/>
      <c r="D566" s="250"/>
      <c r="E566" s="249"/>
      <c r="F566" s="249"/>
      <c r="G566" s="251"/>
      <c r="H566" s="249"/>
      <c r="I566" s="252"/>
      <c r="J566" s="253"/>
      <c r="K566" s="42"/>
      <c r="L566" s="42"/>
      <c r="M566" s="68"/>
      <c r="N566" s="68"/>
    </row>
    <row r="567">
      <c r="A567" s="248"/>
      <c r="B567" s="249"/>
      <c r="C567" s="249"/>
      <c r="D567" s="250"/>
      <c r="E567" s="249"/>
      <c r="F567" s="249"/>
      <c r="G567" s="251"/>
      <c r="H567" s="249"/>
      <c r="I567" s="252"/>
      <c r="J567" s="253"/>
      <c r="K567" s="42"/>
      <c r="L567" s="42"/>
      <c r="M567" s="68"/>
      <c r="N567" s="68"/>
    </row>
    <row r="568">
      <c r="A568" s="248"/>
      <c r="B568" s="249"/>
      <c r="C568" s="249"/>
      <c r="D568" s="250"/>
      <c r="E568" s="249"/>
      <c r="F568" s="249"/>
      <c r="G568" s="251"/>
      <c r="H568" s="249"/>
      <c r="I568" s="252"/>
      <c r="J568" s="253"/>
      <c r="K568" s="42"/>
      <c r="L568" s="42"/>
      <c r="M568" s="68"/>
      <c r="N568" s="68"/>
    </row>
    <row r="569">
      <c r="A569" s="248"/>
      <c r="B569" s="249"/>
      <c r="C569" s="249"/>
      <c r="D569" s="250"/>
      <c r="E569" s="249"/>
      <c r="F569" s="249"/>
      <c r="G569" s="251"/>
      <c r="H569" s="249"/>
      <c r="I569" s="252"/>
      <c r="J569" s="253"/>
      <c r="K569" s="42"/>
      <c r="L569" s="42"/>
      <c r="M569" s="68"/>
      <c r="N569" s="68"/>
    </row>
    <row r="570">
      <c r="A570" s="248"/>
      <c r="B570" s="249"/>
      <c r="C570" s="249"/>
      <c r="D570" s="250"/>
      <c r="E570" s="249"/>
      <c r="F570" s="249"/>
      <c r="G570" s="251"/>
      <c r="H570" s="249"/>
      <c r="I570" s="252"/>
      <c r="J570" s="253"/>
      <c r="K570" s="42"/>
      <c r="L570" s="42"/>
      <c r="M570" s="68"/>
      <c r="N570" s="68"/>
    </row>
    <row r="571">
      <c r="A571" s="248"/>
      <c r="B571" s="249"/>
      <c r="C571" s="249"/>
      <c r="D571" s="250"/>
      <c r="E571" s="249"/>
      <c r="F571" s="249"/>
      <c r="G571" s="251"/>
      <c r="H571" s="249"/>
      <c r="I571" s="252"/>
      <c r="J571" s="253"/>
      <c r="K571" s="42"/>
      <c r="L571" s="42"/>
      <c r="M571" s="68"/>
      <c r="N571" s="68"/>
    </row>
    <row r="572">
      <c r="A572" s="248"/>
      <c r="B572" s="249"/>
      <c r="C572" s="249"/>
      <c r="D572" s="250"/>
      <c r="E572" s="249"/>
      <c r="F572" s="249"/>
      <c r="G572" s="251"/>
      <c r="H572" s="249"/>
      <c r="I572" s="252"/>
      <c r="J572" s="253"/>
      <c r="K572" s="42"/>
      <c r="L572" s="42"/>
      <c r="M572" s="68"/>
      <c r="N572" s="68"/>
    </row>
    <row r="573">
      <c r="A573" s="248"/>
      <c r="B573" s="249"/>
      <c r="C573" s="249"/>
      <c r="D573" s="250"/>
      <c r="E573" s="249"/>
      <c r="F573" s="249"/>
      <c r="G573" s="251"/>
      <c r="H573" s="249"/>
      <c r="I573" s="252"/>
      <c r="J573" s="253"/>
      <c r="K573" s="42"/>
      <c r="L573" s="42"/>
      <c r="M573" s="68"/>
      <c r="N573" s="68"/>
    </row>
    <row r="574">
      <c r="A574" s="248"/>
      <c r="B574" s="249"/>
      <c r="C574" s="249"/>
      <c r="D574" s="250"/>
      <c r="E574" s="249"/>
      <c r="F574" s="249"/>
      <c r="G574" s="251"/>
      <c r="H574" s="249"/>
      <c r="I574" s="252"/>
      <c r="J574" s="253"/>
      <c r="K574" s="42"/>
      <c r="L574" s="42"/>
      <c r="M574" s="68"/>
      <c r="N574" s="68"/>
    </row>
    <row r="575">
      <c r="A575" s="248"/>
      <c r="B575" s="249"/>
      <c r="C575" s="249"/>
      <c r="D575" s="250"/>
      <c r="E575" s="249"/>
      <c r="F575" s="249"/>
      <c r="G575" s="251"/>
      <c r="H575" s="249"/>
      <c r="I575" s="252"/>
      <c r="J575" s="253"/>
      <c r="K575" s="42"/>
      <c r="L575" s="42"/>
      <c r="M575" s="68"/>
      <c r="N575" s="68"/>
    </row>
    <row r="576">
      <c r="A576" s="248"/>
      <c r="B576" s="249"/>
      <c r="C576" s="249"/>
      <c r="D576" s="250"/>
      <c r="E576" s="249"/>
      <c r="F576" s="249"/>
      <c r="G576" s="251"/>
      <c r="H576" s="249"/>
      <c r="I576" s="252"/>
      <c r="J576" s="253"/>
      <c r="K576" s="42"/>
      <c r="L576" s="42"/>
      <c r="M576" s="68"/>
      <c r="N576" s="68"/>
    </row>
    <row r="577">
      <c r="A577" s="248"/>
      <c r="B577" s="249"/>
      <c r="C577" s="249"/>
      <c r="D577" s="250"/>
      <c r="E577" s="249"/>
      <c r="F577" s="249"/>
      <c r="G577" s="251"/>
      <c r="H577" s="249"/>
      <c r="I577" s="252"/>
      <c r="J577" s="253"/>
      <c r="K577" s="42"/>
      <c r="L577" s="42"/>
      <c r="M577" s="68"/>
      <c r="N577" s="68"/>
    </row>
    <row r="578">
      <c r="A578" s="248"/>
      <c r="B578" s="249"/>
      <c r="C578" s="249"/>
      <c r="D578" s="250"/>
      <c r="E578" s="249"/>
      <c r="F578" s="249"/>
      <c r="G578" s="251"/>
      <c r="H578" s="249"/>
      <c r="I578" s="252"/>
      <c r="J578" s="253"/>
      <c r="K578" s="42"/>
      <c r="L578" s="42"/>
      <c r="M578" s="68"/>
      <c r="N578" s="68"/>
    </row>
    <row r="579">
      <c r="A579" s="248"/>
      <c r="B579" s="249"/>
      <c r="C579" s="249"/>
      <c r="D579" s="250"/>
      <c r="E579" s="249"/>
      <c r="F579" s="249"/>
      <c r="G579" s="251"/>
      <c r="H579" s="249"/>
      <c r="I579" s="252"/>
      <c r="J579" s="253"/>
      <c r="K579" s="42"/>
      <c r="L579" s="42"/>
      <c r="M579" s="68"/>
      <c r="N579" s="68"/>
    </row>
    <row r="580">
      <c r="A580" s="248"/>
      <c r="B580" s="249"/>
      <c r="C580" s="249"/>
      <c r="D580" s="250"/>
      <c r="E580" s="249"/>
      <c r="F580" s="249"/>
      <c r="G580" s="251"/>
      <c r="H580" s="249"/>
      <c r="I580" s="252"/>
      <c r="J580" s="253"/>
      <c r="K580" s="42"/>
      <c r="L580" s="42"/>
      <c r="M580" s="68"/>
      <c r="N580" s="68"/>
    </row>
    <row r="581">
      <c r="A581" s="248"/>
      <c r="B581" s="249"/>
      <c r="C581" s="249"/>
      <c r="D581" s="250"/>
      <c r="E581" s="249"/>
      <c r="F581" s="249"/>
      <c r="G581" s="251"/>
      <c r="H581" s="249"/>
      <c r="I581" s="252"/>
      <c r="J581" s="253"/>
      <c r="K581" s="42"/>
      <c r="L581" s="42"/>
      <c r="M581" s="68"/>
      <c r="N581" s="68"/>
    </row>
    <row r="582">
      <c r="A582" s="248"/>
      <c r="B582" s="249"/>
      <c r="C582" s="249"/>
      <c r="D582" s="250"/>
      <c r="E582" s="249"/>
      <c r="F582" s="249"/>
      <c r="G582" s="251"/>
      <c r="H582" s="249"/>
      <c r="I582" s="252"/>
      <c r="J582" s="253"/>
      <c r="K582" s="42"/>
      <c r="L582" s="42"/>
      <c r="M582" s="68"/>
      <c r="N582" s="68"/>
    </row>
    <row r="583">
      <c r="A583" s="248"/>
      <c r="B583" s="249"/>
      <c r="C583" s="249"/>
      <c r="D583" s="250"/>
      <c r="E583" s="249"/>
      <c r="F583" s="249"/>
      <c r="G583" s="251"/>
      <c r="H583" s="249"/>
      <c r="I583" s="252"/>
      <c r="J583" s="253"/>
      <c r="K583" s="42"/>
      <c r="L583" s="42"/>
      <c r="M583" s="68"/>
      <c r="N583" s="68"/>
    </row>
    <row r="584">
      <c r="A584" s="248"/>
      <c r="B584" s="249"/>
      <c r="C584" s="249"/>
      <c r="D584" s="250"/>
      <c r="E584" s="249"/>
      <c r="F584" s="249"/>
      <c r="G584" s="251"/>
      <c r="H584" s="249"/>
      <c r="I584" s="252"/>
      <c r="J584" s="253"/>
      <c r="K584" s="42"/>
      <c r="L584" s="42"/>
      <c r="M584" s="68"/>
      <c r="N584" s="68"/>
    </row>
    <row r="585">
      <c r="A585" s="248"/>
      <c r="B585" s="249"/>
      <c r="C585" s="249"/>
      <c r="D585" s="250"/>
      <c r="E585" s="249"/>
      <c r="F585" s="249"/>
      <c r="G585" s="251"/>
      <c r="H585" s="249"/>
      <c r="I585" s="252"/>
      <c r="J585" s="253"/>
      <c r="K585" s="42"/>
      <c r="L585" s="42"/>
      <c r="M585" s="68"/>
      <c r="N585" s="68"/>
    </row>
    <row r="586">
      <c r="A586" s="248"/>
      <c r="B586" s="249"/>
      <c r="C586" s="249"/>
      <c r="D586" s="250"/>
      <c r="E586" s="249"/>
      <c r="F586" s="249"/>
      <c r="G586" s="251"/>
      <c r="H586" s="249"/>
      <c r="I586" s="252"/>
      <c r="J586" s="253"/>
      <c r="K586" s="42"/>
      <c r="L586" s="42"/>
      <c r="M586" s="68"/>
      <c r="N586" s="68"/>
    </row>
    <row r="587">
      <c r="A587" s="248"/>
      <c r="B587" s="249"/>
      <c r="C587" s="249"/>
      <c r="D587" s="250"/>
      <c r="E587" s="249"/>
      <c r="F587" s="249"/>
      <c r="G587" s="251"/>
      <c r="H587" s="249"/>
      <c r="I587" s="252"/>
      <c r="J587" s="253"/>
      <c r="K587" s="42"/>
      <c r="L587" s="42"/>
      <c r="M587" s="68"/>
      <c r="N587" s="68"/>
    </row>
    <row r="588">
      <c r="A588" s="248"/>
      <c r="B588" s="249"/>
      <c r="C588" s="249"/>
      <c r="D588" s="250"/>
      <c r="E588" s="249"/>
      <c r="F588" s="249"/>
      <c r="G588" s="251"/>
      <c r="H588" s="249"/>
      <c r="I588" s="252"/>
      <c r="J588" s="253"/>
      <c r="K588" s="42"/>
      <c r="L588" s="42"/>
      <c r="M588" s="68"/>
      <c r="N588" s="68"/>
    </row>
    <row r="589">
      <c r="A589" s="248"/>
      <c r="B589" s="249"/>
      <c r="C589" s="249"/>
      <c r="D589" s="250"/>
      <c r="E589" s="249"/>
      <c r="F589" s="249"/>
      <c r="G589" s="251"/>
      <c r="H589" s="249"/>
      <c r="I589" s="252"/>
      <c r="J589" s="253"/>
      <c r="K589" s="42"/>
      <c r="L589" s="42"/>
      <c r="M589" s="68"/>
      <c r="N589" s="68"/>
    </row>
    <row r="590">
      <c r="A590" s="248"/>
      <c r="B590" s="249"/>
      <c r="C590" s="249"/>
      <c r="D590" s="250"/>
      <c r="E590" s="249"/>
      <c r="F590" s="249"/>
      <c r="G590" s="251"/>
      <c r="H590" s="249"/>
      <c r="I590" s="252"/>
      <c r="J590" s="253"/>
      <c r="K590" s="42"/>
      <c r="L590" s="42"/>
      <c r="M590" s="68"/>
      <c r="N590" s="68"/>
    </row>
    <row r="591">
      <c r="A591" s="248"/>
      <c r="B591" s="249"/>
      <c r="C591" s="249"/>
      <c r="D591" s="250"/>
      <c r="E591" s="249"/>
      <c r="F591" s="249"/>
      <c r="G591" s="251"/>
      <c r="H591" s="249"/>
      <c r="I591" s="252"/>
      <c r="J591" s="253"/>
      <c r="K591" s="42"/>
      <c r="L591" s="42"/>
      <c r="M591" s="68"/>
      <c r="N591" s="68"/>
    </row>
    <row r="592">
      <c r="A592" s="248"/>
      <c r="B592" s="249"/>
      <c r="C592" s="249"/>
      <c r="D592" s="250"/>
      <c r="E592" s="249"/>
      <c r="F592" s="249"/>
      <c r="G592" s="251"/>
      <c r="H592" s="249"/>
      <c r="I592" s="252"/>
      <c r="J592" s="253"/>
      <c r="K592" s="42"/>
      <c r="L592" s="42"/>
      <c r="M592" s="68"/>
      <c r="N592" s="68"/>
    </row>
    <row r="593">
      <c r="A593" s="248"/>
      <c r="B593" s="249"/>
      <c r="C593" s="249"/>
      <c r="D593" s="250"/>
      <c r="E593" s="249"/>
      <c r="F593" s="249"/>
      <c r="G593" s="251"/>
      <c r="H593" s="249"/>
      <c r="I593" s="252"/>
      <c r="J593" s="253"/>
      <c r="K593" s="42"/>
      <c r="L593" s="42"/>
      <c r="M593" s="68"/>
      <c r="N593" s="68"/>
    </row>
    <row r="594">
      <c r="A594" s="248"/>
      <c r="B594" s="249"/>
      <c r="C594" s="249"/>
      <c r="D594" s="250"/>
      <c r="E594" s="249"/>
      <c r="F594" s="249"/>
      <c r="G594" s="251"/>
      <c r="H594" s="249"/>
      <c r="I594" s="252"/>
      <c r="J594" s="253"/>
      <c r="K594" s="42"/>
      <c r="L594" s="42"/>
      <c r="M594" s="68"/>
      <c r="N594" s="68"/>
    </row>
    <row r="595">
      <c r="A595" s="248"/>
      <c r="B595" s="249"/>
      <c r="C595" s="249"/>
      <c r="D595" s="250"/>
      <c r="E595" s="249"/>
      <c r="F595" s="249"/>
      <c r="G595" s="251"/>
      <c r="H595" s="249"/>
      <c r="I595" s="252"/>
      <c r="J595" s="253"/>
      <c r="K595" s="42"/>
      <c r="L595" s="42"/>
      <c r="M595" s="68"/>
      <c r="N595" s="68"/>
    </row>
    <row r="596">
      <c r="A596" s="248"/>
      <c r="B596" s="249"/>
      <c r="C596" s="249"/>
      <c r="D596" s="250"/>
      <c r="E596" s="249"/>
      <c r="F596" s="249"/>
      <c r="G596" s="251"/>
      <c r="H596" s="249"/>
      <c r="I596" s="252"/>
      <c r="J596" s="253"/>
      <c r="K596" s="42"/>
      <c r="L596" s="42"/>
      <c r="M596" s="68"/>
      <c r="N596" s="68"/>
    </row>
    <row r="597">
      <c r="A597" s="248"/>
      <c r="B597" s="249"/>
      <c r="C597" s="249"/>
      <c r="D597" s="250"/>
      <c r="E597" s="249"/>
      <c r="F597" s="249"/>
      <c r="G597" s="251"/>
      <c r="H597" s="249"/>
      <c r="I597" s="252"/>
      <c r="J597" s="253"/>
      <c r="K597" s="42"/>
      <c r="L597" s="42"/>
      <c r="M597" s="68"/>
      <c r="N597" s="68"/>
    </row>
    <row r="598">
      <c r="A598" s="248"/>
      <c r="B598" s="249"/>
      <c r="C598" s="249"/>
      <c r="D598" s="250"/>
      <c r="E598" s="249"/>
      <c r="F598" s="249"/>
      <c r="G598" s="251"/>
      <c r="H598" s="249"/>
      <c r="I598" s="252"/>
      <c r="J598" s="253"/>
      <c r="K598" s="42"/>
      <c r="L598" s="42"/>
      <c r="M598" s="68"/>
      <c r="N598" s="68"/>
    </row>
    <row r="599">
      <c r="A599" s="248"/>
      <c r="B599" s="249"/>
      <c r="C599" s="249"/>
      <c r="D599" s="250"/>
      <c r="E599" s="249"/>
      <c r="F599" s="249"/>
      <c r="G599" s="251"/>
      <c r="H599" s="249"/>
      <c r="I599" s="252"/>
      <c r="J599" s="253"/>
      <c r="K599" s="42"/>
      <c r="L599" s="42"/>
      <c r="M599" s="68"/>
      <c r="N599" s="68"/>
    </row>
    <row r="600">
      <c r="A600" s="248"/>
      <c r="B600" s="249"/>
      <c r="C600" s="249"/>
      <c r="D600" s="250"/>
      <c r="E600" s="249"/>
      <c r="F600" s="249"/>
      <c r="G600" s="251"/>
      <c r="H600" s="249"/>
      <c r="I600" s="252"/>
      <c r="J600" s="253"/>
      <c r="K600" s="42"/>
      <c r="L600" s="42"/>
      <c r="M600" s="68"/>
      <c r="N600" s="68"/>
    </row>
    <row r="601">
      <c r="A601" s="248"/>
      <c r="B601" s="249"/>
      <c r="C601" s="249"/>
      <c r="D601" s="250"/>
      <c r="E601" s="249"/>
      <c r="F601" s="249"/>
      <c r="G601" s="251"/>
      <c r="H601" s="249"/>
      <c r="I601" s="252"/>
      <c r="J601" s="253"/>
      <c r="K601" s="42"/>
      <c r="L601" s="42"/>
      <c r="M601" s="68"/>
      <c r="N601" s="68"/>
    </row>
    <row r="602">
      <c r="A602" s="248"/>
      <c r="B602" s="249"/>
      <c r="C602" s="249"/>
      <c r="D602" s="250"/>
      <c r="E602" s="249"/>
      <c r="F602" s="249"/>
      <c r="G602" s="251"/>
      <c r="H602" s="249"/>
      <c r="I602" s="252"/>
      <c r="J602" s="253"/>
      <c r="K602" s="42"/>
      <c r="L602" s="42"/>
      <c r="M602" s="68"/>
      <c r="N602" s="68"/>
    </row>
    <row r="603">
      <c r="A603" s="248"/>
      <c r="B603" s="249"/>
      <c r="C603" s="249"/>
      <c r="D603" s="250"/>
      <c r="E603" s="249"/>
      <c r="F603" s="249"/>
      <c r="G603" s="251"/>
      <c r="H603" s="249"/>
      <c r="I603" s="252"/>
      <c r="J603" s="253"/>
      <c r="K603" s="42"/>
      <c r="L603" s="42"/>
      <c r="M603" s="68"/>
      <c r="N603" s="68"/>
    </row>
    <row r="604">
      <c r="A604" s="248"/>
      <c r="B604" s="249"/>
      <c r="C604" s="249"/>
      <c r="D604" s="250"/>
      <c r="E604" s="249"/>
      <c r="F604" s="249"/>
      <c r="G604" s="251"/>
      <c r="H604" s="249"/>
      <c r="I604" s="252"/>
      <c r="J604" s="253"/>
      <c r="K604" s="42"/>
      <c r="L604" s="42"/>
      <c r="M604" s="68"/>
      <c r="N604" s="68"/>
    </row>
    <row r="605">
      <c r="A605" s="248"/>
      <c r="B605" s="249"/>
      <c r="C605" s="249"/>
      <c r="D605" s="250"/>
      <c r="E605" s="249"/>
      <c r="F605" s="249"/>
      <c r="G605" s="251"/>
      <c r="H605" s="249"/>
      <c r="I605" s="252"/>
      <c r="J605" s="253"/>
      <c r="K605" s="42"/>
      <c r="L605" s="42"/>
      <c r="M605" s="68"/>
      <c r="N605" s="68"/>
    </row>
    <row r="606">
      <c r="A606" s="248"/>
      <c r="B606" s="249"/>
      <c r="C606" s="249"/>
      <c r="D606" s="250"/>
      <c r="E606" s="249"/>
      <c r="F606" s="249"/>
      <c r="G606" s="251"/>
      <c r="H606" s="249"/>
      <c r="I606" s="252"/>
      <c r="J606" s="253"/>
      <c r="K606" s="42"/>
      <c r="L606" s="42"/>
      <c r="M606" s="68"/>
      <c r="N606" s="68"/>
    </row>
    <row r="607">
      <c r="A607" s="248"/>
      <c r="B607" s="249"/>
      <c r="C607" s="249"/>
      <c r="D607" s="250"/>
      <c r="E607" s="249"/>
      <c r="F607" s="249"/>
      <c r="G607" s="251"/>
      <c r="H607" s="249"/>
      <c r="I607" s="252"/>
      <c r="J607" s="253"/>
      <c r="K607" s="42"/>
      <c r="L607" s="42"/>
      <c r="M607" s="68"/>
      <c r="N607" s="68"/>
    </row>
    <row r="608">
      <c r="A608" s="248"/>
      <c r="B608" s="249"/>
      <c r="C608" s="249"/>
      <c r="D608" s="250"/>
      <c r="E608" s="249"/>
      <c r="F608" s="249"/>
      <c r="G608" s="251"/>
      <c r="H608" s="249"/>
      <c r="I608" s="252"/>
      <c r="J608" s="253"/>
      <c r="K608" s="42"/>
      <c r="L608" s="42"/>
      <c r="M608" s="68"/>
      <c r="N608" s="68"/>
    </row>
    <row r="609">
      <c r="A609" s="248"/>
      <c r="B609" s="249"/>
      <c r="C609" s="249"/>
      <c r="D609" s="250"/>
      <c r="E609" s="249"/>
      <c r="F609" s="249"/>
      <c r="G609" s="251"/>
      <c r="H609" s="249"/>
      <c r="I609" s="252"/>
      <c r="J609" s="253"/>
      <c r="K609" s="42"/>
      <c r="L609" s="42"/>
      <c r="M609" s="68"/>
      <c r="N609" s="68"/>
    </row>
    <row r="610">
      <c r="A610" s="248"/>
      <c r="B610" s="249"/>
      <c r="C610" s="249"/>
      <c r="D610" s="250"/>
      <c r="E610" s="249"/>
      <c r="F610" s="249"/>
      <c r="G610" s="251"/>
      <c r="H610" s="249"/>
      <c r="I610" s="252"/>
      <c r="J610" s="253"/>
      <c r="K610" s="42"/>
      <c r="L610" s="42"/>
      <c r="M610" s="68"/>
      <c r="N610" s="68"/>
    </row>
    <row r="611">
      <c r="A611" s="248"/>
      <c r="B611" s="249"/>
      <c r="C611" s="249"/>
      <c r="D611" s="250"/>
      <c r="E611" s="249"/>
      <c r="F611" s="249"/>
      <c r="G611" s="251"/>
      <c r="H611" s="249"/>
      <c r="I611" s="252"/>
      <c r="J611" s="253"/>
      <c r="K611" s="42"/>
      <c r="L611" s="42"/>
      <c r="M611" s="68"/>
      <c r="N611" s="68"/>
    </row>
    <row r="612">
      <c r="A612" s="248"/>
      <c r="B612" s="249"/>
      <c r="C612" s="249"/>
      <c r="D612" s="250"/>
      <c r="E612" s="249"/>
      <c r="F612" s="249"/>
      <c r="G612" s="251"/>
      <c r="H612" s="249"/>
      <c r="I612" s="252"/>
      <c r="J612" s="253"/>
      <c r="K612" s="42"/>
      <c r="L612" s="42"/>
      <c r="M612" s="68"/>
      <c r="N612" s="68"/>
    </row>
    <row r="613">
      <c r="A613" s="248"/>
      <c r="B613" s="249"/>
      <c r="C613" s="249"/>
      <c r="D613" s="250"/>
      <c r="E613" s="249"/>
      <c r="F613" s="249"/>
      <c r="G613" s="251"/>
      <c r="H613" s="249"/>
      <c r="I613" s="252"/>
      <c r="J613" s="253"/>
      <c r="K613" s="42"/>
      <c r="L613" s="42"/>
      <c r="M613" s="68"/>
      <c r="N613" s="68"/>
    </row>
    <row r="614">
      <c r="A614" s="248"/>
      <c r="B614" s="249"/>
      <c r="C614" s="249"/>
      <c r="D614" s="250"/>
      <c r="E614" s="249"/>
      <c r="F614" s="249"/>
      <c r="G614" s="251"/>
      <c r="H614" s="249"/>
      <c r="I614" s="252"/>
      <c r="J614" s="253"/>
      <c r="K614" s="42"/>
      <c r="L614" s="42"/>
      <c r="M614" s="68"/>
      <c r="N614" s="68"/>
    </row>
    <row r="615">
      <c r="A615" s="248"/>
      <c r="B615" s="249"/>
      <c r="C615" s="249"/>
      <c r="D615" s="250"/>
      <c r="E615" s="249"/>
      <c r="F615" s="249"/>
      <c r="G615" s="251"/>
      <c r="H615" s="249"/>
      <c r="I615" s="252"/>
      <c r="J615" s="253"/>
      <c r="K615" s="42"/>
      <c r="L615" s="42"/>
      <c r="M615" s="68"/>
      <c r="N615" s="68"/>
    </row>
    <row r="616">
      <c r="A616" s="248"/>
      <c r="B616" s="249"/>
      <c r="C616" s="249"/>
      <c r="D616" s="250"/>
      <c r="E616" s="249"/>
      <c r="F616" s="249"/>
      <c r="G616" s="251"/>
      <c r="H616" s="249"/>
      <c r="I616" s="252"/>
      <c r="J616" s="253"/>
      <c r="K616" s="42"/>
      <c r="L616" s="42"/>
      <c r="M616" s="68"/>
      <c r="N616" s="68"/>
    </row>
    <row r="617">
      <c r="A617" s="248"/>
      <c r="B617" s="249"/>
      <c r="C617" s="249"/>
      <c r="D617" s="250"/>
      <c r="E617" s="249"/>
      <c r="F617" s="249"/>
      <c r="G617" s="251"/>
      <c r="H617" s="249"/>
      <c r="I617" s="252"/>
      <c r="J617" s="253"/>
      <c r="K617" s="42"/>
      <c r="L617" s="42"/>
      <c r="M617" s="68"/>
      <c r="N617" s="68"/>
    </row>
    <row r="618">
      <c r="A618" s="248"/>
      <c r="B618" s="249"/>
      <c r="C618" s="249"/>
      <c r="D618" s="250"/>
      <c r="E618" s="249"/>
      <c r="F618" s="249"/>
      <c r="G618" s="251"/>
      <c r="H618" s="249"/>
      <c r="I618" s="252"/>
      <c r="J618" s="253"/>
      <c r="K618" s="42"/>
      <c r="L618" s="42"/>
      <c r="M618" s="68"/>
      <c r="N618" s="68"/>
    </row>
    <row r="619">
      <c r="A619" s="248"/>
      <c r="B619" s="249"/>
      <c r="C619" s="249"/>
      <c r="D619" s="250"/>
      <c r="E619" s="249"/>
      <c r="F619" s="249"/>
      <c r="G619" s="251"/>
      <c r="H619" s="249"/>
      <c r="I619" s="252"/>
      <c r="J619" s="253"/>
      <c r="K619" s="42"/>
      <c r="L619" s="42"/>
      <c r="M619" s="68"/>
      <c r="N619" s="68"/>
    </row>
    <row r="620">
      <c r="A620" s="248"/>
      <c r="B620" s="249"/>
      <c r="C620" s="249"/>
      <c r="D620" s="250"/>
      <c r="E620" s="249"/>
      <c r="F620" s="249"/>
      <c r="G620" s="251"/>
      <c r="H620" s="249"/>
      <c r="I620" s="252"/>
      <c r="J620" s="253"/>
      <c r="K620" s="42"/>
      <c r="L620" s="42"/>
      <c r="M620" s="68"/>
      <c r="N620" s="68"/>
    </row>
    <row r="621">
      <c r="A621" s="248"/>
      <c r="B621" s="249"/>
      <c r="C621" s="249"/>
      <c r="D621" s="250"/>
      <c r="E621" s="249"/>
      <c r="F621" s="249"/>
      <c r="G621" s="251"/>
      <c r="H621" s="249"/>
      <c r="I621" s="252"/>
      <c r="J621" s="253"/>
      <c r="K621" s="42"/>
      <c r="L621" s="42"/>
      <c r="M621" s="68"/>
      <c r="N621" s="68"/>
    </row>
    <row r="622">
      <c r="A622" s="248"/>
      <c r="B622" s="249"/>
      <c r="C622" s="249"/>
      <c r="D622" s="250"/>
      <c r="E622" s="249"/>
      <c r="F622" s="249"/>
      <c r="G622" s="251"/>
      <c r="H622" s="249"/>
      <c r="I622" s="252"/>
      <c r="J622" s="253"/>
      <c r="K622" s="42"/>
      <c r="L622" s="42"/>
      <c r="M622" s="68"/>
      <c r="N622" s="68"/>
    </row>
    <row r="623">
      <c r="A623" s="248"/>
      <c r="B623" s="249"/>
      <c r="C623" s="249"/>
      <c r="D623" s="250"/>
      <c r="E623" s="249"/>
      <c r="F623" s="249"/>
      <c r="G623" s="251"/>
      <c r="H623" s="249"/>
      <c r="I623" s="252"/>
      <c r="J623" s="253"/>
      <c r="K623" s="42"/>
      <c r="L623" s="42"/>
      <c r="M623" s="68"/>
      <c r="N623" s="68"/>
    </row>
    <row r="624">
      <c r="A624" s="248"/>
      <c r="B624" s="249"/>
      <c r="C624" s="249"/>
      <c r="D624" s="250"/>
      <c r="E624" s="249"/>
      <c r="F624" s="249"/>
      <c r="G624" s="251"/>
      <c r="H624" s="249"/>
      <c r="I624" s="252"/>
      <c r="J624" s="253"/>
      <c r="K624" s="42"/>
      <c r="L624" s="42"/>
      <c r="M624" s="68"/>
      <c r="N624" s="68"/>
    </row>
    <row r="625">
      <c r="A625" s="248"/>
      <c r="B625" s="249"/>
      <c r="C625" s="249"/>
      <c r="D625" s="250"/>
      <c r="E625" s="249"/>
      <c r="F625" s="249"/>
      <c r="G625" s="251"/>
      <c r="H625" s="249"/>
      <c r="I625" s="252"/>
      <c r="J625" s="253"/>
      <c r="K625" s="42"/>
      <c r="L625" s="42"/>
      <c r="M625" s="68"/>
      <c r="N625" s="68"/>
    </row>
    <row r="626">
      <c r="A626" s="248"/>
      <c r="B626" s="249"/>
      <c r="C626" s="249"/>
      <c r="D626" s="250"/>
      <c r="E626" s="249"/>
      <c r="F626" s="249"/>
      <c r="G626" s="251"/>
      <c r="H626" s="249"/>
      <c r="I626" s="252"/>
      <c r="J626" s="253"/>
      <c r="K626" s="42"/>
      <c r="L626" s="42"/>
      <c r="M626" s="68"/>
      <c r="N626" s="68"/>
    </row>
    <row r="627">
      <c r="A627" s="248"/>
      <c r="B627" s="249"/>
      <c r="C627" s="249"/>
      <c r="D627" s="250"/>
      <c r="E627" s="249"/>
      <c r="F627" s="249"/>
      <c r="G627" s="251"/>
      <c r="H627" s="249"/>
      <c r="I627" s="252"/>
      <c r="J627" s="253"/>
      <c r="K627" s="42"/>
      <c r="L627" s="42"/>
      <c r="M627" s="68"/>
      <c r="N627" s="68"/>
    </row>
    <row r="628">
      <c r="A628" s="248"/>
      <c r="B628" s="249"/>
      <c r="C628" s="249"/>
      <c r="D628" s="250"/>
      <c r="E628" s="249"/>
      <c r="F628" s="249"/>
      <c r="G628" s="251"/>
      <c r="H628" s="249"/>
      <c r="I628" s="252"/>
      <c r="J628" s="253"/>
      <c r="K628" s="42"/>
      <c r="L628" s="42"/>
      <c r="M628" s="68"/>
      <c r="N628" s="68"/>
    </row>
    <row r="629">
      <c r="A629" s="248"/>
      <c r="B629" s="249"/>
      <c r="C629" s="249"/>
      <c r="D629" s="250"/>
      <c r="E629" s="249"/>
      <c r="F629" s="249"/>
      <c r="G629" s="251"/>
      <c r="H629" s="249"/>
      <c r="I629" s="252"/>
      <c r="J629" s="253"/>
      <c r="K629" s="42"/>
      <c r="L629" s="42"/>
      <c r="M629" s="68"/>
      <c r="N629" s="68"/>
    </row>
    <row r="630">
      <c r="A630" s="248"/>
      <c r="B630" s="249"/>
      <c r="C630" s="249"/>
      <c r="D630" s="250"/>
      <c r="E630" s="249"/>
      <c r="F630" s="249"/>
      <c r="G630" s="251"/>
      <c r="H630" s="249"/>
      <c r="I630" s="252"/>
      <c r="J630" s="253"/>
      <c r="K630" s="42"/>
      <c r="L630" s="42"/>
      <c r="M630" s="68"/>
      <c r="N630" s="68"/>
    </row>
    <row r="631">
      <c r="A631" s="248"/>
      <c r="B631" s="249"/>
      <c r="C631" s="249"/>
      <c r="D631" s="250"/>
      <c r="E631" s="249"/>
      <c r="F631" s="249"/>
      <c r="G631" s="251"/>
      <c r="H631" s="249"/>
      <c r="I631" s="252"/>
      <c r="J631" s="253"/>
      <c r="K631" s="42"/>
      <c r="L631" s="42"/>
      <c r="M631" s="68"/>
      <c r="N631" s="68"/>
    </row>
    <row r="632">
      <c r="A632" s="248"/>
      <c r="B632" s="249"/>
      <c r="C632" s="249"/>
      <c r="D632" s="250"/>
      <c r="E632" s="249"/>
      <c r="F632" s="249"/>
      <c r="G632" s="251"/>
      <c r="H632" s="249"/>
      <c r="I632" s="252"/>
      <c r="J632" s="253"/>
      <c r="K632" s="42"/>
      <c r="L632" s="42"/>
      <c r="M632" s="68"/>
      <c r="N632" s="68"/>
    </row>
    <row r="633">
      <c r="A633" s="248"/>
      <c r="B633" s="249"/>
      <c r="C633" s="249"/>
      <c r="D633" s="250"/>
      <c r="E633" s="249"/>
      <c r="F633" s="249"/>
      <c r="G633" s="251"/>
      <c r="H633" s="249"/>
      <c r="I633" s="252"/>
      <c r="J633" s="253"/>
      <c r="K633" s="42"/>
      <c r="L633" s="42"/>
      <c r="M633" s="68"/>
      <c r="N633" s="68"/>
    </row>
    <row r="634">
      <c r="A634" s="248"/>
      <c r="B634" s="249"/>
      <c r="C634" s="249"/>
      <c r="D634" s="250"/>
      <c r="E634" s="249"/>
      <c r="F634" s="249"/>
      <c r="G634" s="251"/>
      <c r="H634" s="249"/>
      <c r="I634" s="252"/>
      <c r="J634" s="253"/>
      <c r="K634" s="42"/>
      <c r="L634" s="42"/>
      <c r="M634" s="68"/>
      <c r="N634" s="68"/>
    </row>
    <row r="635">
      <c r="A635" s="248"/>
      <c r="B635" s="249"/>
      <c r="C635" s="249"/>
      <c r="D635" s="250"/>
      <c r="E635" s="249"/>
      <c r="F635" s="249"/>
      <c r="G635" s="251"/>
      <c r="H635" s="249"/>
      <c r="I635" s="252"/>
      <c r="J635" s="253"/>
      <c r="K635" s="42"/>
      <c r="L635" s="42"/>
      <c r="M635" s="68"/>
      <c r="N635" s="68"/>
    </row>
    <row r="636">
      <c r="A636" s="248"/>
      <c r="B636" s="249"/>
      <c r="C636" s="249"/>
      <c r="D636" s="250"/>
      <c r="E636" s="249"/>
      <c r="F636" s="249"/>
      <c r="G636" s="251"/>
      <c r="H636" s="249"/>
      <c r="I636" s="252"/>
      <c r="J636" s="253"/>
      <c r="K636" s="42"/>
      <c r="L636" s="42"/>
      <c r="M636" s="68"/>
      <c r="N636" s="68"/>
    </row>
    <row r="637">
      <c r="A637" s="248"/>
      <c r="B637" s="249"/>
      <c r="C637" s="249"/>
      <c r="D637" s="250"/>
      <c r="E637" s="249"/>
      <c r="F637" s="249"/>
      <c r="G637" s="251"/>
      <c r="H637" s="249"/>
      <c r="I637" s="252"/>
      <c r="J637" s="253"/>
      <c r="K637" s="42"/>
      <c r="L637" s="42"/>
      <c r="M637" s="68"/>
      <c r="N637" s="68"/>
    </row>
    <row r="638">
      <c r="A638" s="248"/>
      <c r="B638" s="249"/>
      <c r="C638" s="249"/>
      <c r="D638" s="250"/>
      <c r="E638" s="249"/>
      <c r="F638" s="249"/>
      <c r="G638" s="251"/>
      <c r="H638" s="249"/>
      <c r="I638" s="252"/>
      <c r="J638" s="253"/>
      <c r="K638" s="42"/>
      <c r="L638" s="42"/>
      <c r="M638" s="68"/>
      <c r="N638" s="68"/>
    </row>
    <row r="639">
      <c r="A639" s="248"/>
      <c r="B639" s="249"/>
      <c r="C639" s="249"/>
      <c r="D639" s="250"/>
      <c r="E639" s="249"/>
      <c r="F639" s="249"/>
      <c r="G639" s="251"/>
      <c r="H639" s="249"/>
      <c r="I639" s="252"/>
      <c r="J639" s="253"/>
      <c r="K639" s="42"/>
      <c r="L639" s="42"/>
      <c r="M639" s="68"/>
      <c r="N639" s="68"/>
    </row>
    <row r="640">
      <c r="A640" s="248"/>
      <c r="B640" s="249"/>
      <c r="C640" s="249"/>
      <c r="D640" s="250"/>
      <c r="E640" s="249"/>
      <c r="F640" s="249"/>
      <c r="G640" s="251"/>
      <c r="H640" s="249"/>
      <c r="I640" s="252"/>
      <c r="J640" s="253"/>
      <c r="K640" s="42"/>
      <c r="L640" s="42"/>
      <c r="M640" s="68"/>
      <c r="N640" s="68"/>
    </row>
    <row r="641">
      <c r="A641" s="248"/>
      <c r="B641" s="249"/>
      <c r="C641" s="249"/>
      <c r="D641" s="250"/>
      <c r="E641" s="249"/>
      <c r="F641" s="249"/>
      <c r="G641" s="251"/>
      <c r="H641" s="249"/>
      <c r="I641" s="252"/>
      <c r="J641" s="253"/>
      <c r="K641" s="42"/>
      <c r="L641" s="42"/>
      <c r="M641" s="68"/>
      <c r="N641" s="68"/>
    </row>
    <row r="642">
      <c r="A642" s="248"/>
      <c r="B642" s="249"/>
      <c r="C642" s="249"/>
      <c r="D642" s="250"/>
      <c r="E642" s="249"/>
      <c r="F642" s="249"/>
      <c r="G642" s="251"/>
      <c r="H642" s="249"/>
      <c r="I642" s="252"/>
      <c r="J642" s="253"/>
      <c r="K642" s="42"/>
      <c r="L642" s="42"/>
      <c r="M642" s="68"/>
      <c r="N642" s="68"/>
    </row>
    <row r="643">
      <c r="A643" s="248"/>
      <c r="B643" s="249"/>
      <c r="C643" s="249"/>
      <c r="D643" s="250"/>
      <c r="E643" s="249"/>
      <c r="F643" s="249"/>
      <c r="G643" s="251"/>
      <c r="H643" s="249"/>
      <c r="I643" s="252"/>
      <c r="J643" s="253"/>
      <c r="K643" s="42"/>
      <c r="L643" s="42"/>
      <c r="M643" s="68"/>
      <c r="N643" s="68"/>
    </row>
    <row r="644">
      <c r="A644" s="248"/>
      <c r="B644" s="249"/>
      <c r="C644" s="249"/>
      <c r="D644" s="250"/>
      <c r="E644" s="249"/>
      <c r="F644" s="249"/>
      <c r="G644" s="251"/>
      <c r="H644" s="249"/>
      <c r="I644" s="252"/>
      <c r="J644" s="253"/>
      <c r="K644" s="42"/>
      <c r="L644" s="42"/>
      <c r="M644" s="68"/>
      <c r="N644" s="68"/>
    </row>
    <row r="645">
      <c r="A645" s="248"/>
      <c r="B645" s="249"/>
      <c r="C645" s="249"/>
      <c r="D645" s="250"/>
      <c r="E645" s="249"/>
      <c r="F645" s="249"/>
      <c r="G645" s="251"/>
      <c r="H645" s="249"/>
      <c r="I645" s="252"/>
      <c r="J645" s="253"/>
      <c r="K645" s="42"/>
      <c r="L645" s="42"/>
      <c r="M645" s="68"/>
      <c r="N645" s="68"/>
    </row>
    <row r="646">
      <c r="A646" s="248"/>
      <c r="B646" s="249"/>
      <c r="C646" s="249"/>
      <c r="D646" s="250"/>
      <c r="E646" s="249"/>
      <c r="F646" s="249"/>
      <c r="G646" s="251"/>
      <c r="H646" s="249"/>
      <c r="I646" s="252"/>
      <c r="J646" s="253"/>
      <c r="K646" s="42"/>
      <c r="L646" s="42"/>
      <c r="M646" s="68"/>
      <c r="N646" s="68"/>
    </row>
    <row r="647">
      <c r="A647" s="248"/>
      <c r="B647" s="249"/>
      <c r="C647" s="249"/>
      <c r="D647" s="250"/>
      <c r="E647" s="249"/>
      <c r="F647" s="249"/>
      <c r="G647" s="251"/>
      <c r="H647" s="249"/>
      <c r="I647" s="252"/>
      <c r="J647" s="253"/>
      <c r="K647" s="42"/>
      <c r="L647" s="42"/>
      <c r="M647" s="68"/>
      <c r="N647" s="68"/>
    </row>
    <row r="648">
      <c r="A648" s="248"/>
      <c r="B648" s="249"/>
      <c r="C648" s="249"/>
      <c r="D648" s="250"/>
      <c r="E648" s="249"/>
      <c r="F648" s="249"/>
      <c r="G648" s="251"/>
      <c r="H648" s="249"/>
      <c r="I648" s="252"/>
      <c r="J648" s="253"/>
      <c r="K648" s="42"/>
      <c r="L648" s="42"/>
      <c r="M648" s="68"/>
      <c r="N648" s="68"/>
    </row>
    <row r="649">
      <c r="A649" s="248"/>
      <c r="B649" s="249"/>
      <c r="C649" s="249"/>
      <c r="D649" s="250"/>
      <c r="E649" s="249"/>
      <c r="F649" s="249"/>
      <c r="G649" s="251"/>
      <c r="H649" s="249"/>
      <c r="I649" s="252"/>
      <c r="J649" s="253"/>
      <c r="K649" s="42"/>
      <c r="L649" s="42"/>
      <c r="M649" s="68"/>
      <c r="N649" s="68"/>
    </row>
    <row r="650">
      <c r="A650" s="248"/>
      <c r="B650" s="249"/>
      <c r="C650" s="249"/>
      <c r="D650" s="250"/>
      <c r="E650" s="249"/>
      <c r="F650" s="249"/>
      <c r="G650" s="251"/>
      <c r="H650" s="249"/>
      <c r="I650" s="252"/>
      <c r="J650" s="253"/>
      <c r="K650" s="42"/>
      <c r="L650" s="42"/>
      <c r="M650" s="68"/>
      <c r="N650" s="68"/>
    </row>
    <row r="651">
      <c r="A651" s="248"/>
      <c r="B651" s="249"/>
      <c r="C651" s="249"/>
      <c r="D651" s="250"/>
      <c r="E651" s="249"/>
      <c r="F651" s="249"/>
      <c r="G651" s="251"/>
      <c r="H651" s="249"/>
      <c r="I651" s="252"/>
      <c r="J651" s="253"/>
      <c r="K651" s="42"/>
      <c r="L651" s="42"/>
      <c r="M651" s="68"/>
      <c r="N651" s="68"/>
    </row>
    <row r="652">
      <c r="A652" s="248"/>
      <c r="B652" s="249"/>
      <c r="C652" s="249"/>
      <c r="D652" s="250"/>
      <c r="E652" s="249"/>
      <c r="F652" s="249"/>
      <c r="G652" s="251"/>
      <c r="H652" s="249"/>
      <c r="I652" s="252"/>
      <c r="J652" s="253"/>
      <c r="K652" s="42"/>
      <c r="L652" s="42"/>
      <c r="M652" s="68"/>
      <c r="N652" s="68"/>
    </row>
    <row r="653">
      <c r="A653" s="248"/>
      <c r="B653" s="249"/>
      <c r="C653" s="249"/>
      <c r="D653" s="250"/>
      <c r="E653" s="249"/>
      <c r="F653" s="249"/>
      <c r="G653" s="251"/>
      <c r="H653" s="249"/>
      <c r="I653" s="252"/>
      <c r="J653" s="253"/>
      <c r="K653" s="42"/>
      <c r="L653" s="42"/>
      <c r="M653" s="68"/>
      <c r="N653" s="68"/>
    </row>
    <row r="654">
      <c r="A654" s="248"/>
      <c r="B654" s="249"/>
      <c r="C654" s="249"/>
      <c r="D654" s="250"/>
      <c r="E654" s="249"/>
      <c r="F654" s="249"/>
      <c r="G654" s="251"/>
      <c r="H654" s="249"/>
      <c r="I654" s="252"/>
      <c r="J654" s="253"/>
      <c r="K654" s="42"/>
      <c r="L654" s="42"/>
      <c r="M654" s="68"/>
      <c r="N654" s="68"/>
    </row>
    <row r="655">
      <c r="A655" s="248"/>
      <c r="B655" s="249"/>
      <c r="C655" s="249"/>
      <c r="D655" s="250"/>
      <c r="E655" s="249"/>
      <c r="F655" s="249"/>
      <c r="G655" s="251"/>
      <c r="H655" s="249"/>
      <c r="I655" s="252"/>
      <c r="J655" s="253"/>
      <c r="K655" s="42"/>
      <c r="L655" s="42"/>
      <c r="M655" s="68"/>
      <c r="N655" s="68"/>
    </row>
    <row r="656">
      <c r="A656" s="248"/>
      <c r="B656" s="249"/>
      <c r="C656" s="249"/>
      <c r="D656" s="250"/>
      <c r="E656" s="249"/>
      <c r="F656" s="249"/>
      <c r="G656" s="251"/>
      <c r="H656" s="249"/>
      <c r="I656" s="252"/>
      <c r="J656" s="253"/>
      <c r="K656" s="42"/>
      <c r="L656" s="42"/>
      <c r="M656" s="68"/>
      <c r="N656" s="68"/>
    </row>
    <row r="657">
      <c r="A657" s="248"/>
      <c r="B657" s="249"/>
      <c r="C657" s="249"/>
      <c r="D657" s="250"/>
      <c r="E657" s="249"/>
      <c r="F657" s="249"/>
      <c r="G657" s="251"/>
      <c r="H657" s="249"/>
      <c r="I657" s="252"/>
      <c r="J657" s="253"/>
      <c r="K657" s="42"/>
      <c r="L657" s="42"/>
      <c r="M657" s="68"/>
      <c r="N657" s="68"/>
    </row>
    <row r="658">
      <c r="A658" s="248"/>
      <c r="B658" s="249"/>
      <c r="C658" s="249"/>
      <c r="D658" s="250"/>
      <c r="E658" s="249"/>
      <c r="F658" s="249"/>
      <c r="G658" s="251"/>
      <c r="H658" s="249"/>
      <c r="I658" s="252"/>
      <c r="J658" s="253"/>
      <c r="K658" s="42"/>
      <c r="L658" s="42"/>
      <c r="M658" s="68"/>
      <c r="N658" s="68"/>
    </row>
    <row r="659">
      <c r="A659" s="248"/>
      <c r="B659" s="249"/>
      <c r="C659" s="249"/>
      <c r="D659" s="250"/>
      <c r="E659" s="249"/>
      <c r="F659" s="249"/>
      <c r="G659" s="251"/>
      <c r="H659" s="249"/>
      <c r="I659" s="252"/>
      <c r="J659" s="253"/>
      <c r="K659" s="42"/>
      <c r="L659" s="42"/>
      <c r="M659" s="68"/>
      <c r="N659" s="68"/>
    </row>
    <row r="660">
      <c r="A660" s="248"/>
      <c r="B660" s="249"/>
      <c r="C660" s="249"/>
      <c r="D660" s="250"/>
      <c r="E660" s="249"/>
      <c r="F660" s="249"/>
      <c r="G660" s="251"/>
      <c r="H660" s="249"/>
      <c r="I660" s="252"/>
      <c r="J660" s="253"/>
      <c r="K660" s="42"/>
      <c r="L660" s="42"/>
      <c r="M660" s="68"/>
      <c r="N660" s="68"/>
    </row>
    <row r="661">
      <c r="A661" s="248"/>
      <c r="B661" s="249"/>
      <c r="C661" s="249"/>
      <c r="D661" s="250"/>
      <c r="E661" s="249"/>
      <c r="F661" s="249"/>
      <c r="G661" s="251"/>
      <c r="H661" s="249"/>
      <c r="I661" s="252"/>
      <c r="J661" s="253"/>
      <c r="K661" s="42"/>
      <c r="L661" s="42"/>
      <c r="M661" s="68"/>
      <c r="N661" s="68"/>
    </row>
    <row r="662">
      <c r="A662" s="248"/>
      <c r="B662" s="249"/>
      <c r="C662" s="249"/>
      <c r="D662" s="250"/>
      <c r="E662" s="249"/>
      <c r="F662" s="249"/>
      <c r="G662" s="251"/>
      <c r="H662" s="249"/>
      <c r="I662" s="252"/>
      <c r="J662" s="253"/>
      <c r="K662" s="42"/>
      <c r="L662" s="42"/>
      <c r="M662" s="68"/>
      <c r="N662" s="68"/>
    </row>
    <row r="663">
      <c r="A663" s="248"/>
      <c r="B663" s="249"/>
      <c r="C663" s="249"/>
      <c r="D663" s="250"/>
      <c r="E663" s="249"/>
      <c r="F663" s="249"/>
      <c r="G663" s="251"/>
      <c r="H663" s="249"/>
      <c r="I663" s="252"/>
      <c r="J663" s="253"/>
      <c r="K663" s="42"/>
      <c r="L663" s="42"/>
      <c r="M663" s="68"/>
      <c r="N663" s="68"/>
    </row>
    <row r="664">
      <c r="A664" s="248"/>
      <c r="B664" s="249"/>
      <c r="C664" s="249"/>
      <c r="D664" s="250"/>
      <c r="E664" s="249"/>
      <c r="F664" s="249"/>
      <c r="G664" s="251"/>
      <c r="H664" s="249"/>
      <c r="I664" s="252"/>
      <c r="J664" s="253"/>
      <c r="K664" s="42"/>
      <c r="L664" s="42"/>
      <c r="M664" s="68"/>
      <c r="N664" s="68"/>
    </row>
    <row r="665">
      <c r="A665" s="248"/>
      <c r="B665" s="249"/>
      <c r="C665" s="249"/>
      <c r="D665" s="250"/>
      <c r="E665" s="249"/>
      <c r="F665" s="249"/>
      <c r="G665" s="251"/>
      <c r="H665" s="249"/>
      <c r="I665" s="252"/>
      <c r="J665" s="253"/>
      <c r="K665" s="42"/>
      <c r="L665" s="42"/>
      <c r="M665" s="68"/>
      <c r="N665" s="68"/>
    </row>
    <row r="666">
      <c r="A666" s="248"/>
      <c r="B666" s="249"/>
      <c r="C666" s="249"/>
      <c r="D666" s="250"/>
      <c r="E666" s="249"/>
      <c r="F666" s="249"/>
      <c r="G666" s="251"/>
      <c r="H666" s="249"/>
      <c r="I666" s="252"/>
      <c r="J666" s="253"/>
      <c r="K666" s="42"/>
      <c r="L666" s="42"/>
      <c r="M666" s="68"/>
      <c r="N666" s="68"/>
    </row>
    <row r="667">
      <c r="A667" s="248"/>
      <c r="B667" s="249"/>
      <c r="C667" s="249"/>
      <c r="D667" s="250"/>
      <c r="E667" s="249"/>
      <c r="F667" s="249"/>
      <c r="G667" s="251"/>
      <c r="H667" s="249"/>
      <c r="I667" s="252"/>
      <c r="J667" s="253"/>
      <c r="K667" s="42"/>
      <c r="L667" s="42"/>
      <c r="M667" s="68"/>
      <c r="N667" s="68"/>
    </row>
    <row r="668">
      <c r="A668" s="248"/>
      <c r="B668" s="249"/>
      <c r="C668" s="249"/>
      <c r="D668" s="250"/>
      <c r="E668" s="249"/>
      <c r="F668" s="249"/>
      <c r="G668" s="251"/>
      <c r="H668" s="249"/>
      <c r="I668" s="252"/>
      <c r="J668" s="253"/>
      <c r="K668" s="42"/>
      <c r="L668" s="42"/>
      <c r="M668" s="68"/>
      <c r="N668" s="68"/>
    </row>
    <row r="669">
      <c r="A669" s="248"/>
      <c r="B669" s="249"/>
      <c r="C669" s="249"/>
      <c r="D669" s="250"/>
      <c r="E669" s="249"/>
      <c r="F669" s="249"/>
      <c r="G669" s="251"/>
      <c r="H669" s="249"/>
      <c r="I669" s="252"/>
      <c r="J669" s="253"/>
      <c r="K669" s="42"/>
      <c r="L669" s="42"/>
      <c r="M669" s="68"/>
      <c r="N669" s="68"/>
    </row>
    <row r="670">
      <c r="A670" s="248"/>
      <c r="B670" s="249"/>
      <c r="C670" s="249"/>
      <c r="D670" s="250"/>
      <c r="E670" s="249"/>
      <c r="F670" s="249"/>
      <c r="G670" s="251"/>
      <c r="H670" s="249"/>
      <c r="I670" s="252"/>
      <c r="J670" s="253"/>
      <c r="K670" s="42"/>
      <c r="L670" s="42"/>
      <c r="M670" s="68"/>
      <c r="N670" s="68"/>
    </row>
    <row r="671">
      <c r="A671" s="248"/>
      <c r="B671" s="249"/>
      <c r="C671" s="249"/>
      <c r="D671" s="250"/>
      <c r="E671" s="249"/>
      <c r="F671" s="249"/>
      <c r="G671" s="251"/>
      <c r="H671" s="249"/>
      <c r="I671" s="252"/>
      <c r="J671" s="253"/>
      <c r="K671" s="42"/>
      <c r="L671" s="42"/>
      <c r="M671" s="68"/>
      <c r="N671" s="68"/>
    </row>
    <row r="672">
      <c r="A672" s="248"/>
      <c r="B672" s="249"/>
      <c r="C672" s="249"/>
      <c r="D672" s="250"/>
      <c r="E672" s="249"/>
      <c r="F672" s="249"/>
      <c r="G672" s="251"/>
      <c r="H672" s="249"/>
      <c r="I672" s="252"/>
      <c r="J672" s="253"/>
      <c r="K672" s="42"/>
      <c r="L672" s="42"/>
      <c r="M672" s="68"/>
      <c r="N672" s="68"/>
    </row>
    <row r="673">
      <c r="A673" s="248"/>
      <c r="B673" s="249"/>
      <c r="C673" s="249"/>
      <c r="D673" s="250"/>
      <c r="E673" s="249"/>
      <c r="F673" s="249"/>
      <c r="G673" s="251"/>
      <c r="H673" s="249"/>
      <c r="I673" s="252"/>
      <c r="J673" s="253"/>
      <c r="K673" s="42"/>
      <c r="L673" s="42"/>
      <c r="M673" s="68"/>
      <c r="N673" s="68"/>
    </row>
    <row r="674">
      <c r="A674" s="248"/>
      <c r="B674" s="249"/>
      <c r="C674" s="249"/>
      <c r="D674" s="250"/>
      <c r="E674" s="249"/>
      <c r="F674" s="249"/>
      <c r="G674" s="251"/>
      <c r="H674" s="249"/>
      <c r="I674" s="252"/>
      <c r="J674" s="253"/>
      <c r="K674" s="42"/>
      <c r="L674" s="42"/>
      <c r="M674" s="68"/>
      <c r="N674" s="68"/>
    </row>
    <row r="675">
      <c r="A675" s="248"/>
      <c r="B675" s="249"/>
      <c r="C675" s="249"/>
      <c r="D675" s="250"/>
      <c r="E675" s="249"/>
      <c r="F675" s="249"/>
      <c r="G675" s="251"/>
      <c r="H675" s="249"/>
      <c r="I675" s="252"/>
      <c r="J675" s="253"/>
      <c r="K675" s="42"/>
      <c r="L675" s="42"/>
      <c r="M675" s="68"/>
      <c r="N675" s="68"/>
    </row>
    <row r="676">
      <c r="A676" s="248"/>
      <c r="B676" s="249"/>
      <c r="C676" s="249"/>
      <c r="D676" s="250"/>
      <c r="E676" s="249"/>
      <c r="F676" s="249"/>
      <c r="G676" s="251"/>
      <c r="H676" s="249"/>
      <c r="I676" s="252"/>
      <c r="J676" s="253"/>
      <c r="K676" s="42"/>
      <c r="L676" s="42"/>
      <c r="M676" s="68"/>
      <c r="N676" s="68"/>
    </row>
    <row r="677">
      <c r="A677" s="248"/>
      <c r="B677" s="249"/>
      <c r="C677" s="249"/>
      <c r="D677" s="250"/>
      <c r="E677" s="249"/>
      <c r="F677" s="249"/>
      <c r="G677" s="251"/>
      <c r="H677" s="249"/>
      <c r="I677" s="252"/>
      <c r="J677" s="253"/>
      <c r="K677" s="42"/>
      <c r="L677" s="42"/>
      <c r="M677" s="68"/>
      <c r="N677" s="68"/>
    </row>
    <row r="678">
      <c r="A678" s="248"/>
      <c r="B678" s="249"/>
      <c r="C678" s="249"/>
      <c r="D678" s="250"/>
      <c r="E678" s="249"/>
      <c r="F678" s="249"/>
      <c r="G678" s="251"/>
      <c r="H678" s="249"/>
      <c r="I678" s="252"/>
      <c r="J678" s="253"/>
      <c r="K678" s="42"/>
      <c r="L678" s="42"/>
      <c r="M678" s="68"/>
      <c r="N678" s="68"/>
    </row>
    <row r="679">
      <c r="A679" s="248"/>
      <c r="B679" s="249"/>
      <c r="C679" s="249"/>
      <c r="D679" s="250"/>
      <c r="E679" s="249"/>
      <c r="F679" s="249"/>
      <c r="G679" s="251"/>
      <c r="H679" s="249"/>
      <c r="I679" s="252"/>
      <c r="J679" s="253"/>
      <c r="K679" s="42"/>
      <c r="L679" s="42"/>
      <c r="M679" s="68"/>
      <c r="N679" s="68"/>
    </row>
    <row r="680">
      <c r="A680" s="248"/>
      <c r="B680" s="249"/>
      <c r="C680" s="249"/>
      <c r="D680" s="250"/>
      <c r="E680" s="249"/>
      <c r="F680" s="249"/>
      <c r="G680" s="251"/>
      <c r="H680" s="249"/>
      <c r="I680" s="252"/>
      <c r="J680" s="253"/>
      <c r="K680" s="42"/>
      <c r="L680" s="42"/>
      <c r="M680" s="68"/>
      <c r="N680" s="68"/>
    </row>
    <row r="681">
      <c r="A681" s="248"/>
      <c r="B681" s="249"/>
      <c r="C681" s="249"/>
      <c r="D681" s="250"/>
      <c r="E681" s="249"/>
      <c r="F681" s="249"/>
      <c r="G681" s="251"/>
      <c r="H681" s="249"/>
      <c r="I681" s="252"/>
      <c r="J681" s="253"/>
      <c r="K681" s="42"/>
      <c r="L681" s="42"/>
      <c r="M681" s="68"/>
      <c r="N681" s="68"/>
    </row>
    <row r="682">
      <c r="A682" s="248"/>
      <c r="B682" s="249"/>
      <c r="C682" s="249"/>
      <c r="D682" s="250"/>
      <c r="E682" s="249"/>
      <c r="F682" s="249"/>
      <c r="G682" s="251"/>
      <c r="H682" s="249"/>
      <c r="I682" s="252"/>
      <c r="J682" s="253"/>
      <c r="K682" s="42"/>
      <c r="L682" s="42"/>
      <c r="M682" s="68"/>
      <c r="N682" s="68"/>
    </row>
    <row r="683">
      <c r="A683" s="248"/>
      <c r="B683" s="249"/>
      <c r="C683" s="249"/>
      <c r="D683" s="250"/>
      <c r="E683" s="249"/>
      <c r="F683" s="249"/>
      <c r="G683" s="251"/>
      <c r="H683" s="249"/>
      <c r="I683" s="252"/>
      <c r="J683" s="253"/>
      <c r="K683" s="42"/>
      <c r="L683" s="42"/>
      <c r="M683" s="68"/>
      <c r="N683" s="68"/>
    </row>
    <row r="684">
      <c r="A684" s="248"/>
      <c r="B684" s="249"/>
      <c r="C684" s="249"/>
      <c r="D684" s="250"/>
      <c r="E684" s="249"/>
      <c r="F684" s="249"/>
      <c r="G684" s="251"/>
      <c r="H684" s="249"/>
      <c r="I684" s="252"/>
      <c r="J684" s="253"/>
      <c r="K684" s="42"/>
      <c r="L684" s="42"/>
      <c r="M684" s="68"/>
      <c r="N684" s="68"/>
    </row>
    <row r="685">
      <c r="A685" s="248"/>
      <c r="B685" s="249"/>
      <c r="C685" s="249"/>
      <c r="D685" s="250"/>
      <c r="E685" s="249"/>
      <c r="F685" s="249"/>
      <c r="G685" s="251"/>
      <c r="H685" s="249"/>
      <c r="I685" s="252"/>
      <c r="J685" s="253"/>
      <c r="K685" s="42"/>
      <c r="L685" s="42"/>
      <c r="M685" s="68"/>
      <c r="N685" s="68"/>
    </row>
    <row r="686">
      <c r="A686" s="248"/>
      <c r="B686" s="249"/>
      <c r="C686" s="249"/>
      <c r="D686" s="250"/>
      <c r="E686" s="249"/>
      <c r="F686" s="249"/>
      <c r="G686" s="251"/>
      <c r="H686" s="249"/>
      <c r="I686" s="252"/>
      <c r="J686" s="253"/>
      <c r="K686" s="42"/>
      <c r="L686" s="42"/>
      <c r="M686" s="68"/>
      <c r="N686" s="68"/>
    </row>
    <row r="687">
      <c r="A687" s="248"/>
      <c r="B687" s="249"/>
      <c r="C687" s="249"/>
      <c r="D687" s="250"/>
      <c r="E687" s="249"/>
      <c r="F687" s="249"/>
      <c r="G687" s="251"/>
      <c r="H687" s="249"/>
      <c r="I687" s="252"/>
      <c r="J687" s="253"/>
      <c r="K687" s="42"/>
      <c r="L687" s="42"/>
      <c r="M687" s="68"/>
      <c r="N687" s="68"/>
    </row>
    <row r="688">
      <c r="A688" s="248"/>
      <c r="B688" s="249"/>
      <c r="C688" s="249"/>
      <c r="D688" s="250"/>
      <c r="E688" s="249"/>
      <c r="F688" s="249"/>
      <c r="G688" s="251"/>
      <c r="H688" s="249"/>
      <c r="I688" s="252"/>
      <c r="J688" s="253"/>
      <c r="K688" s="42"/>
      <c r="L688" s="42"/>
      <c r="M688" s="68"/>
      <c r="N688" s="68"/>
    </row>
    <row r="689">
      <c r="A689" s="248"/>
      <c r="B689" s="249"/>
      <c r="C689" s="249"/>
      <c r="D689" s="250"/>
      <c r="E689" s="249"/>
      <c r="F689" s="249"/>
      <c r="G689" s="251"/>
      <c r="H689" s="249"/>
      <c r="I689" s="252"/>
      <c r="J689" s="253"/>
      <c r="K689" s="42"/>
      <c r="L689" s="42"/>
      <c r="M689" s="68"/>
      <c r="N689" s="68"/>
    </row>
    <row r="690">
      <c r="A690" s="248"/>
      <c r="B690" s="249"/>
      <c r="C690" s="249"/>
      <c r="D690" s="250"/>
      <c r="E690" s="249"/>
      <c r="F690" s="249"/>
      <c r="G690" s="251"/>
      <c r="H690" s="249"/>
      <c r="I690" s="252"/>
      <c r="J690" s="253"/>
      <c r="K690" s="42"/>
      <c r="L690" s="42"/>
      <c r="M690" s="68"/>
      <c r="N690" s="68"/>
    </row>
    <row r="691">
      <c r="A691" s="248"/>
      <c r="B691" s="249"/>
      <c r="C691" s="249"/>
      <c r="D691" s="250"/>
      <c r="E691" s="249"/>
      <c r="F691" s="249"/>
      <c r="G691" s="251"/>
      <c r="H691" s="249"/>
      <c r="I691" s="252"/>
      <c r="J691" s="253"/>
      <c r="K691" s="42"/>
      <c r="L691" s="42"/>
      <c r="M691" s="68"/>
      <c r="N691" s="68"/>
    </row>
    <row r="692">
      <c r="A692" s="248"/>
      <c r="B692" s="249"/>
      <c r="C692" s="249"/>
      <c r="D692" s="250"/>
      <c r="E692" s="249"/>
      <c r="F692" s="249"/>
      <c r="G692" s="251"/>
      <c r="H692" s="249"/>
      <c r="I692" s="252"/>
      <c r="J692" s="253"/>
      <c r="K692" s="42"/>
      <c r="L692" s="42"/>
      <c r="M692" s="68"/>
      <c r="N692" s="68"/>
    </row>
    <row r="693">
      <c r="A693" s="248"/>
      <c r="B693" s="249"/>
      <c r="C693" s="249"/>
      <c r="D693" s="250"/>
      <c r="E693" s="249"/>
      <c r="F693" s="249"/>
      <c r="G693" s="251"/>
      <c r="H693" s="249"/>
      <c r="I693" s="252"/>
      <c r="J693" s="253"/>
      <c r="K693" s="42"/>
      <c r="L693" s="42"/>
      <c r="M693" s="68"/>
      <c r="N693" s="68"/>
    </row>
    <row r="694">
      <c r="A694" s="248"/>
      <c r="B694" s="249"/>
      <c r="C694" s="249"/>
      <c r="D694" s="250"/>
      <c r="E694" s="249"/>
      <c r="F694" s="249"/>
      <c r="G694" s="251"/>
      <c r="H694" s="249"/>
      <c r="I694" s="252"/>
      <c r="J694" s="253"/>
      <c r="K694" s="42"/>
      <c r="L694" s="42"/>
      <c r="M694" s="68"/>
      <c r="N694" s="68"/>
    </row>
    <row r="695">
      <c r="A695" s="248"/>
      <c r="B695" s="249"/>
      <c r="C695" s="249"/>
      <c r="D695" s="250"/>
      <c r="E695" s="249"/>
      <c r="F695" s="249"/>
      <c r="G695" s="251"/>
      <c r="H695" s="249"/>
      <c r="I695" s="252"/>
      <c r="J695" s="253"/>
      <c r="K695" s="42"/>
      <c r="L695" s="42"/>
      <c r="M695" s="68"/>
      <c r="N695" s="68"/>
    </row>
    <row r="696">
      <c r="A696" s="248"/>
      <c r="B696" s="249"/>
      <c r="C696" s="249"/>
      <c r="D696" s="250"/>
      <c r="E696" s="249"/>
      <c r="F696" s="249"/>
      <c r="G696" s="251"/>
      <c r="H696" s="249"/>
      <c r="I696" s="252"/>
      <c r="J696" s="253"/>
      <c r="K696" s="42"/>
      <c r="L696" s="42"/>
      <c r="M696" s="68"/>
      <c r="N696" s="68"/>
    </row>
    <row r="697">
      <c r="A697" s="248"/>
      <c r="B697" s="249"/>
      <c r="C697" s="249"/>
      <c r="D697" s="250"/>
      <c r="E697" s="249"/>
      <c r="F697" s="249"/>
      <c r="G697" s="251"/>
      <c r="H697" s="249"/>
      <c r="I697" s="252"/>
      <c r="J697" s="253"/>
      <c r="K697" s="42"/>
      <c r="L697" s="42"/>
      <c r="M697" s="68"/>
      <c r="N697" s="68"/>
    </row>
    <row r="698">
      <c r="A698" s="248"/>
      <c r="B698" s="249"/>
      <c r="C698" s="249"/>
      <c r="D698" s="250"/>
      <c r="E698" s="249"/>
      <c r="F698" s="249"/>
      <c r="G698" s="251"/>
      <c r="H698" s="249"/>
      <c r="I698" s="252"/>
      <c r="J698" s="253"/>
      <c r="K698" s="42"/>
      <c r="L698" s="42"/>
      <c r="M698" s="68"/>
      <c r="N698" s="68"/>
    </row>
    <row r="699">
      <c r="A699" s="248"/>
      <c r="B699" s="249"/>
      <c r="C699" s="249"/>
      <c r="D699" s="250"/>
      <c r="E699" s="249"/>
      <c r="F699" s="249"/>
      <c r="G699" s="251"/>
      <c r="H699" s="249"/>
      <c r="I699" s="252"/>
      <c r="J699" s="253"/>
      <c r="K699" s="42"/>
      <c r="L699" s="42"/>
      <c r="M699" s="68"/>
      <c r="N699" s="68"/>
    </row>
    <row r="700">
      <c r="A700" s="248"/>
      <c r="B700" s="249"/>
      <c r="C700" s="249"/>
      <c r="D700" s="250"/>
      <c r="E700" s="249"/>
      <c r="F700" s="249"/>
      <c r="G700" s="251"/>
      <c r="H700" s="249"/>
      <c r="I700" s="252"/>
      <c r="J700" s="253"/>
      <c r="K700" s="42"/>
      <c r="L700" s="42"/>
      <c r="M700" s="68"/>
      <c r="N700" s="68"/>
    </row>
    <row r="701">
      <c r="A701" s="248"/>
      <c r="B701" s="249"/>
      <c r="C701" s="249"/>
      <c r="D701" s="250"/>
      <c r="E701" s="249"/>
      <c r="F701" s="249"/>
      <c r="G701" s="251"/>
      <c r="H701" s="249"/>
      <c r="I701" s="252"/>
      <c r="J701" s="253"/>
      <c r="K701" s="42"/>
      <c r="L701" s="42"/>
      <c r="M701" s="68"/>
      <c r="N701" s="68"/>
    </row>
    <row r="702">
      <c r="A702" s="248"/>
      <c r="B702" s="249"/>
      <c r="C702" s="249"/>
      <c r="D702" s="250"/>
      <c r="E702" s="249"/>
      <c r="F702" s="249"/>
      <c r="G702" s="251"/>
      <c r="H702" s="249"/>
      <c r="I702" s="252"/>
      <c r="J702" s="253"/>
      <c r="K702" s="42"/>
      <c r="L702" s="42"/>
      <c r="M702" s="68"/>
      <c r="N702" s="68"/>
    </row>
    <row r="703">
      <c r="A703" s="248"/>
      <c r="B703" s="249"/>
      <c r="C703" s="249"/>
      <c r="D703" s="250"/>
      <c r="E703" s="249"/>
      <c r="F703" s="249"/>
      <c r="G703" s="251"/>
      <c r="H703" s="249"/>
      <c r="I703" s="252"/>
      <c r="J703" s="253"/>
      <c r="K703" s="42"/>
      <c r="L703" s="42"/>
      <c r="M703" s="68"/>
      <c r="N703" s="68"/>
    </row>
    <row r="704">
      <c r="A704" s="248"/>
      <c r="B704" s="249"/>
      <c r="C704" s="249"/>
      <c r="D704" s="250"/>
      <c r="E704" s="249"/>
      <c r="F704" s="249"/>
      <c r="G704" s="251"/>
      <c r="H704" s="249"/>
      <c r="I704" s="252"/>
      <c r="J704" s="253"/>
      <c r="K704" s="42"/>
      <c r="L704" s="42"/>
      <c r="M704" s="68"/>
      <c r="N704" s="68"/>
    </row>
    <row r="705">
      <c r="A705" s="248"/>
      <c r="B705" s="249"/>
      <c r="C705" s="249"/>
      <c r="D705" s="250"/>
      <c r="E705" s="249"/>
      <c r="F705" s="249"/>
      <c r="G705" s="251"/>
      <c r="H705" s="249"/>
      <c r="I705" s="252"/>
      <c r="J705" s="253"/>
      <c r="K705" s="42"/>
      <c r="L705" s="42"/>
      <c r="M705" s="68"/>
      <c r="N705" s="68"/>
    </row>
    <row r="706">
      <c r="A706" s="248"/>
      <c r="B706" s="249"/>
      <c r="C706" s="249"/>
      <c r="D706" s="250"/>
      <c r="E706" s="249"/>
      <c r="F706" s="249"/>
      <c r="G706" s="251"/>
      <c r="H706" s="249"/>
      <c r="I706" s="252"/>
      <c r="J706" s="253"/>
      <c r="K706" s="42"/>
      <c r="L706" s="42"/>
      <c r="M706" s="68"/>
      <c r="N706" s="68"/>
    </row>
    <row r="707">
      <c r="A707" s="248"/>
      <c r="B707" s="249"/>
      <c r="C707" s="249"/>
      <c r="D707" s="250"/>
      <c r="E707" s="249"/>
      <c r="F707" s="249"/>
      <c r="G707" s="251"/>
      <c r="H707" s="249"/>
      <c r="I707" s="252"/>
      <c r="J707" s="253"/>
      <c r="K707" s="42"/>
      <c r="L707" s="42"/>
      <c r="M707" s="68"/>
      <c r="N707" s="68"/>
    </row>
    <row r="708">
      <c r="A708" s="248"/>
      <c r="B708" s="249"/>
      <c r="C708" s="249"/>
      <c r="D708" s="250"/>
      <c r="E708" s="249"/>
      <c r="F708" s="249"/>
      <c r="G708" s="251"/>
      <c r="H708" s="249"/>
      <c r="I708" s="252"/>
      <c r="J708" s="253"/>
      <c r="K708" s="42"/>
      <c r="L708" s="42"/>
      <c r="M708" s="68"/>
      <c r="N708" s="68"/>
    </row>
    <row r="709">
      <c r="A709" s="248"/>
      <c r="B709" s="249"/>
      <c r="C709" s="249"/>
      <c r="D709" s="250"/>
      <c r="E709" s="249"/>
      <c r="F709" s="249"/>
      <c r="G709" s="251"/>
      <c r="H709" s="249"/>
      <c r="I709" s="252"/>
      <c r="J709" s="253"/>
      <c r="K709" s="42"/>
      <c r="L709" s="42"/>
      <c r="M709" s="68"/>
      <c r="N709" s="68"/>
    </row>
    <row r="710">
      <c r="A710" s="248"/>
      <c r="B710" s="249"/>
      <c r="C710" s="249"/>
      <c r="D710" s="250"/>
      <c r="E710" s="249"/>
      <c r="F710" s="249"/>
      <c r="G710" s="251"/>
      <c r="H710" s="249"/>
      <c r="I710" s="252"/>
      <c r="J710" s="253"/>
      <c r="K710" s="42"/>
      <c r="L710" s="42"/>
      <c r="M710" s="68"/>
      <c r="N710" s="68"/>
    </row>
    <row r="711">
      <c r="A711" s="248"/>
      <c r="B711" s="249"/>
      <c r="C711" s="249"/>
      <c r="D711" s="250"/>
      <c r="E711" s="249"/>
      <c r="F711" s="249"/>
      <c r="G711" s="251"/>
      <c r="H711" s="249"/>
      <c r="I711" s="252"/>
      <c r="J711" s="253"/>
      <c r="K711" s="42"/>
      <c r="L711" s="42"/>
      <c r="M711" s="68"/>
      <c r="N711" s="68"/>
    </row>
    <row r="712">
      <c r="A712" s="248"/>
      <c r="B712" s="249"/>
      <c r="C712" s="249"/>
      <c r="D712" s="250"/>
      <c r="E712" s="249"/>
      <c r="F712" s="249"/>
      <c r="G712" s="251"/>
      <c r="H712" s="249"/>
      <c r="I712" s="252"/>
      <c r="J712" s="253"/>
      <c r="K712" s="42"/>
      <c r="L712" s="42"/>
      <c r="M712" s="68"/>
      <c r="N712" s="68"/>
    </row>
    <row r="713">
      <c r="A713" s="248"/>
      <c r="B713" s="249"/>
      <c r="C713" s="249"/>
      <c r="D713" s="250"/>
      <c r="E713" s="249"/>
      <c r="F713" s="249"/>
      <c r="G713" s="251"/>
      <c r="H713" s="249"/>
      <c r="I713" s="252"/>
      <c r="J713" s="253"/>
      <c r="K713" s="42"/>
      <c r="L713" s="42"/>
      <c r="M713" s="68"/>
      <c r="N713" s="68"/>
    </row>
    <row r="714">
      <c r="A714" s="248"/>
      <c r="B714" s="249"/>
      <c r="C714" s="249"/>
      <c r="D714" s="250"/>
      <c r="E714" s="249"/>
      <c r="F714" s="249"/>
      <c r="G714" s="251"/>
      <c r="H714" s="249"/>
      <c r="I714" s="252"/>
      <c r="J714" s="253"/>
      <c r="K714" s="42"/>
      <c r="L714" s="42"/>
      <c r="M714" s="68"/>
      <c r="N714" s="68"/>
    </row>
    <row r="715">
      <c r="A715" s="248"/>
      <c r="B715" s="249"/>
      <c r="C715" s="249"/>
      <c r="D715" s="250"/>
      <c r="E715" s="249"/>
      <c r="F715" s="249"/>
      <c r="G715" s="251"/>
      <c r="H715" s="249"/>
      <c r="I715" s="252"/>
      <c r="J715" s="253"/>
      <c r="K715" s="42"/>
      <c r="L715" s="42"/>
      <c r="M715" s="68"/>
      <c r="N715" s="68"/>
    </row>
    <row r="716">
      <c r="A716" s="248"/>
      <c r="B716" s="249"/>
      <c r="C716" s="249"/>
      <c r="D716" s="250"/>
      <c r="E716" s="249"/>
      <c r="F716" s="249"/>
      <c r="G716" s="251"/>
      <c r="H716" s="249"/>
      <c r="I716" s="252"/>
      <c r="J716" s="253"/>
      <c r="K716" s="42"/>
      <c r="L716" s="42"/>
      <c r="M716" s="68"/>
      <c r="N716" s="68"/>
    </row>
    <row r="717">
      <c r="A717" s="248"/>
      <c r="B717" s="249"/>
      <c r="C717" s="249"/>
      <c r="D717" s="250"/>
      <c r="E717" s="249"/>
      <c r="F717" s="249"/>
      <c r="G717" s="251"/>
      <c r="H717" s="249"/>
      <c r="I717" s="252"/>
      <c r="J717" s="253"/>
      <c r="K717" s="42"/>
      <c r="L717" s="42"/>
      <c r="M717" s="68"/>
      <c r="N717" s="68"/>
    </row>
    <row r="718">
      <c r="A718" s="248"/>
      <c r="B718" s="249"/>
      <c r="C718" s="249"/>
      <c r="D718" s="250"/>
      <c r="E718" s="249"/>
      <c r="F718" s="249"/>
      <c r="G718" s="251"/>
      <c r="H718" s="249"/>
      <c r="I718" s="252"/>
      <c r="J718" s="253"/>
      <c r="K718" s="42"/>
      <c r="L718" s="42"/>
      <c r="M718" s="68"/>
      <c r="N718" s="68"/>
    </row>
    <row r="719">
      <c r="A719" s="248"/>
      <c r="B719" s="249"/>
      <c r="C719" s="249"/>
      <c r="D719" s="250"/>
      <c r="E719" s="249"/>
      <c r="F719" s="249"/>
      <c r="G719" s="251"/>
      <c r="H719" s="249"/>
      <c r="I719" s="252"/>
      <c r="J719" s="253"/>
      <c r="K719" s="42"/>
      <c r="L719" s="42"/>
      <c r="M719" s="68"/>
      <c r="N719" s="68"/>
    </row>
    <row r="720">
      <c r="A720" s="248"/>
      <c r="B720" s="249"/>
      <c r="C720" s="249"/>
      <c r="D720" s="250"/>
      <c r="E720" s="249"/>
      <c r="F720" s="249"/>
      <c r="G720" s="251"/>
      <c r="H720" s="249"/>
      <c r="I720" s="252"/>
      <c r="J720" s="253"/>
      <c r="K720" s="42"/>
      <c r="L720" s="42"/>
      <c r="M720" s="68"/>
      <c r="N720" s="68"/>
    </row>
    <row r="721">
      <c r="A721" s="248"/>
      <c r="B721" s="249"/>
      <c r="C721" s="249"/>
      <c r="D721" s="250"/>
      <c r="E721" s="249"/>
      <c r="F721" s="249"/>
      <c r="G721" s="251"/>
      <c r="H721" s="249"/>
      <c r="I721" s="252"/>
      <c r="J721" s="253"/>
      <c r="K721" s="42"/>
      <c r="L721" s="42"/>
      <c r="M721" s="68"/>
      <c r="N721" s="68"/>
    </row>
    <row r="722">
      <c r="A722" s="248"/>
      <c r="B722" s="249"/>
      <c r="C722" s="249"/>
      <c r="D722" s="250"/>
      <c r="E722" s="249"/>
      <c r="F722" s="249"/>
      <c r="G722" s="251"/>
      <c r="H722" s="249"/>
      <c r="I722" s="252"/>
      <c r="J722" s="253"/>
      <c r="K722" s="42"/>
      <c r="L722" s="42"/>
      <c r="M722" s="68"/>
      <c r="N722" s="68"/>
    </row>
    <row r="723">
      <c r="A723" s="248"/>
      <c r="B723" s="249"/>
      <c r="C723" s="249"/>
      <c r="D723" s="250"/>
      <c r="E723" s="249"/>
      <c r="F723" s="249"/>
      <c r="G723" s="251"/>
      <c r="H723" s="249"/>
      <c r="I723" s="252"/>
      <c r="J723" s="253"/>
      <c r="K723" s="42"/>
      <c r="L723" s="42"/>
      <c r="M723" s="68"/>
      <c r="N723" s="68"/>
    </row>
    <row r="724">
      <c r="A724" s="248"/>
      <c r="B724" s="249"/>
      <c r="C724" s="249"/>
      <c r="D724" s="250"/>
      <c r="E724" s="249"/>
      <c r="F724" s="249"/>
      <c r="G724" s="251"/>
      <c r="H724" s="249"/>
      <c r="I724" s="252"/>
      <c r="J724" s="253"/>
      <c r="K724" s="42"/>
      <c r="L724" s="42"/>
      <c r="M724" s="68"/>
      <c r="N724" s="68"/>
    </row>
    <row r="725">
      <c r="A725" s="248"/>
      <c r="B725" s="249"/>
      <c r="C725" s="249"/>
      <c r="D725" s="250"/>
      <c r="E725" s="249"/>
      <c r="F725" s="249"/>
      <c r="G725" s="251"/>
      <c r="H725" s="249"/>
      <c r="I725" s="252"/>
      <c r="J725" s="253"/>
      <c r="K725" s="42"/>
      <c r="L725" s="42"/>
      <c r="M725" s="68"/>
      <c r="N725" s="68"/>
    </row>
    <row r="726">
      <c r="A726" s="248"/>
      <c r="B726" s="249"/>
      <c r="C726" s="249"/>
      <c r="D726" s="250"/>
      <c r="E726" s="249"/>
      <c r="F726" s="249"/>
      <c r="G726" s="251"/>
      <c r="H726" s="249"/>
      <c r="I726" s="252"/>
      <c r="J726" s="253"/>
      <c r="K726" s="42"/>
      <c r="L726" s="42"/>
      <c r="M726" s="68"/>
      <c r="N726" s="68"/>
    </row>
    <row r="727">
      <c r="A727" s="248"/>
      <c r="B727" s="249"/>
      <c r="C727" s="249"/>
      <c r="D727" s="250"/>
      <c r="E727" s="249"/>
      <c r="F727" s="249"/>
      <c r="G727" s="251"/>
      <c r="H727" s="249"/>
      <c r="I727" s="252"/>
      <c r="J727" s="253"/>
      <c r="K727" s="42"/>
      <c r="L727" s="42"/>
      <c r="M727" s="68"/>
      <c r="N727" s="68"/>
    </row>
    <row r="728">
      <c r="A728" s="248"/>
      <c r="B728" s="249"/>
      <c r="C728" s="249"/>
      <c r="D728" s="250"/>
      <c r="E728" s="249"/>
      <c r="F728" s="249"/>
      <c r="G728" s="251"/>
      <c r="H728" s="249"/>
      <c r="I728" s="252"/>
      <c r="J728" s="253"/>
      <c r="K728" s="42"/>
      <c r="L728" s="42"/>
      <c r="M728" s="68"/>
      <c r="N728" s="68"/>
    </row>
    <row r="729">
      <c r="A729" s="248"/>
      <c r="B729" s="249"/>
      <c r="C729" s="249"/>
      <c r="D729" s="250"/>
      <c r="E729" s="249"/>
      <c r="F729" s="249"/>
      <c r="G729" s="251"/>
      <c r="H729" s="249"/>
      <c r="I729" s="252"/>
      <c r="J729" s="253"/>
      <c r="K729" s="42"/>
      <c r="L729" s="42"/>
      <c r="M729" s="68"/>
      <c r="N729" s="68"/>
    </row>
    <row r="730">
      <c r="A730" s="248"/>
      <c r="B730" s="249"/>
      <c r="C730" s="249"/>
      <c r="D730" s="250"/>
      <c r="E730" s="249"/>
      <c r="F730" s="249"/>
      <c r="G730" s="251"/>
      <c r="H730" s="249"/>
      <c r="I730" s="252"/>
      <c r="J730" s="253"/>
      <c r="K730" s="42"/>
      <c r="L730" s="42"/>
      <c r="M730" s="68"/>
      <c r="N730" s="68"/>
    </row>
    <row r="731">
      <c r="A731" s="248"/>
      <c r="B731" s="249"/>
      <c r="C731" s="249"/>
      <c r="D731" s="250"/>
      <c r="E731" s="249"/>
      <c r="F731" s="249"/>
      <c r="G731" s="251"/>
      <c r="H731" s="249"/>
      <c r="I731" s="252"/>
      <c r="J731" s="253"/>
      <c r="K731" s="42"/>
      <c r="L731" s="42"/>
      <c r="M731" s="68"/>
      <c r="N731" s="68"/>
    </row>
    <row r="732">
      <c r="A732" s="248"/>
      <c r="B732" s="249"/>
      <c r="C732" s="249"/>
      <c r="D732" s="250"/>
      <c r="E732" s="249"/>
      <c r="F732" s="249"/>
      <c r="G732" s="251"/>
      <c r="H732" s="249"/>
      <c r="I732" s="252"/>
      <c r="J732" s="253"/>
      <c r="K732" s="42"/>
      <c r="L732" s="42"/>
      <c r="M732" s="68"/>
      <c r="N732" s="68"/>
    </row>
    <row r="733">
      <c r="A733" s="248"/>
      <c r="B733" s="249"/>
      <c r="C733" s="249"/>
      <c r="D733" s="250"/>
      <c r="E733" s="249"/>
      <c r="F733" s="249"/>
      <c r="G733" s="251"/>
      <c r="H733" s="249"/>
      <c r="I733" s="252"/>
      <c r="J733" s="253"/>
      <c r="K733" s="42"/>
      <c r="L733" s="42"/>
      <c r="M733" s="68"/>
      <c r="N733" s="68"/>
    </row>
    <row r="734">
      <c r="A734" s="248"/>
      <c r="B734" s="249"/>
      <c r="C734" s="249"/>
      <c r="D734" s="250"/>
      <c r="E734" s="249"/>
      <c r="F734" s="249"/>
      <c r="G734" s="251"/>
      <c r="H734" s="249"/>
      <c r="I734" s="252"/>
      <c r="J734" s="253"/>
      <c r="K734" s="42"/>
      <c r="L734" s="42"/>
      <c r="M734" s="68"/>
      <c r="N734" s="68"/>
    </row>
    <row r="735">
      <c r="A735" s="248"/>
      <c r="B735" s="249"/>
      <c r="C735" s="249"/>
      <c r="D735" s="250"/>
      <c r="E735" s="249"/>
      <c r="F735" s="249"/>
      <c r="G735" s="251"/>
      <c r="H735" s="249"/>
      <c r="I735" s="252"/>
      <c r="J735" s="253"/>
      <c r="K735" s="42"/>
      <c r="L735" s="42"/>
      <c r="M735" s="68"/>
      <c r="N735" s="68"/>
    </row>
    <row r="736">
      <c r="A736" s="248"/>
      <c r="B736" s="249"/>
      <c r="C736" s="249"/>
      <c r="D736" s="250"/>
      <c r="E736" s="249"/>
      <c r="F736" s="249"/>
      <c r="G736" s="251"/>
      <c r="H736" s="249"/>
      <c r="I736" s="252"/>
      <c r="J736" s="253"/>
      <c r="K736" s="42"/>
      <c r="L736" s="42"/>
      <c r="M736" s="68"/>
      <c r="N736" s="68"/>
    </row>
    <row r="737">
      <c r="A737" s="248"/>
      <c r="B737" s="249"/>
      <c r="C737" s="249"/>
      <c r="D737" s="250"/>
      <c r="E737" s="249"/>
      <c r="F737" s="249"/>
      <c r="G737" s="251"/>
      <c r="H737" s="249"/>
      <c r="I737" s="252"/>
      <c r="J737" s="253"/>
      <c r="K737" s="42"/>
      <c r="L737" s="42"/>
      <c r="M737" s="68"/>
      <c r="N737" s="68"/>
    </row>
    <row r="738">
      <c r="A738" s="248"/>
      <c r="B738" s="249"/>
      <c r="C738" s="249"/>
      <c r="D738" s="250"/>
      <c r="E738" s="249"/>
      <c r="F738" s="249"/>
      <c r="G738" s="251"/>
      <c r="H738" s="249"/>
      <c r="I738" s="252"/>
      <c r="J738" s="253"/>
      <c r="K738" s="42"/>
      <c r="L738" s="42"/>
      <c r="M738" s="68"/>
      <c r="N738" s="68"/>
    </row>
    <row r="739">
      <c r="A739" s="248"/>
      <c r="B739" s="249"/>
      <c r="C739" s="249"/>
      <c r="D739" s="250"/>
      <c r="E739" s="249"/>
      <c r="F739" s="249"/>
      <c r="G739" s="251"/>
      <c r="H739" s="249"/>
      <c r="I739" s="252"/>
      <c r="J739" s="253"/>
      <c r="K739" s="42"/>
      <c r="L739" s="42"/>
      <c r="M739" s="68"/>
      <c r="N739" s="68"/>
    </row>
    <row r="740">
      <c r="A740" s="248"/>
      <c r="B740" s="249"/>
      <c r="C740" s="249"/>
      <c r="D740" s="250"/>
      <c r="E740" s="249"/>
      <c r="F740" s="249"/>
      <c r="G740" s="251"/>
      <c r="H740" s="249"/>
      <c r="I740" s="252"/>
      <c r="J740" s="253"/>
      <c r="K740" s="42"/>
      <c r="L740" s="42"/>
      <c r="M740" s="68"/>
      <c r="N740" s="68"/>
    </row>
    <row r="741">
      <c r="A741" s="248"/>
      <c r="B741" s="249"/>
      <c r="C741" s="249"/>
      <c r="D741" s="250"/>
      <c r="E741" s="249"/>
      <c r="F741" s="249"/>
      <c r="G741" s="251"/>
      <c r="H741" s="249"/>
      <c r="I741" s="252"/>
      <c r="J741" s="253"/>
      <c r="K741" s="42"/>
      <c r="L741" s="42"/>
      <c r="M741" s="68"/>
      <c r="N741" s="68"/>
    </row>
    <row r="742">
      <c r="A742" s="248"/>
      <c r="B742" s="249"/>
      <c r="C742" s="249"/>
      <c r="D742" s="250"/>
      <c r="E742" s="249"/>
      <c r="F742" s="249"/>
      <c r="G742" s="251"/>
      <c r="H742" s="249"/>
      <c r="I742" s="252"/>
      <c r="J742" s="253"/>
      <c r="K742" s="42"/>
      <c r="L742" s="42"/>
      <c r="M742" s="68"/>
      <c r="N742" s="68"/>
    </row>
    <row r="743">
      <c r="A743" s="248"/>
      <c r="B743" s="249"/>
      <c r="C743" s="249"/>
      <c r="D743" s="250"/>
      <c r="E743" s="249"/>
      <c r="F743" s="249"/>
      <c r="G743" s="251"/>
      <c r="H743" s="249"/>
      <c r="I743" s="252"/>
      <c r="J743" s="253"/>
      <c r="K743" s="42"/>
      <c r="L743" s="42"/>
      <c r="M743" s="68"/>
      <c r="N743" s="68"/>
    </row>
    <row r="744">
      <c r="A744" s="248"/>
      <c r="B744" s="249"/>
      <c r="C744" s="249"/>
      <c r="D744" s="250"/>
      <c r="E744" s="249"/>
      <c r="F744" s="249"/>
      <c r="G744" s="251"/>
      <c r="H744" s="249"/>
      <c r="I744" s="252"/>
      <c r="J744" s="253"/>
      <c r="K744" s="42"/>
      <c r="L744" s="42"/>
      <c r="M744" s="68"/>
      <c r="N744" s="68"/>
    </row>
    <row r="745">
      <c r="A745" s="248"/>
      <c r="B745" s="249"/>
      <c r="C745" s="249"/>
      <c r="D745" s="250"/>
      <c r="E745" s="249"/>
      <c r="F745" s="249"/>
      <c r="G745" s="251"/>
      <c r="H745" s="249"/>
      <c r="I745" s="252"/>
      <c r="J745" s="253"/>
      <c r="K745" s="42"/>
      <c r="L745" s="42"/>
      <c r="M745" s="68"/>
      <c r="N745" s="68"/>
    </row>
    <row r="746">
      <c r="A746" s="248"/>
      <c r="B746" s="249"/>
      <c r="C746" s="249"/>
      <c r="D746" s="250"/>
      <c r="E746" s="249"/>
      <c r="F746" s="249"/>
      <c r="G746" s="251"/>
      <c r="H746" s="249"/>
      <c r="I746" s="252"/>
      <c r="J746" s="253"/>
      <c r="K746" s="42"/>
      <c r="L746" s="42"/>
      <c r="M746" s="68"/>
      <c r="N746" s="68"/>
    </row>
    <row r="747">
      <c r="A747" s="248"/>
      <c r="B747" s="249"/>
      <c r="C747" s="249"/>
      <c r="D747" s="250"/>
      <c r="E747" s="249"/>
      <c r="F747" s="249"/>
      <c r="G747" s="251"/>
      <c r="H747" s="249"/>
      <c r="I747" s="252"/>
      <c r="J747" s="253"/>
      <c r="K747" s="42"/>
      <c r="L747" s="42"/>
      <c r="M747" s="68"/>
      <c r="N747" s="68"/>
    </row>
    <row r="748">
      <c r="A748" s="248"/>
      <c r="B748" s="249"/>
      <c r="C748" s="249"/>
      <c r="D748" s="250"/>
      <c r="E748" s="249"/>
      <c r="F748" s="249"/>
      <c r="G748" s="251"/>
      <c r="H748" s="249"/>
      <c r="I748" s="252"/>
      <c r="J748" s="253"/>
      <c r="K748" s="42"/>
      <c r="L748" s="42"/>
      <c r="M748" s="68"/>
      <c r="N748" s="68"/>
    </row>
    <row r="749">
      <c r="A749" s="248"/>
      <c r="B749" s="249"/>
      <c r="C749" s="249"/>
      <c r="D749" s="250"/>
      <c r="E749" s="249"/>
      <c r="F749" s="249"/>
      <c r="G749" s="251"/>
      <c r="H749" s="249"/>
      <c r="I749" s="252"/>
      <c r="J749" s="253"/>
      <c r="K749" s="42"/>
      <c r="L749" s="42"/>
      <c r="M749" s="68"/>
      <c r="N749" s="68"/>
    </row>
    <row r="750">
      <c r="A750" s="248"/>
      <c r="B750" s="249"/>
      <c r="C750" s="249"/>
      <c r="D750" s="250"/>
      <c r="E750" s="249"/>
      <c r="F750" s="249"/>
      <c r="G750" s="251"/>
      <c r="H750" s="249"/>
      <c r="I750" s="252"/>
      <c r="J750" s="253"/>
      <c r="K750" s="42"/>
      <c r="L750" s="42"/>
      <c r="M750" s="68"/>
      <c r="N750" s="68"/>
    </row>
    <row r="751">
      <c r="A751" s="248"/>
      <c r="B751" s="249"/>
      <c r="C751" s="249"/>
      <c r="D751" s="250"/>
      <c r="E751" s="249"/>
      <c r="F751" s="249"/>
      <c r="G751" s="251"/>
      <c r="H751" s="249"/>
      <c r="I751" s="252"/>
      <c r="J751" s="253"/>
      <c r="K751" s="42"/>
      <c r="L751" s="42"/>
      <c r="M751" s="68"/>
      <c r="N751" s="68"/>
    </row>
    <row r="752">
      <c r="A752" s="248"/>
      <c r="B752" s="249"/>
      <c r="C752" s="249"/>
      <c r="D752" s="250"/>
      <c r="E752" s="249"/>
      <c r="F752" s="249"/>
      <c r="G752" s="251"/>
      <c r="H752" s="249"/>
      <c r="I752" s="252"/>
      <c r="J752" s="253"/>
      <c r="K752" s="42"/>
      <c r="L752" s="42"/>
      <c r="M752" s="68"/>
      <c r="N752" s="68"/>
    </row>
    <row r="753">
      <c r="A753" s="248"/>
      <c r="B753" s="249"/>
      <c r="C753" s="249"/>
      <c r="D753" s="250"/>
      <c r="E753" s="249"/>
      <c r="F753" s="249"/>
      <c r="G753" s="251"/>
      <c r="H753" s="249"/>
      <c r="I753" s="252"/>
      <c r="J753" s="253"/>
      <c r="K753" s="42"/>
      <c r="L753" s="42"/>
      <c r="M753" s="68"/>
      <c r="N753" s="68"/>
    </row>
    <row r="754">
      <c r="A754" s="248"/>
      <c r="B754" s="249"/>
      <c r="C754" s="249"/>
      <c r="D754" s="250"/>
      <c r="E754" s="249"/>
      <c r="F754" s="249"/>
      <c r="G754" s="251"/>
      <c r="H754" s="249"/>
      <c r="I754" s="252"/>
      <c r="J754" s="253"/>
      <c r="K754" s="42"/>
      <c r="L754" s="42"/>
      <c r="M754" s="68"/>
      <c r="N754" s="68"/>
    </row>
    <row r="755">
      <c r="A755" s="248"/>
      <c r="B755" s="249"/>
      <c r="C755" s="249"/>
      <c r="D755" s="250"/>
      <c r="E755" s="249"/>
      <c r="F755" s="249"/>
      <c r="G755" s="251"/>
      <c r="H755" s="249"/>
      <c r="I755" s="252"/>
      <c r="J755" s="253"/>
      <c r="K755" s="42"/>
      <c r="L755" s="42"/>
      <c r="M755" s="68"/>
      <c r="N755" s="68"/>
    </row>
    <row r="756">
      <c r="A756" s="248"/>
      <c r="B756" s="249"/>
      <c r="C756" s="249"/>
      <c r="D756" s="250"/>
      <c r="E756" s="249"/>
      <c r="F756" s="249"/>
      <c r="G756" s="251"/>
      <c r="H756" s="249"/>
      <c r="I756" s="252"/>
      <c r="J756" s="253"/>
      <c r="K756" s="42"/>
      <c r="L756" s="42"/>
      <c r="M756" s="68"/>
      <c r="N756" s="68"/>
    </row>
    <row r="757">
      <c r="A757" s="248"/>
      <c r="B757" s="249"/>
      <c r="C757" s="249"/>
      <c r="D757" s="250"/>
      <c r="E757" s="249"/>
      <c r="F757" s="249"/>
      <c r="G757" s="251"/>
      <c r="H757" s="249"/>
      <c r="I757" s="252"/>
      <c r="J757" s="253"/>
      <c r="K757" s="42"/>
      <c r="L757" s="42"/>
      <c r="M757" s="68"/>
      <c r="N757" s="68"/>
    </row>
    <row r="758">
      <c r="A758" s="248"/>
      <c r="B758" s="249"/>
      <c r="C758" s="249"/>
      <c r="D758" s="250"/>
      <c r="E758" s="249"/>
      <c r="F758" s="249"/>
      <c r="G758" s="251"/>
      <c r="H758" s="249"/>
      <c r="I758" s="252"/>
      <c r="J758" s="253"/>
      <c r="K758" s="42"/>
      <c r="L758" s="42"/>
      <c r="M758" s="68"/>
      <c r="N758" s="68"/>
    </row>
    <row r="759">
      <c r="A759" s="248"/>
      <c r="B759" s="249"/>
      <c r="C759" s="249"/>
      <c r="D759" s="250"/>
      <c r="E759" s="249"/>
      <c r="F759" s="249"/>
      <c r="G759" s="251"/>
      <c r="H759" s="249"/>
      <c r="I759" s="252"/>
      <c r="J759" s="253"/>
      <c r="K759" s="42"/>
      <c r="L759" s="42"/>
      <c r="M759" s="68"/>
      <c r="N759" s="68"/>
    </row>
    <row r="760">
      <c r="A760" s="248"/>
      <c r="B760" s="249"/>
      <c r="C760" s="249"/>
      <c r="D760" s="250"/>
      <c r="E760" s="249"/>
      <c r="F760" s="249"/>
      <c r="G760" s="251"/>
      <c r="H760" s="249"/>
      <c r="I760" s="252"/>
      <c r="J760" s="253"/>
      <c r="K760" s="42"/>
      <c r="L760" s="42"/>
      <c r="M760" s="68"/>
      <c r="N760" s="68"/>
    </row>
    <row r="761">
      <c r="A761" s="248"/>
      <c r="B761" s="249"/>
      <c r="C761" s="249"/>
      <c r="D761" s="250"/>
      <c r="E761" s="249"/>
      <c r="F761" s="249"/>
      <c r="G761" s="251"/>
      <c r="H761" s="249"/>
      <c r="I761" s="252"/>
      <c r="J761" s="253"/>
      <c r="K761" s="42"/>
      <c r="L761" s="42"/>
      <c r="M761" s="68"/>
      <c r="N761" s="68"/>
    </row>
    <row r="762">
      <c r="A762" s="248"/>
      <c r="B762" s="249"/>
      <c r="C762" s="249"/>
      <c r="D762" s="250"/>
      <c r="E762" s="249"/>
      <c r="F762" s="249"/>
      <c r="G762" s="251"/>
      <c r="H762" s="249"/>
      <c r="I762" s="252"/>
      <c r="J762" s="253"/>
      <c r="K762" s="42"/>
      <c r="L762" s="42"/>
      <c r="M762" s="68"/>
      <c r="N762" s="68"/>
    </row>
    <row r="763">
      <c r="A763" s="248"/>
      <c r="B763" s="249"/>
      <c r="C763" s="249"/>
      <c r="D763" s="250"/>
      <c r="E763" s="249"/>
      <c r="F763" s="249"/>
      <c r="G763" s="251"/>
      <c r="H763" s="249"/>
      <c r="I763" s="252"/>
      <c r="J763" s="253"/>
      <c r="K763" s="42"/>
      <c r="L763" s="42"/>
      <c r="M763" s="68"/>
      <c r="N763" s="68"/>
    </row>
    <row r="764">
      <c r="A764" s="248"/>
      <c r="B764" s="249"/>
      <c r="C764" s="249"/>
      <c r="D764" s="250"/>
      <c r="E764" s="249"/>
      <c r="F764" s="249"/>
      <c r="G764" s="251"/>
      <c r="H764" s="249"/>
      <c r="I764" s="252"/>
      <c r="J764" s="253"/>
      <c r="K764" s="42"/>
      <c r="L764" s="42"/>
      <c r="M764" s="68"/>
      <c r="N764" s="68"/>
    </row>
    <row r="765">
      <c r="A765" s="248"/>
      <c r="B765" s="249"/>
      <c r="C765" s="249"/>
      <c r="D765" s="250"/>
      <c r="E765" s="249"/>
      <c r="F765" s="249"/>
      <c r="G765" s="251"/>
      <c r="H765" s="249"/>
      <c r="I765" s="252"/>
      <c r="J765" s="253"/>
      <c r="K765" s="42"/>
      <c r="L765" s="42"/>
      <c r="M765" s="68"/>
      <c r="N765" s="68"/>
    </row>
    <row r="766">
      <c r="A766" s="248"/>
      <c r="B766" s="249"/>
      <c r="C766" s="249"/>
      <c r="D766" s="250"/>
      <c r="E766" s="249"/>
      <c r="F766" s="249"/>
      <c r="G766" s="251"/>
      <c r="H766" s="249"/>
      <c r="I766" s="252"/>
      <c r="J766" s="253"/>
      <c r="K766" s="42"/>
      <c r="L766" s="42"/>
      <c r="M766" s="68"/>
      <c r="N766" s="68"/>
    </row>
    <row r="767">
      <c r="A767" s="248"/>
      <c r="B767" s="249"/>
      <c r="C767" s="249"/>
      <c r="D767" s="250"/>
      <c r="E767" s="249"/>
      <c r="F767" s="249"/>
      <c r="G767" s="251"/>
      <c r="H767" s="249"/>
      <c r="I767" s="252"/>
      <c r="J767" s="253"/>
      <c r="K767" s="42"/>
      <c r="L767" s="42"/>
      <c r="M767" s="68"/>
      <c r="N767" s="68"/>
    </row>
    <row r="768">
      <c r="A768" s="248"/>
      <c r="B768" s="249"/>
      <c r="C768" s="249"/>
      <c r="D768" s="250"/>
      <c r="E768" s="249"/>
      <c r="F768" s="249"/>
      <c r="G768" s="251"/>
      <c r="H768" s="249"/>
      <c r="I768" s="252"/>
      <c r="J768" s="253"/>
      <c r="K768" s="42"/>
      <c r="L768" s="42"/>
      <c r="M768" s="68"/>
      <c r="N768" s="68"/>
    </row>
    <row r="769">
      <c r="A769" s="248"/>
      <c r="B769" s="249"/>
      <c r="C769" s="249"/>
      <c r="D769" s="250"/>
      <c r="E769" s="249"/>
      <c r="F769" s="249"/>
      <c r="G769" s="251"/>
      <c r="H769" s="249"/>
      <c r="I769" s="252"/>
      <c r="J769" s="253"/>
      <c r="K769" s="42"/>
      <c r="L769" s="42"/>
      <c r="M769" s="68"/>
      <c r="N769" s="68"/>
    </row>
    <row r="770">
      <c r="A770" s="248"/>
      <c r="B770" s="249"/>
      <c r="C770" s="249"/>
      <c r="D770" s="250"/>
      <c r="E770" s="249"/>
      <c r="F770" s="249"/>
      <c r="G770" s="251"/>
      <c r="H770" s="249"/>
      <c r="I770" s="252"/>
      <c r="J770" s="253"/>
      <c r="K770" s="42"/>
      <c r="L770" s="42"/>
      <c r="M770" s="68"/>
      <c r="N770" s="68"/>
    </row>
    <row r="771">
      <c r="A771" s="248"/>
      <c r="B771" s="249"/>
      <c r="C771" s="249"/>
      <c r="D771" s="250"/>
      <c r="E771" s="249"/>
      <c r="F771" s="249"/>
      <c r="G771" s="251"/>
      <c r="H771" s="249"/>
      <c r="I771" s="252"/>
      <c r="J771" s="253"/>
      <c r="K771" s="42"/>
      <c r="L771" s="42"/>
      <c r="M771" s="68"/>
      <c r="N771" s="68"/>
    </row>
    <row r="772">
      <c r="A772" s="248"/>
      <c r="B772" s="249"/>
      <c r="C772" s="249"/>
      <c r="D772" s="250"/>
      <c r="E772" s="249"/>
      <c r="F772" s="249"/>
      <c r="G772" s="251"/>
      <c r="H772" s="249"/>
      <c r="I772" s="252"/>
      <c r="J772" s="253"/>
      <c r="K772" s="42"/>
      <c r="L772" s="42"/>
      <c r="M772" s="68"/>
      <c r="N772" s="68"/>
    </row>
    <row r="773">
      <c r="A773" s="248"/>
      <c r="B773" s="249"/>
      <c r="C773" s="249"/>
      <c r="D773" s="250"/>
      <c r="E773" s="249"/>
      <c r="F773" s="249"/>
      <c r="G773" s="251"/>
      <c r="H773" s="249"/>
      <c r="I773" s="252"/>
      <c r="J773" s="253"/>
      <c r="K773" s="42"/>
      <c r="L773" s="42"/>
      <c r="M773" s="68"/>
      <c r="N773" s="68"/>
    </row>
    <row r="774">
      <c r="A774" s="248"/>
      <c r="B774" s="249"/>
      <c r="C774" s="249"/>
      <c r="D774" s="250"/>
      <c r="E774" s="249"/>
      <c r="F774" s="249"/>
      <c r="G774" s="251"/>
      <c r="H774" s="249"/>
      <c r="I774" s="252"/>
      <c r="J774" s="253"/>
      <c r="K774" s="42"/>
      <c r="L774" s="42"/>
      <c r="M774" s="68"/>
      <c r="N774" s="68"/>
    </row>
    <row r="775">
      <c r="A775" s="248"/>
      <c r="B775" s="249"/>
      <c r="C775" s="249"/>
      <c r="D775" s="250"/>
      <c r="E775" s="249"/>
      <c r="F775" s="249"/>
      <c r="G775" s="251"/>
      <c r="H775" s="249"/>
      <c r="I775" s="252"/>
      <c r="J775" s="253"/>
      <c r="K775" s="42"/>
      <c r="L775" s="42"/>
      <c r="M775" s="68"/>
      <c r="N775" s="68"/>
    </row>
    <row r="776">
      <c r="A776" s="248"/>
      <c r="B776" s="249"/>
      <c r="C776" s="249"/>
      <c r="D776" s="250"/>
      <c r="E776" s="249"/>
      <c r="F776" s="249"/>
      <c r="G776" s="251"/>
      <c r="H776" s="249"/>
      <c r="I776" s="252"/>
      <c r="J776" s="253"/>
      <c r="K776" s="42"/>
      <c r="L776" s="42"/>
      <c r="M776" s="68"/>
      <c r="N776" s="68"/>
    </row>
    <row r="777">
      <c r="A777" s="248"/>
      <c r="B777" s="249"/>
      <c r="C777" s="249"/>
      <c r="D777" s="250"/>
      <c r="E777" s="249"/>
      <c r="F777" s="249"/>
      <c r="G777" s="251"/>
      <c r="H777" s="249"/>
      <c r="I777" s="252"/>
      <c r="J777" s="253"/>
      <c r="K777" s="42"/>
      <c r="L777" s="42"/>
      <c r="M777" s="68"/>
      <c r="N777" s="68"/>
    </row>
    <row r="778">
      <c r="A778" s="248"/>
      <c r="B778" s="249"/>
      <c r="C778" s="249"/>
      <c r="D778" s="250"/>
      <c r="E778" s="249"/>
      <c r="F778" s="249"/>
      <c r="G778" s="251"/>
      <c r="H778" s="249"/>
      <c r="I778" s="252"/>
      <c r="J778" s="253"/>
      <c r="K778" s="42"/>
      <c r="L778" s="42"/>
      <c r="M778" s="68"/>
      <c r="N778" s="68"/>
    </row>
    <row r="779">
      <c r="A779" s="248"/>
      <c r="B779" s="249"/>
      <c r="C779" s="249"/>
      <c r="D779" s="250"/>
      <c r="E779" s="249"/>
      <c r="F779" s="249"/>
      <c r="G779" s="251"/>
      <c r="H779" s="249"/>
      <c r="I779" s="252"/>
      <c r="J779" s="253"/>
      <c r="K779" s="42"/>
      <c r="L779" s="42"/>
      <c r="M779" s="68"/>
      <c r="N779" s="68"/>
    </row>
    <row r="780">
      <c r="A780" s="248"/>
      <c r="B780" s="249"/>
      <c r="C780" s="249"/>
      <c r="D780" s="250"/>
      <c r="E780" s="249"/>
      <c r="F780" s="249"/>
      <c r="G780" s="251"/>
      <c r="H780" s="249"/>
      <c r="I780" s="252"/>
      <c r="J780" s="253"/>
      <c r="K780" s="42"/>
      <c r="L780" s="42"/>
      <c r="M780" s="68"/>
      <c r="N780" s="68"/>
    </row>
    <row r="781">
      <c r="A781" s="248"/>
      <c r="B781" s="249"/>
      <c r="C781" s="249"/>
      <c r="D781" s="250"/>
      <c r="E781" s="249"/>
      <c r="F781" s="249"/>
      <c r="G781" s="251"/>
      <c r="H781" s="249"/>
      <c r="I781" s="252"/>
      <c r="J781" s="253"/>
      <c r="K781" s="42"/>
      <c r="L781" s="42"/>
      <c r="M781" s="68"/>
      <c r="N781" s="68"/>
    </row>
    <row r="782">
      <c r="A782" s="248"/>
      <c r="B782" s="249"/>
      <c r="C782" s="249"/>
      <c r="D782" s="250"/>
      <c r="E782" s="249"/>
      <c r="F782" s="249"/>
      <c r="G782" s="251"/>
      <c r="H782" s="249"/>
      <c r="I782" s="252"/>
      <c r="J782" s="253"/>
      <c r="K782" s="42"/>
      <c r="L782" s="42"/>
      <c r="M782" s="68"/>
      <c r="N782" s="68"/>
    </row>
    <row r="783">
      <c r="A783" s="248"/>
      <c r="B783" s="249"/>
      <c r="C783" s="249"/>
      <c r="D783" s="250"/>
      <c r="E783" s="249"/>
      <c r="F783" s="249"/>
      <c r="G783" s="251"/>
      <c r="H783" s="249"/>
      <c r="I783" s="252"/>
      <c r="J783" s="253"/>
      <c r="K783" s="42"/>
      <c r="L783" s="42"/>
      <c r="M783" s="68"/>
      <c r="N783" s="68"/>
    </row>
    <row r="784">
      <c r="A784" s="248"/>
      <c r="B784" s="249"/>
      <c r="C784" s="249"/>
      <c r="D784" s="250"/>
      <c r="E784" s="249"/>
      <c r="F784" s="249"/>
      <c r="G784" s="251"/>
      <c r="H784" s="249"/>
      <c r="I784" s="252"/>
      <c r="J784" s="253"/>
      <c r="K784" s="42"/>
      <c r="L784" s="42"/>
      <c r="M784" s="68"/>
      <c r="N784" s="68"/>
    </row>
    <row r="785">
      <c r="A785" s="248"/>
      <c r="B785" s="249"/>
      <c r="C785" s="249"/>
      <c r="D785" s="250"/>
      <c r="E785" s="249"/>
      <c r="F785" s="249"/>
      <c r="G785" s="251"/>
      <c r="H785" s="249"/>
      <c r="I785" s="252"/>
      <c r="J785" s="253"/>
      <c r="K785" s="42"/>
      <c r="L785" s="42"/>
      <c r="M785" s="68"/>
      <c r="N785" s="68"/>
    </row>
    <row r="786">
      <c r="A786" s="248"/>
      <c r="B786" s="249"/>
      <c r="C786" s="249"/>
      <c r="D786" s="250"/>
      <c r="E786" s="249"/>
      <c r="F786" s="249"/>
      <c r="G786" s="251"/>
      <c r="H786" s="249"/>
      <c r="I786" s="252"/>
      <c r="J786" s="253"/>
      <c r="K786" s="42"/>
      <c r="L786" s="42"/>
      <c r="M786" s="68"/>
      <c r="N786" s="68"/>
    </row>
    <row r="787">
      <c r="A787" s="248"/>
      <c r="B787" s="249"/>
      <c r="C787" s="249"/>
      <c r="D787" s="250"/>
      <c r="E787" s="249"/>
      <c r="F787" s="249"/>
      <c r="G787" s="251"/>
      <c r="H787" s="249"/>
      <c r="I787" s="252"/>
      <c r="J787" s="253"/>
      <c r="K787" s="42"/>
      <c r="L787" s="42"/>
      <c r="M787" s="68"/>
      <c r="N787" s="68"/>
    </row>
    <row r="788">
      <c r="A788" s="248"/>
      <c r="B788" s="249"/>
      <c r="C788" s="249"/>
      <c r="D788" s="250"/>
      <c r="E788" s="249"/>
      <c r="F788" s="249"/>
      <c r="G788" s="251"/>
      <c r="H788" s="249"/>
      <c r="I788" s="252"/>
      <c r="J788" s="253"/>
      <c r="K788" s="42"/>
      <c r="L788" s="42"/>
      <c r="M788" s="68"/>
      <c r="N788" s="68"/>
    </row>
    <row r="789">
      <c r="A789" s="248"/>
      <c r="B789" s="249"/>
      <c r="C789" s="249"/>
      <c r="D789" s="250"/>
      <c r="E789" s="249"/>
      <c r="F789" s="249"/>
      <c r="G789" s="251"/>
      <c r="H789" s="249"/>
      <c r="I789" s="252"/>
      <c r="J789" s="253"/>
      <c r="K789" s="42"/>
      <c r="L789" s="42"/>
      <c r="M789" s="68"/>
      <c r="N789" s="68"/>
    </row>
    <row r="790">
      <c r="A790" s="248"/>
      <c r="B790" s="249"/>
      <c r="C790" s="249"/>
      <c r="D790" s="250"/>
      <c r="E790" s="249"/>
      <c r="F790" s="249"/>
      <c r="G790" s="251"/>
      <c r="H790" s="249"/>
      <c r="I790" s="252"/>
      <c r="J790" s="253"/>
      <c r="K790" s="42"/>
      <c r="L790" s="42"/>
      <c r="M790" s="68"/>
      <c r="N790" s="68"/>
    </row>
    <row r="791">
      <c r="A791" s="248"/>
      <c r="B791" s="249"/>
      <c r="C791" s="249"/>
      <c r="D791" s="250"/>
      <c r="E791" s="249"/>
      <c r="F791" s="249"/>
      <c r="G791" s="251"/>
      <c r="H791" s="249"/>
      <c r="I791" s="252"/>
      <c r="J791" s="253"/>
      <c r="K791" s="42"/>
      <c r="L791" s="42"/>
      <c r="M791" s="68"/>
      <c r="N791" s="68"/>
    </row>
    <row r="792">
      <c r="A792" s="248"/>
      <c r="B792" s="249"/>
      <c r="C792" s="249"/>
      <c r="D792" s="250"/>
      <c r="E792" s="249"/>
      <c r="F792" s="249"/>
      <c r="G792" s="251"/>
      <c r="H792" s="249"/>
      <c r="I792" s="252"/>
      <c r="J792" s="253"/>
      <c r="K792" s="42"/>
      <c r="L792" s="42"/>
      <c r="M792" s="68"/>
      <c r="N792" s="68"/>
    </row>
    <row r="793">
      <c r="A793" s="248"/>
      <c r="B793" s="249"/>
      <c r="C793" s="249"/>
      <c r="D793" s="250"/>
      <c r="E793" s="249"/>
      <c r="F793" s="249"/>
      <c r="G793" s="251"/>
      <c r="H793" s="249"/>
      <c r="I793" s="252"/>
      <c r="J793" s="253"/>
      <c r="K793" s="42"/>
      <c r="L793" s="42"/>
      <c r="M793" s="68"/>
      <c r="N793" s="68"/>
    </row>
    <row r="794">
      <c r="A794" s="248"/>
      <c r="B794" s="249"/>
      <c r="C794" s="249"/>
      <c r="D794" s="250"/>
      <c r="E794" s="249"/>
      <c r="F794" s="249"/>
      <c r="G794" s="251"/>
      <c r="H794" s="249"/>
      <c r="I794" s="252"/>
      <c r="J794" s="253"/>
      <c r="K794" s="42"/>
      <c r="L794" s="42"/>
      <c r="M794" s="68"/>
      <c r="N794" s="68"/>
    </row>
    <row r="795">
      <c r="A795" s="248"/>
      <c r="B795" s="249"/>
      <c r="C795" s="249"/>
      <c r="D795" s="250"/>
      <c r="E795" s="249"/>
      <c r="F795" s="249"/>
      <c r="G795" s="251"/>
      <c r="H795" s="249"/>
      <c r="I795" s="252"/>
      <c r="J795" s="253"/>
      <c r="K795" s="42"/>
      <c r="L795" s="42"/>
      <c r="M795" s="68"/>
      <c r="N795" s="68"/>
    </row>
    <row r="796">
      <c r="A796" s="248"/>
      <c r="B796" s="249"/>
      <c r="C796" s="249"/>
      <c r="D796" s="250"/>
      <c r="E796" s="249"/>
      <c r="F796" s="249"/>
      <c r="G796" s="251"/>
      <c r="H796" s="249"/>
      <c r="I796" s="252"/>
      <c r="J796" s="253"/>
      <c r="K796" s="42"/>
      <c r="L796" s="42"/>
      <c r="M796" s="68"/>
      <c r="N796" s="68"/>
    </row>
    <row r="797">
      <c r="A797" s="248"/>
      <c r="B797" s="249"/>
      <c r="C797" s="249"/>
      <c r="D797" s="250"/>
      <c r="E797" s="249"/>
      <c r="F797" s="249"/>
      <c r="G797" s="251"/>
      <c r="H797" s="249"/>
      <c r="I797" s="252"/>
      <c r="J797" s="253"/>
      <c r="K797" s="42"/>
      <c r="L797" s="42"/>
      <c r="M797" s="68"/>
      <c r="N797" s="68"/>
    </row>
    <row r="798">
      <c r="A798" s="248"/>
      <c r="B798" s="249"/>
      <c r="C798" s="249"/>
      <c r="D798" s="250"/>
      <c r="E798" s="249"/>
      <c r="F798" s="249"/>
      <c r="G798" s="251"/>
      <c r="H798" s="249"/>
      <c r="I798" s="252"/>
      <c r="J798" s="253"/>
      <c r="K798" s="42"/>
      <c r="L798" s="42"/>
      <c r="M798" s="68"/>
      <c r="N798" s="68"/>
    </row>
    <row r="799">
      <c r="A799" s="248"/>
      <c r="B799" s="249"/>
      <c r="C799" s="249"/>
      <c r="D799" s="250"/>
      <c r="E799" s="249"/>
      <c r="F799" s="249"/>
      <c r="G799" s="251"/>
      <c r="H799" s="249"/>
      <c r="I799" s="252"/>
      <c r="J799" s="253"/>
      <c r="K799" s="42"/>
      <c r="L799" s="42"/>
      <c r="M799" s="68"/>
      <c r="N799" s="68"/>
    </row>
    <row r="800">
      <c r="A800" s="248"/>
      <c r="B800" s="249"/>
      <c r="C800" s="249"/>
      <c r="D800" s="250"/>
      <c r="E800" s="249"/>
      <c r="F800" s="249"/>
      <c r="G800" s="251"/>
      <c r="H800" s="249"/>
      <c r="I800" s="252"/>
      <c r="J800" s="253"/>
      <c r="K800" s="42"/>
      <c r="L800" s="42"/>
      <c r="M800" s="68"/>
      <c r="N800" s="68"/>
    </row>
    <row r="801">
      <c r="A801" s="248"/>
      <c r="B801" s="249"/>
      <c r="C801" s="249"/>
      <c r="D801" s="250"/>
      <c r="E801" s="249"/>
      <c r="F801" s="249"/>
      <c r="G801" s="251"/>
      <c r="H801" s="249"/>
      <c r="I801" s="252"/>
      <c r="J801" s="253"/>
      <c r="K801" s="42"/>
      <c r="L801" s="42"/>
      <c r="M801" s="68"/>
      <c r="N801" s="68"/>
    </row>
    <row r="802">
      <c r="A802" s="248"/>
      <c r="B802" s="249"/>
      <c r="C802" s="249"/>
      <c r="D802" s="250"/>
      <c r="E802" s="249"/>
      <c r="F802" s="249"/>
      <c r="G802" s="251"/>
      <c r="H802" s="249"/>
      <c r="I802" s="252"/>
      <c r="J802" s="253"/>
      <c r="K802" s="42"/>
      <c r="L802" s="42"/>
      <c r="M802" s="68"/>
      <c r="N802" s="68"/>
    </row>
    <row r="803">
      <c r="A803" s="248"/>
      <c r="B803" s="249"/>
      <c r="C803" s="249"/>
      <c r="D803" s="250"/>
      <c r="E803" s="249"/>
      <c r="F803" s="249"/>
      <c r="G803" s="251"/>
      <c r="H803" s="249"/>
      <c r="I803" s="252"/>
      <c r="J803" s="253"/>
      <c r="K803" s="42"/>
      <c r="L803" s="42"/>
      <c r="M803" s="68"/>
      <c r="N803" s="68"/>
    </row>
    <row r="804">
      <c r="A804" s="248"/>
      <c r="B804" s="249"/>
      <c r="C804" s="249"/>
      <c r="D804" s="250"/>
      <c r="E804" s="249"/>
      <c r="F804" s="249"/>
      <c r="G804" s="251"/>
      <c r="H804" s="249"/>
      <c r="I804" s="252"/>
      <c r="J804" s="253"/>
      <c r="K804" s="42"/>
      <c r="L804" s="42"/>
      <c r="M804" s="68"/>
      <c r="N804" s="68"/>
    </row>
    <row r="805">
      <c r="A805" s="248"/>
      <c r="B805" s="249"/>
      <c r="C805" s="249"/>
      <c r="D805" s="250"/>
      <c r="E805" s="249"/>
      <c r="F805" s="249"/>
      <c r="G805" s="251"/>
      <c r="H805" s="249"/>
      <c r="I805" s="252"/>
      <c r="J805" s="253"/>
      <c r="K805" s="42"/>
      <c r="L805" s="42"/>
      <c r="M805" s="68"/>
      <c r="N805" s="68"/>
    </row>
    <row r="806">
      <c r="A806" s="248"/>
      <c r="B806" s="249"/>
      <c r="C806" s="249"/>
      <c r="D806" s="250"/>
      <c r="E806" s="249"/>
      <c r="F806" s="249"/>
      <c r="G806" s="251"/>
      <c r="H806" s="249"/>
      <c r="I806" s="252"/>
      <c r="J806" s="253"/>
      <c r="K806" s="42"/>
      <c r="L806" s="42"/>
      <c r="M806" s="68"/>
      <c r="N806" s="68"/>
    </row>
    <row r="807">
      <c r="A807" s="248"/>
      <c r="B807" s="249"/>
      <c r="C807" s="249"/>
      <c r="D807" s="250"/>
      <c r="E807" s="249"/>
      <c r="F807" s="249"/>
      <c r="G807" s="251"/>
      <c r="H807" s="249"/>
      <c r="I807" s="252"/>
      <c r="J807" s="253"/>
      <c r="K807" s="42"/>
      <c r="L807" s="42"/>
      <c r="M807" s="68"/>
      <c r="N807" s="68"/>
    </row>
    <row r="808">
      <c r="A808" s="248"/>
      <c r="B808" s="249"/>
      <c r="C808" s="249"/>
      <c r="D808" s="250"/>
      <c r="E808" s="249"/>
      <c r="F808" s="249"/>
      <c r="G808" s="251"/>
      <c r="H808" s="249"/>
      <c r="I808" s="252"/>
      <c r="J808" s="253"/>
      <c r="K808" s="42"/>
      <c r="L808" s="42"/>
      <c r="M808" s="68"/>
      <c r="N808" s="68"/>
    </row>
    <row r="809">
      <c r="A809" s="248"/>
      <c r="B809" s="249"/>
      <c r="C809" s="249"/>
      <c r="D809" s="250"/>
      <c r="E809" s="249"/>
      <c r="F809" s="249"/>
      <c r="G809" s="251"/>
      <c r="H809" s="249"/>
      <c r="I809" s="252"/>
      <c r="J809" s="253"/>
      <c r="K809" s="42"/>
      <c r="L809" s="42"/>
      <c r="M809" s="68"/>
      <c r="N809" s="68"/>
    </row>
    <row r="810">
      <c r="A810" s="248"/>
      <c r="B810" s="249"/>
      <c r="C810" s="249"/>
      <c r="D810" s="250"/>
      <c r="E810" s="249"/>
      <c r="F810" s="249"/>
      <c r="G810" s="251"/>
      <c r="H810" s="249"/>
      <c r="I810" s="252"/>
      <c r="J810" s="253"/>
      <c r="K810" s="42"/>
      <c r="L810" s="42"/>
      <c r="M810" s="68"/>
      <c r="N810" s="68"/>
    </row>
    <row r="811">
      <c r="A811" s="248"/>
      <c r="B811" s="249"/>
      <c r="C811" s="249"/>
      <c r="D811" s="250"/>
      <c r="E811" s="249"/>
      <c r="F811" s="249"/>
      <c r="G811" s="251"/>
      <c r="H811" s="249"/>
      <c r="I811" s="252"/>
      <c r="J811" s="253"/>
      <c r="K811" s="42"/>
      <c r="L811" s="42"/>
      <c r="M811" s="68"/>
      <c r="N811" s="68"/>
    </row>
    <row r="812">
      <c r="A812" s="248"/>
      <c r="B812" s="249"/>
      <c r="C812" s="249"/>
      <c r="D812" s="250"/>
      <c r="E812" s="249"/>
      <c r="F812" s="249"/>
      <c r="G812" s="251"/>
      <c r="H812" s="249"/>
      <c r="I812" s="252"/>
      <c r="J812" s="253"/>
      <c r="K812" s="42"/>
      <c r="L812" s="42"/>
      <c r="M812" s="68"/>
      <c r="N812" s="68"/>
    </row>
    <row r="813">
      <c r="A813" s="248"/>
      <c r="B813" s="249"/>
      <c r="C813" s="249"/>
      <c r="D813" s="250"/>
      <c r="E813" s="249"/>
      <c r="F813" s="249"/>
      <c r="G813" s="251"/>
      <c r="H813" s="249"/>
      <c r="I813" s="252"/>
      <c r="J813" s="253"/>
      <c r="K813" s="42"/>
      <c r="L813" s="42"/>
      <c r="M813" s="68"/>
      <c r="N813" s="68"/>
    </row>
    <row r="814">
      <c r="A814" s="248"/>
      <c r="B814" s="249"/>
      <c r="C814" s="249"/>
      <c r="D814" s="250"/>
      <c r="E814" s="249"/>
      <c r="F814" s="249"/>
      <c r="G814" s="251"/>
      <c r="H814" s="249"/>
      <c r="I814" s="252"/>
      <c r="J814" s="253"/>
      <c r="K814" s="42"/>
      <c r="L814" s="42"/>
      <c r="M814" s="68"/>
      <c r="N814" s="68"/>
    </row>
    <row r="815">
      <c r="A815" s="248"/>
      <c r="B815" s="249"/>
      <c r="C815" s="249"/>
      <c r="D815" s="250"/>
      <c r="E815" s="249"/>
      <c r="F815" s="249"/>
      <c r="G815" s="251"/>
      <c r="H815" s="249"/>
      <c r="I815" s="252"/>
      <c r="J815" s="253"/>
      <c r="K815" s="42"/>
      <c r="L815" s="42"/>
      <c r="M815" s="68"/>
      <c r="N815" s="68"/>
    </row>
    <row r="816">
      <c r="A816" s="248"/>
      <c r="B816" s="249"/>
      <c r="C816" s="249"/>
      <c r="D816" s="250"/>
      <c r="E816" s="249"/>
      <c r="F816" s="249"/>
      <c r="G816" s="251"/>
      <c r="H816" s="249"/>
      <c r="I816" s="252"/>
      <c r="J816" s="253"/>
      <c r="K816" s="42"/>
      <c r="L816" s="42"/>
      <c r="M816" s="68"/>
      <c r="N816" s="68"/>
    </row>
    <row r="817">
      <c r="A817" s="248"/>
      <c r="B817" s="249"/>
      <c r="C817" s="249"/>
      <c r="D817" s="250"/>
      <c r="E817" s="249"/>
      <c r="F817" s="249"/>
      <c r="G817" s="251"/>
      <c r="H817" s="249"/>
      <c r="I817" s="252"/>
      <c r="J817" s="253"/>
      <c r="K817" s="42"/>
      <c r="L817" s="42"/>
      <c r="M817" s="68"/>
      <c r="N817" s="68"/>
    </row>
    <row r="818">
      <c r="A818" s="248"/>
      <c r="B818" s="249"/>
      <c r="C818" s="249"/>
      <c r="D818" s="250"/>
      <c r="E818" s="249"/>
      <c r="F818" s="249"/>
      <c r="G818" s="251"/>
      <c r="H818" s="249"/>
      <c r="I818" s="252"/>
      <c r="J818" s="253"/>
      <c r="K818" s="42"/>
      <c r="L818" s="42"/>
      <c r="M818" s="68"/>
      <c r="N818" s="68"/>
    </row>
    <row r="819">
      <c r="A819" s="248"/>
      <c r="B819" s="249"/>
      <c r="C819" s="249"/>
      <c r="D819" s="250"/>
      <c r="E819" s="249"/>
      <c r="F819" s="249"/>
      <c r="G819" s="251"/>
      <c r="H819" s="249"/>
      <c r="I819" s="252"/>
      <c r="J819" s="253"/>
      <c r="K819" s="42"/>
      <c r="L819" s="42"/>
      <c r="M819" s="68"/>
      <c r="N819" s="68"/>
    </row>
    <row r="820">
      <c r="A820" s="248"/>
      <c r="B820" s="249"/>
      <c r="C820" s="249"/>
      <c r="D820" s="250"/>
      <c r="E820" s="249"/>
      <c r="F820" s="249"/>
      <c r="G820" s="251"/>
      <c r="H820" s="249"/>
      <c r="I820" s="252"/>
      <c r="J820" s="253"/>
      <c r="K820" s="42"/>
      <c r="L820" s="42"/>
      <c r="M820" s="68"/>
      <c r="N820" s="68"/>
    </row>
    <row r="821">
      <c r="A821" s="248"/>
      <c r="B821" s="249"/>
      <c r="C821" s="249"/>
      <c r="D821" s="250"/>
      <c r="E821" s="249"/>
      <c r="F821" s="249"/>
      <c r="G821" s="251"/>
      <c r="H821" s="249"/>
      <c r="I821" s="252"/>
      <c r="J821" s="253"/>
      <c r="K821" s="42"/>
      <c r="L821" s="42"/>
      <c r="M821" s="68"/>
      <c r="N821" s="68"/>
    </row>
    <row r="822">
      <c r="A822" s="248"/>
      <c r="B822" s="249"/>
      <c r="C822" s="249"/>
      <c r="D822" s="250"/>
      <c r="E822" s="249"/>
      <c r="F822" s="249"/>
      <c r="G822" s="251"/>
      <c r="H822" s="249"/>
      <c r="I822" s="252"/>
      <c r="J822" s="253"/>
      <c r="K822" s="42"/>
      <c r="L822" s="42"/>
      <c r="M822" s="68"/>
      <c r="N822" s="68"/>
    </row>
    <row r="823">
      <c r="A823" s="248"/>
      <c r="B823" s="249"/>
      <c r="C823" s="249"/>
      <c r="D823" s="250"/>
      <c r="E823" s="249"/>
      <c r="F823" s="249"/>
      <c r="G823" s="251"/>
      <c r="H823" s="249"/>
      <c r="I823" s="252"/>
      <c r="J823" s="253"/>
      <c r="K823" s="42"/>
      <c r="L823" s="42"/>
      <c r="M823" s="68"/>
      <c r="N823" s="68"/>
    </row>
    <row r="824">
      <c r="A824" s="248"/>
      <c r="B824" s="249"/>
      <c r="C824" s="249"/>
      <c r="D824" s="250"/>
      <c r="E824" s="249"/>
      <c r="F824" s="249"/>
      <c r="G824" s="251"/>
      <c r="H824" s="249"/>
      <c r="I824" s="252"/>
      <c r="J824" s="253"/>
      <c r="K824" s="42"/>
      <c r="L824" s="42"/>
      <c r="M824" s="68"/>
      <c r="N824" s="68"/>
    </row>
    <row r="825">
      <c r="A825" s="248"/>
      <c r="B825" s="249"/>
      <c r="C825" s="249"/>
      <c r="D825" s="250"/>
      <c r="E825" s="249"/>
      <c r="F825" s="249"/>
      <c r="G825" s="251"/>
      <c r="H825" s="249"/>
      <c r="I825" s="252"/>
      <c r="J825" s="253"/>
      <c r="K825" s="42"/>
      <c r="L825" s="42"/>
      <c r="M825" s="68"/>
      <c r="N825" s="68"/>
    </row>
    <row r="826">
      <c r="A826" s="248"/>
      <c r="B826" s="249"/>
      <c r="C826" s="249"/>
      <c r="D826" s="250"/>
      <c r="E826" s="249"/>
      <c r="F826" s="249"/>
      <c r="G826" s="251"/>
      <c r="H826" s="249"/>
      <c r="I826" s="252"/>
      <c r="J826" s="253"/>
      <c r="K826" s="42"/>
      <c r="L826" s="42"/>
      <c r="M826" s="68"/>
      <c r="N826" s="68"/>
    </row>
    <row r="827">
      <c r="A827" s="248"/>
      <c r="B827" s="249"/>
      <c r="C827" s="249"/>
      <c r="D827" s="250"/>
      <c r="E827" s="249"/>
      <c r="F827" s="249"/>
      <c r="G827" s="251"/>
      <c r="H827" s="249"/>
      <c r="I827" s="252"/>
      <c r="J827" s="253"/>
      <c r="K827" s="42"/>
      <c r="L827" s="42"/>
      <c r="M827" s="68"/>
      <c r="N827" s="68"/>
    </row>
    <row r="828">
      <c r="A828" s="248"/>
      <c r="B828" s="249"/>
      <c r="C828" s="249"/>
      <c r="D828" s="250"/>
      <c r="E828" s="249"/>
      <c r="F828" s="249"/>
      <c r="G828" s="251"/>
      <c r="H828" s="249"/>
      <c r="I828" s="252"/>
      <c r="J828" s="253"/>
      <c r="K828" s="42"/>
      <c r="L828" s="42"/>
      <c r="M828" s="68"/>
      <c r="N828" s="68"/>
    </row>
    <row r="829">
      <c r="A829" s="248"/>
      <c r="B829" s="249"/>
      <c r="C829" s="249"/>
      <c r="D829" s="250"/>
      <c r="E829" s="249"/>
      <c r="F829" s="249"/>
      <c r="G829" s="251"/>
      <c r="H829" s="249"/>
      <c r="I829" s="252"/>
      <c r="J829" s="253"/>
      <c r="K829" s="42"/>
      <c r="L829" s="42"/>
      <c r="M829" s="68"/>
      <c r="N829" s="68"/>
    </row>
    <row r="830">
      <c r="A830" s="248"/>
      <c r="B830" s="249"/>
      <c r="C830" s="249"/>
      <c r="D830" s="250"/>
      <c r="E830" s="249"/>
      <c r="F830" s="249"/>
      <c r="G830" s="251"/>
      <c r="H830" s="249"/>
      <c r="I830" s="252"/>
      <c r="J830" s="253"/>
      <c r="K830" s="42"/>
      <c r="L830" s="42"/>
      <c r="M830" s="68"/>
      <c r="N830" s="68"/>
    </row>
    <row r="831">
      <c r="A831" s="248"/>
      <c r="B831" s="249"/>
      <c r="C831" s="249"/>
      <c r="D831" s="250"/>
      <c r="E831" s="249"/>
      <c r="F831" s="249"/>
      <c r="G831" s="251"/>
      <c r="H831" s="249"/>
      <c r="I831" s="252"/>
      <c r="J831" s="253"/>
      <c r="K831" s="42"/>
      <c r="L831" s="42"/>
      <c r="M831" s="68"/>
      <c r="N831" s="68"/>
    </row>
    <row r="832">
      <c r="A832" s="248"/>
      <c r="B832" s="249"/>
      <c r="C832" s="249"/>
      <c r="D832" s="250"/>
      <c r="E832" s="249"/>
      <c r="F832" s="249"/>
      <c r="G832" s="251"/>
      <c r="H832" s="249"/>
      <c r="I832" s="252"/>
      <c r="J832" s="253"/>
      <c r="K832" s="42"/>
      <c r="L832" s="42"/>
      <c r="M832" s="68"/>
      <c r="N832" s="68"/>
    </row>
    <row r="833">
      <c r="A833" s="248"/>
      <c r="B833" s="249"/>
      <c r="C833" s="249"/>
      <c r="D833" s="250"/>
      <c r="E833" s="249"/>
      <c r="F833" s="249"/>
      <c r="G833" s="251"/>
      <c r="H833" s="249"/>
      <c r="I833" s="252"/>
      <c r="J833" s="253"/>
      <c r="K833" s="42"/>
      <c r="L833" s="42"/>
      <c r="M833" s="68"/>
      <c r="N833" s="68"/>
    </row>
    <row r="834">
      <c r="A834" s="248"/>
      <c r="B834" s="249"/>
      <c r="C834" s="249"/>
      <c r="D834" s="250"/>
      <c r="E834" s="249"/>
      <c r="F834" s="249"/>
      <c r="G834" s="251"/>
      <c r="H834" s="249"/>
      <c r="I834" s="252"/>
      <c r="J834" s="253"/>
      <c r="K834" s="42"/>
      <c r="L834" s="42"/>
      <c r="M834" s="68"/>
      <c r="N834" s="68"/>
    </row>
    <row r="835">
      <c r="A835" s="248"/>
      <c r="B835" s="249"/>
      <c r="C835" s="249"/>
      <c r="D835" s="250"/>
      <c r="E835" s="249"/>
      <c r="F835" s="249"/>
      <c r="G835" s="251"/>
      <c r="H835" s="249"/>
      <c r="I835" s="252"/>
      <c r="J835" s="253"/>
      <c r="K835" s="42"/>
      <c r="L835" s="42"/>
      <c r="M835" s="68"/>
      <c r="N835" s="68"/>
    </row>
    <row r="836">
      <c r="A836" s="248"/>
      <c r="B836" s="249"/>
      <c r="C836" s="249"/>
      <c r="D836" s="250"/>
      <c r="E836" s="249"/>
      <c r="F836" s="249"/>
      <c r="G836" s="251"/>
      <c r="H836" s="249"/>
      <c r="I836" s="252"/>
      <c r="J836" s="253"/>
      <c r="K836" s="42"/>
      <c r="L836" s="42"/>
      <c r="M836" s="68"/>
      <c r="N836" s="68"/>
    </row>
    <row r="837">
      <c r="A837" s="248"/>
      <c r="B837" s="249"/>
      <c r="C837" s="249"/>
      <c r="D837" s="250"/>
      <c r="E837" s="249"/>
      <c r="F837" s="249"/>
      <c r="G837" s="251"/>
      <c r="H837" s="249"/>
      <c r="I837" s="252"/>
      <c r="J837" s="253"/>
      <c r="K837" s="42"/>
      <c r="L837" s="42"/>
      <c r="M837" s="68"/>
      <c r="N837" s="68"/>
    </row>
    <row r="838">
      <c r="A838" s="248"/>
      <c r="B838" s="249"/>
      <c r="C838" s="249"/>
      <c r="D838" s="250"/>
      <c r="E838" s="249"/>
      <c r="F838" s="249"/>
      <c r="G838" s="251"/>
      <c r="H838" s="249"/>
      <c r="I838" s="252"/>
      <c r="J838" s="253"/>
      <c r="K838" s="42"/>
      <c r="L838" s="42"/>
      <c r="M838" s="68"/>
      <c r="N838" s="68"/>
    </row>
    <row r="839">
      <c r="A839" s="248"/>
      <c r="B839" s="249"/>
      <c r="C839" s="249"/>
      <c r="D839" s="250"/>
      <c r="E839" s="249"/>
      <c r="F839" s="249"/>
      <c r="G839" s="251"/>
      <c r="H839" s="249"/>
      <c r="I839" s="252"/>
      <c r="J839" s="253"/>
      <c r="K839" s="42"/>
      <c r="L839" s="42"/>
      <c r="M839" s="68"/>
      <c r="N839" s="68"/>
    </row>
    <row r="840">
      <c r="A840" s="248"/>
      <c r="B840" s="249"/>
      <c r="C840" s="249"/>
      <c r="D840" s="250"/>
      <c r="E840" s="249"/>
      <c r="F840" s="249"/>
      <c r="G840" s="251"/>
      <c r="H840" s="249"/>
      <c r="I840" s="252"/>
      <c r="J840" s="253"/>
      <c r="K840" s="42"/>
      <c r="L840" s="42"/>
      <c r="M840" s="68"/>
      <c r="N840" s="68"/>
    </row>
    <row r="841">
      <c r="A841" s="248"/>
      <c r="B841" s="249"/>
      <c r="C841" s="249"/>
      <c r="D841" s="250"/>
      <c r="E841" s="249"/>
      <c r="F841" s="249"/>
      <c r="G841" s="251"/>
      <c r="H841" s="249"/>
      <c r="I841" s="252"/>
      <c r="J841" s="253"/>
      <c r="K841" s="42"/>
      <c r="L841" s="42"/>
      <c r="M841" s="68"/>
      <c r="N841" s="68"/>
    </row>
    <row r="842">
      <c r="A842" s="248"/>
      <c r="B842" s="249"/>
      <c r="C842" s="249"/>
      <c r="D842" s="250"/>
      <c r="E842" s="249"/>
      <c r="F842" s="249"/>
      <c r="G842" s="251"/>
      <c r="H842" s="249"/>
      <c r="I842" s="252"/>
      <c r="J842" s="253"/>
      <c r="K842" s="42"/>
      <c r="L842" s="42"/>
      <c r="M842" s="68"/>
      <c r="N842" s="68"/>
    </row>
    <row r="843">
      <c r="A843" s="248"/>
      <c r="B843" s="249"/>
      <c r="C843" s="249"/>
      <c r="D843" s="250"/>
      <c r="E843" s="249"/>
      <c r="F843" s="249"/>
      <c r="G843" s="251"/>
      <c r="H843" s="249"/>
      <c r="I843" s="252"/>
      <c r="J843" s="253"/>
      <c r="K843" s="42"/>
      <c r="L843" s="42"/>
      <c r="M843" s="68"/>
      <c r="N843" s="68"/>
    </row>
    <row r="844">
      <c r="A844" s="248"/>
      <c r="B844" s="249"/>
      <c r="C844" s="249"/>
      <c r="D844" s="250"/>
      <c r="E844" s="249"/>
      <c r="F844" s="249"/>
      <c r="G844" s="251"/>
      <c r="H844" s="249"/>
      <c r="I844" s="252"/>
      <c r="J844" s="253"/>
      <c r="K844" s="42"/>
      <c r="L844" s="42"/>
      <c r="M844" s="68"/>
      <c r="N844" s="68"/>
    </row>
    <row r="845">
      <c r="A845" s="248"/>
      <c r="B845" s="249"/>
      <c r="C845" s="249"/>
      <c r="D845" s="250"/>
      <c r="E845" s="249"/>
      <c r="F845" s="249"/>
      <c r="G845" s="251"/>
      <c r="H845" s="249"/>
      <c r="I845" s="252"/>
      <c r="J845" s="253"/>
      <c r="K845" s="42"/>
      <c r="L845" s="42"/>
      <c r="M845" s="68"/>
      <c r="N845" s="68"/>
    </row>
    <row r="846">
      <c r="A846" s="248"/>
      <c r="B846" s="249"/>
      <c r="C846" s="249"/>
      <c r="D846" s="250"/>
      <c r="E846" s="249"/>
      <c r="F846" s="249"/>
      <c r="G846" s="251"/>
      <c r="H846" s="249"/>
      <c r="I846" s="252"/>
      <c r="J846" s="253"/>
      <c r="K846" s="42"/>
      <c r="L846" s="42"/>
      <c r="M846" s="68"/>
      <c r="N846" s="68"/>
    </row>
    <row r="847">
      <c r="A847" s="248"/>
      <c r="B847" s="249"/>
      <c r="C847" s="249"/>
      <c r="D847" s="250"/>
      <c r="E847" s="249"/>
      <c r="F847" s="249"/>
      <c r="G847" s="251"/>
      <c r="H847" s="249"/>
      <c r="I847" s="252"/>
      <c r="J847" s="253"/>
      <c r="K847" s="42"/>
      <c r="L847" s="42"/>
      <c r="M847" s="68"/>
      <c r="N847" s="68"/>
    </row>
    <row r="848">
      <c r="A848" s="248"/>
      <c r="B848" s="249"/>
      <c r="C848" s="249"/>
      <c r="D848" s="250"/>
      <c r="E848" s="249"/>
      <c r="F848" s="249"/>
      <c r="G848" s="251"/>
      <c r="H848" s="249"/>
      <c r="I848" s="252"/>
      <c r="J848" s="253"/>
      <c r="K848" s="42"/>
      <c r="L848" s="42"/>
      <c r="M848" s="68"/>
      <c r="N848" s="68"/>
    </row>
    <row r="849">
      <c r="A849" s="248"/>
      <c r="B849" s="249"/>
      <c r="C849" s="249"/>
      <c r="D849" s="250"/>
      <c r="E849" s="249"/>
      <c r="F849" s="249"/>
      <c r="G849" s="251"/>
      <c r="H849" s="249"/>
      <c r="I849" s="252"/>
      <c r="J849" s="253"/>
      <c r="K849" s="42"/>
      <c r="L849" s="42"/>
      <c r="M849" s="68"/>
      <c r="N849" s="68"/>
    </row>
    <row r="850">
      <c r="A850" s="248"/>
      <c r="B850" s="249"/>
      <c r="C850" s="249"/>
      <c r="D850" s="250"/>
      <c r="E850" s="249"/>
      <c r="F850" s="249"/>
      <c r="G850" s="251"/>
      <c r="H850" s="249"/>
      <c r="I850" s="252"/>
      <c r="J850" s="253"/>
      <c r="K850" s="42"/>
      <c r="L850" s="42"/>
      <c r="M850" s="68"/>
      <c r="N850" s="68"/>
    </row>
    <row r="851">
      <c r="A851" s="248"/>
      <c r="B851" s="249"/>
      <c r="C851" s="249"/>
      <c r="D851" s="250"/>
      <c r="E851" s="249"/>
      <c r="F851" s="249"/>
      <c r="G851" s="251"/>
      <c r="H851" s="249"/>
      <c r="I851" s="252"/>
      <c r="J851" s="253"/>
      <c r="K851" s="42"/>
      <c r="L851" s="42"/>
      <c r="M851" s="68"/>
      <c r="N851" s="68"/>
    </row>
    <row r="852">
      <c r="A852" s="248"/>
      <c r="B852" s="249"/>
      <c r="C852" s="249"/>
      <c r="D852" s="250"/>
      <c r="E852" s="249"/>
      <c r="F852" s="249"/>
      <c r="G852" s="251"/>
      <c r="H852" s="249"/>
      <c r="I852" s="252"/>
      <c r="J852" s="253"/>
      <c r="K852" s="42"/>
      <c r="L852" s="42"/>
      <c r="M852" s="68"/>
      <c r="N852" s="68"/>
    </row>
    <row r="853">
      <c r="A853" s="248"/>
      <c r="B853" s="249"/>
      <c r="C853" s="249"/>
      <c r="D853" s="250"/>
      <c r="E853" s="249"/>
      <c r="F853" s="249"/>
      <c r="G853" s="251"/>
      <c r="H853" s="249"/>
      <c r="I853" s="252"/>
      <c r="J853" s="253"/>
      <c r="K853" s="42"/>
      <c r="L853" s="42"/>
      <c r="M853" s="68"/>
      <c r="N853" s="68"/>
    </row>
    <row r="854">
      <c r="A854" s="248"/>
      <c r="B854" s="249"/>
      <c r="C854" s="249"/>
      <c r="D854" s="250"/>
      <c r="E854" s="249"/>
      <c r="F854" s="249"/>
      <c r="G854" s="251"/>
      <c r="H854" s="249"/>
      <c r="I854" s="252"/>
      <c r="J854" s="253"/>
      <c r="K854" s="42"/>
      <c r="L854" s="42"/>
      <c r="M854" s="68"/>
      <c r="N854" s="68"/>
    </row>
    <row r="855">
      <c r="A855" s="248"/>
      <c r="B855" s="249"/>
      <c r="C855" s="249"/>
      <c r="D855" s="250"/>
      <c r="E855" s="249"/>
      <c r="F855" s="249"/>
      <c r="G855" s="251"/>
      <c r="H855" s="249"/>
      <c r="I855" s="252"/>
      <c r="J855" s="253"/>
      <c r="K855" s="42"/>
      <c r="L855" s="42"/>
      <c r="M855" s="68"/>
      <c r="N855" s="68"/>
    </row>
    <row r="856">
      <c r="A856" s="248"/>
      <c r="B856" s="249"/>
      <c r="C856" s="249"/>
      <c r="D856" s="250"/>
      <c r="E856" s="249"/>
      <c r="F856" s="249"/>
      <c r="G856" s="251"/>
      <c r="H856" s="249"/>
      <c r="I856" s="252"/>
      <c r="J856" s="253"/>
      <c r="K856" s="42"/>
      <c r="L856" s="42"/>
      <c r="M856" s="68"/>
      <c r="N856" s="68"/>
    </row>
    <row r="857">
      <c r="A857" s="248"/>
      <c r="B857" s="249"/>
      <c r="C857" s="249"/>
      <c r="D857" s="250"/>
      <c r="E857" s="249"/>
      <c r="F857" s="249"/>
      <c r="G857" s="251"/>
      <c r="H857" s="249"/>
      <c r="I857" s="252"/>
      <c r="J857" s="253"/>
      <c r="K857" s="42"/>
      <c r="L857" s="42"/>
      <c r="M857" s="68"/>
      <c r="N857" s="68"/>
    </row>
    <row r="858">
      <c r="A858" s="248"/>
      <c r="B858" s="249"/>
      <c r="C858" s="249"/>
      <c r="D858" s="250"/>
      <c r="E858" s="249"/>
      <c r="F858" s="249"/>
      <c r="G858" s="251"/>
      <c r="H858" s="249"/>
      <c r="I858" s="252"/>
      <c r="J858" s="253"/>
      <c r="K858" s="42"/>
      <c r="L858" s="42"/>
      <c r="M858" s="68"/>
      <c r="N858" s="68"/>
    </row>
    <row r="859">
      <c r="A859" s="248"/>
      <c r="B859" s="249"/>
      <c r="C859" s="249"/>
      <c r="D859" s="250"/>
      <c r="E859" s="249"/>
      <c r="F859" s="249"/>
      <c r="G859" s="251"/>
      <c r="H859" s="249"/>
      <c r="I859" s="252"/>
      <c r="J859" s="253"/>
      <c r="K859" s="42"/>
      <c r="L859" s="42"/>
      <c r="M859" s="68"/>
      <c r="N859" s="68"/>
    </row>
    <row r="860">
      <c r="A860" s="248"/>
      <c r="B860" s="249"/>
      <c r="C860" s="249"/>
      <c r="D860" s="250"/>
      <c r="E860" s="249"/>
      <c r="F860" s="249"/>
      <c r="G860" s="251"/>
      <c r="H860" s="249"/>
      <c r="I860" s="252"/>
      <c r="J860" s="253"/>
      <c r="K860" s="42"/>
      <c r="L860" s="42"/>
      <c r="M860" s="68"/>
      <c r="N860" s="68"/>
    </row>
    <row r="861">
      <c r="A861" s="248"/>
      <c r="B861" s="249"/>
      <c r="C861" s="249"/>
      <c r="D861" s="250"/>
      <c r="E861" s="249"/>
      <c r="F861" s="249"/>
      <c r="G861" s="251"/>
      <c r="H861" s="249"/>
      <c r="I861" s="252"/>
      <c r="J861" s="253"/>
      <c r="K861" s="42"/>
      <c r="L861" s="42"/>
      <c r="M861" s="68"/>
      <c r="N861" s="68"/>
    </row>
    <row r="862">
      <c r="A862" s="248"/>
      <c r="B862" s="249"/>
      <c r="C862" s="249"/>
      <c r="D862" s="250"/>
      <c r="E862" s="249"/>
      <c r="F862" s="249"/>
      <c r="G862" s="251"/>
      <c r="H862" s="249"/>
      <c r="I862" s="252"/>
      <c r="J862" s="253"/>
      <c r="K862" s="42"/>
      <c r="L862" s="42"/>
      <c r="M862" s="68"/>
      <c r="N862" s="68"/>
    </row>
    <row r="863">
      <c r="A863" s="248"/>
      <c r="B863" s="249"/>
      <c r="C863" s="249"/>
      <c r="D863" s="250"/>
      <c r="E863" s="249"/>
      <c r="F863" s="249"/>
      <c r="G863" s="251"/>
      <c r="H863" s="249"/>
      <c r="I863" s="252"/>
      <c r="J863" s="253"/>
      <c r="K863" s="42"/>
      <c r="L863" s="42"/>
      <c r="M863" s="68"/>
      <c r="N863" s="68"/>
    </row>
    <row r="864">
      <c r="A864" s="248"/>
      <c r="B864" s="249"/>
      <c r="C864" s="249"/>
      <c r="D864" s="250"/>
      <c r="E864" s="249"/>
      <c r="F864" s="249"/>
      <c r="G864" s="251"/>
      <c r="H864" s="249"/>
      <c r="I864" s="252"/>
      <c r="J864" s="253"/>
      <c r="K864" s="42"/>
      <c r="L864" s="42"/>
      <c r="M864" s="68"/>
      <c r="N864" s="68"/>
    </row>
    <row r="865">
      <c r="A865" s="248"/>
      <c r="B865" s="249"/>
      <c r="C865" s="249"/>
      <c r="D865" s="250"/>
      <c r="E865" s="249"/>
      <c r="F865" s="249"/>
      <c r="G865" s="251"/>
      <c r="H865" s="249"/>
      <c r="I865" s="252"/>
      <c r="J865" s="253"/>
      <c r="K865" s="42"/>
      <c r="L865" s="42"/>
      <c r="M865" s="68"/>
      <c r="N865" s="68"/>
    </row>
    <row r="866">
      <c r="A866" s="248"/>
      <c r="B866" s="249"/>
      <c r="C866" s="249"/>
      <c r="D866" s="250"/>
      <c r="E866" s="249"/>
      <c r="F866" s="249"/>
      <c r="G866" s="251"/>
      <c r="H866" s="249"/>
      <c r="I866" s="252"/>
      <c r="J866" s="253"/>
      <c r="K866" s="42"/>
      <c r="L866" s="42"/>
      <c r="M866" s="68"/>
      <c r="N866" s="68"/>
    </row>
    <row r="867">
      <c r="A867" s="248"/>
      <c r="B867" s="249"/>
      <c r="C867" s="249"/>
      <c r="D867" s="250"/>
      <c r="E867" s="249"/>
      <c r="F867" s="249"/>
      <c r="G867" s="251"/>
      <c r="H867" s="249"/>
      <c r="I867" s="252"/>
      <c r="J867" s="253"/>
      <c r="K867" s="42"/>
      <c r="L867" s="42"/>
      <c r="M867" s="68"/>
      <c r="N867" s="68"/>
    </row>
    <row r="868">
      <c r="A868" s="248"/>
      <c r="B868" s="249"/>
      <c r="C868" s="249"/>
      <c r="D868" s="250"/>
      <c r="E868" s="249"/>
      <c r="F868" s="249"/>
      <c r="G868" s="251"/>
      <c r="H868" s="249"/>
      <c r="I868" s="252"/>
      <c r="J868" s="253"/>
      <c r="K868" s="42"/>
      <c r="L868" s="42"/>
      <c r="M868" s="68"/>
      <c r="N868" s="68"/>
    </row>
    <row r="869">
      <c r="A869" s="248"/>
      <c r="B869" s="249"/>
      <c r="C869" s="249"/>
      <c r="D869" s="250"/>
      <c r="E869" s="249"/>
      <c r="F869" s="249"/>
      <c r="G869" s="251"/>
      <c r="H869" s="249"/>
      <c r="I869" s="252"/>
      <c r="J869" s="253"/>
      <c r="K869" s="42"/>
      <c r="L869" s="42"/>
      <c r="M869" s="68"/>
      <c r="N869" s="68"/>
    </row>
    <row r="870">
      <c r="A870" s="248"/>
      <c r="B870" s="249"/>
      <c r="C870" s="249"/>
      <c r="D870" s="250"/>
      <c r="E870" s="249"/>
      <c r="F870" s="249"/>
      <c r="G870" s="251"/>
      <c r="H870" s="249"/>
      <c r="I870" s="252"/>
      <c r="J870" s="253"/>
      <c r="K870" s="42"/>
      <c r="L870" s="42"/>
      <c r="M870" s="68"/>
      <c r="N870" s="68"/>
    </row>
    <row r="871">
      <c r="A871" s="248"/>
      <c r="B871" s="249"/>
      <c r="C871" s="249"/>
      <c r="D871" s="250"/>
      <c r="E871" s="249"/>
      <c r="F871" s="249"/>
      <c r="G871" s="251"/>
      <c r="H871" s="249"/>
      <c r="I871" s="252"/>
      <c r="J871" s="253"/>
      <c r="K871" s="42"/>
      <c r="L871" s="42"/>
      <c r="M871" s="68"/>
      <c r="N871" s="68"/>
    </row>
    <row r="872">
      <c r="A872" s="248"/>
      <c r="B872" s="249"/>
      <c r="C872" s="249"/>
      <c r="D872" s="250"/>
      <c r="E872" s="249"/>
      <c r="F872" s="249"/>
      <c r="G872" s="251"/>
      <c r="H872" s="249"/>
      <c r="I872" s="252"/>
      <c r="J872" s="253"/>
      <c r="K872" s="42"/>
      <c r="L872" s="42"/>
      <c r="M872" s="68"/>
      <c r="N872" s="68"/>
    </row>
    <row r="873">
      <c r="A873" s="248"/>
      <c r="B873" s="249"/>
      <c r="C873" s="249"/>
      <c r="D873" s="250"/>
      <c r="E873" s="249"/>
      <c r="F873" s="249"/>
      <c r="G873" s="251"/>
      <c r="H873" s="249"/>
      <c r="I873" s="252"/>
      <c r="J873" s="253"/>
      <c r="K873" s="42"/>
      <c r="L873" s="42"/>
      <c r="M873" s="68"/>
      <c r="N873" s="68"/>
    </row>
    <row r="874">
      <c r="A874" s="248"/>
      <c r="B874" s="249"/>
      <c r="C874" s="249"/>
      <c r="D874" s="250"/>
      <c r="E874" s="249"/>
      <c r="F874" s="249"/>
      <c r="G874" s="251"/>
      <c r="H874" s="249"/>
      <c r="I874" s="252"/>
      <c r="J874" s="253"/>
      <c r="K874" s="42"/>
      <c r="L874" s="42"/>
      <c r="M874" s="68"/>
      <c r="N874" s="68"/>
    </row>
    <row r="875">
      <c r="A875" s="248"/>
      <c r="B875" s="249"/>
      <c r="C875" s="249"/>
      <c r="D875" s="250"/>
      <c r="E875" s="249"/>
      <c r="F875" s="249"/>
      <c r="G875" s="251"/>
      <c r="H875" s="249"/>
      <c r="I875" s="252"/>
      <c r="J875" s="253"/>
      <c r="K875" s="42"/>
      <c r="L875" s="42"/>
      <c r="M875" s="68"/>
      <c r="N875" s="68"/>
    </row>
    <row r="876">
      <c r="A876" s="248"/>
      <c r="B876" s="249"/>
      <c r="C876" s="249"/>
      <c r="D876" s="250"/>
      <c r="E876" s="249"/>
      <c r="F876" s="249"/>
      <c r="G876" s="251"/>
      <c r="H876" s="249"/>
      <c r="I876" s="252"/>
      <c r="J876" s="253"/>
      <c r="K876" s="42"/>
      <c r="L876" s="42"/>
      <c r="M876" s="68"/>
      <c r="N876" s="68"/>
    </row>
    <row r="877">
      <c r="A877" s="248"/>
      <c r="B877" s="249"/>
      <c r="C877" s="249"/>
      <c r="D877" s="250"/>
      <c r="E877" s="249"/>
      <c r="F877" s="249"/>
      <c r="G877" s="251"/>
      <c r="H877" s="249"/>
      <c r="I877" s="252"/>
      <c r="J877" s="253"/>
      <c r="K877" s="42"/>
      <c r="L877" s="42"/>
      <c r="M877" s="68"/>
      <c r="N877" s="68"/>
    </row>
    <row r="878">
      <c r="A878" s="248"/>
      <c r="B878" s="249"/>
      <c r="C878" s="249"/>
      <c r="D878" s="250"/>
      <c r="E878" s="249"/>
      <c r="F878" s="249"/>
      <c r="G878" s="251"/>
      <c r="H878" s="249"/>
      <c r="I878" s="252"/>
      <c r="J878" s="253"/>
      <c r="K878" s="42"/>
      <c r="L878" s="42"/>
      <c r="M878" s="68"/>
      <c r="N878" s="68"/>
    </row>
    <row r="879">
      <c r="A879" s="248"/>
      <c r="B879" s="249"/>
      <c r="C879" s="249"/>
      <c r="D879" s="250"/>
      <c r="E879" s="249"/>
      <c r="F879" s="249"/>
      <c r="G879" s="251"/>
      <c r="H879" s="249"/>
      <c r="I879" s="252"/>
      <c r="J879" s="253"/>
      <c r="K879" s="42"/>
      <c r="L879" s="42"/>
      <c r="M879" s="68"/>
      <c r="N879" s="68"/>
    </row>
    <row r="880">
      <c r="A880" s="248"/>
      <c r="B880" s="249"/>
      <c r="C880" s="249"/>
      <c r="D880" s="250"/>
      <c r="E880" s="249"/>
      <c r="F880" s="249"/>
      <c r="G880" s="251"/>
      <c r="H880" s="249"/>
      <c r="I880" s="252"/>
      <c r="J880" s="253"/>
      <c r="K880" s="42"/>
      <c r="L880" s="42"/>
      <c r="M880" s="68"/>
      <c r="N880" s="68"/>
    </row>
    <row r="881">
      <c r="A881" s="248"/>
      <c r="B881" s="249"/>
      <c r="C881" s="249"/>
      <c r="D881" s="250"/>
      <c r="E881" s="249"/>
      <c r="F881" s="249"/>
      <c r="G881" s="251"/>
      <c r="H881" s="249"/>
      <c r="I881" s="252"/>
      <c r="J881" s="253"/>
      <c r="K881" s="42"/>
      <c r="L881" s="42"/>
      <c r="M881" s="68"/>
      <c r="N881" s="68"/>
    </row>
    <row r="882">
      <c r="A882" s="248"/>
      <c r="B882" s="249"/>
      <c r="C882" s="249"/>
      <c r="D882" s="250"/>
      <c r="E882" s="249"/>
      <c r="F882" s="249"/>
      <c r="G882" s="251"/>
      <c r="H882" s="249"/>
      <c r="I882" s="252"/>
      <c r="J882" s="253"/>
      <c r="K882" s="42"/>
      <c r="L882" s="42"/>
      <c r="M882" s="68"/>
      <c r="N882" s="68"/>
    </row>
    <row r="883">
      <c r="A883" s="248"/>
      <c r="B883" s="249"/>
      <c r="C883" s="249"/>
      <c r="D883" s="250"/>
      <c r="E883" s="249"/>
      <c r="F883" s="249"/>
      <c r="G883" s="251"/>
      <c r="H883" s="249"/>
      <c r="I883" s="252"/>
      <c r="J883" s="253"/>
      <c r="K883" s="42"/>
      <c r="L883" s="42"/>
      <c r="M883" s="68"/>
      <c r="N883" s="68"/>
    </row>
    <row r="884">
      <c r="A884" s="248"/>
      <c r="B884" s="249"/>
      <c r="C884" s="249"/>
      <c r="D884" s="250"/>
      <c r="E884" s="249"/>
      <c r="F884" s="249"/>
      <c r="G884" s="251"/>
      <c r="H884" s="249"/>
      <c r="I884" s="252"/>
      <c r="J884" s="253"/>
      <c r="K884" s="42"/>
      <c r="L884" s="42"/>
      <c r="M884" s="68"/>
      <c r="N884" s="68"/>
    </row>
    <row r="885">
      <c r="A885" s="248"/>
      <c r="B885" s="249"/>
      <c r="C885" s="249"/>
      <c r="D885" s="250"/>
      <c r="E885" s="249"/>
      <c r="F885" s="249"/>
      <c r="G885" s="251"/>
      <c r="H885" s="249"/>
      <c r="I885" s="252"/>
      <c r="J885" s="253"/>
      <c r="K885" s="42"/>
      <c r="L885" s="42"/>
      <c r="M885" s="68"/>
      <c r="N885" s="68"/>
    </row>
    <row r="886">
      <c r="A886" s="248"/>
      <c r="B886" s="249"/>
      <c r="C886" s="249"/>
      <c r="D886" s="250"/>
      <c r="E886" s="249"/>
      <c r="F886" s="249"/>
      <c r="G886" s="251"/>
      <c r="H886" s="249"/>
      <c r="I886" s="252"/>
      <c r="J886" s="253"/>
      <c r="K886" s="42"/>
      <c r="L886" s="42"/>
      <c r="M886" s="68"/>
      <c r="N886" s="68"/>
    </row>
    <row r="887">
      <c r="A887" s="248"/>
      <c r="B887" s="249"/>
      <c r="C887" s="249"/>
      <c r="D887" s="250"/>
      <c r="E887" s="249"/>
      <c r="F887" s="249"/>
      <c r="G887" s="251"/>
      <c r="H887" s="249"/>
      <c r="I887" s="252"/>
      <c r="J887" s="253"/>
      <c r="K887" s="42"/>
      <c r="L887" s="42"/>
      <c r="M887" s="68"/>
      <c r="N887" s="68"/>
    </row>
    <row r="888">
      <c r="A888" s="248"/>
      <c r="B888" s="249"/>
      <c r="C888" s="249"/>
      <c r="D888" s="250"/>
      <c r="E888" s="249"/>
      <c r="F888" s="249"/>
      <c r="G888" s="251"/>
      <c r="H888" s="249"/>
      <c r="I888" s="252"/>
      <c r="J888" s="253"/>
      <c r="K888" s="42"/>
      <c r="L888" s="42"/>
      <c r="M888" s="68"/>
      <c r="N888" s="68"/>
    </row>
    <row r="889">
      <c r="A889" s="248"/>
      <c r="B889" s="249"/>
      <c r="C889" s="249"/>
      <c r="D889" s="250"/>
      <c r="E889" s="249"/>
      <c r="F889" s="249"/>
      <c r="G889" s="251"/>
      <c r="H889" s="249"/>
      <c r="I889" s="252"/>
      <c r="J889" s="253"/>
      <c r="K889" s="42"/>
      <c r="L889" s="42"/>
      <c r="M889" s="68"/>
      <c r="N889" s="68"/>
    </row>
    <row r="890">
      <c r="A890" s="248"/>
      <c r="B890" s="249"/>
      <c r="C890" s="249"/>
      <c r="D890" s="250"/>
      <c r="E890" s="249"/>
      <c r="F890" s="249"/>
      <c r="G890" s="251"/>
      <c r="H890" s="249"/>
      <c r="I890" s="252"/>
      <c r="J890" s="253"/>
      <c r="K890" s="42"/>
      <c r="L890" s="42"/>
      <c r="M890" s="68"/>
      <c r="N890" s="68"/>
    </row>
    <row r="891">
      <c r="A891" s="248"/>
      <c r="B891" s="249"/>
      <c r="C891" s="249"/>
      <c r="D891" s="250"/>
      <c r="E891" s="249"/>
      <c r="F891" s="249"/>
      <c r="G891" s="251"/>
      <c r="H891" s="249"/>
      <c r="I891" s="252"/>
      <c r="J891" s="253"/>
      <c r="K891" s="42"/>
      <c r="L891" s="42"/>
      <c r="M891" s="68"/>
      <c r="N891" s="68"/>
    </row>
    <row r="892">
      <c r="A892" s="248"/>
      <c r="B892" s="249"/>
      <c r="C892" s="249"/>
      <c r="D892" s="250"/>
      <c r="E892" s="249"/>
      <c r="F892" s="249"/>
      <c r="G892" s="251"/>
      <c r="H892" s="249"/>
      <c r="I892" s="252"/>
      <c r="J892" s="253"/>
      <c r="K892" s="42"/>
      <c r="L892" s="42"/>
      <c r="M892" s="68"/>
      <c r="N892" s="68"/>
    </row>
    <row r="893">
      <c r="A893" s="248"/>
      <c r="B893" s="249"/>
      <c r="C893" s="249"/>
      <c r="D893" s="250"/>
      <c r="E893" s="249"/>
      <c r="F893" s="249"/>
      <c r="G893" s="251"/>
      <c r="H893" s="249"/>
      <c r="I893" s="252"/>
      <c r="J893" s="253"/>
      <c r="K893" s="42"/>
      <c r="L893" s="42"/>
      <c r="M893" s="68"/>
      <c r="N893" s="68"/>
    </row>
    <row r="894">
      <c r="A894" s="248"/>
      <c r="B894" s="249"/>
      <c r="C894" s="249"/>
      <c r="D894" s="250"/>
      <c r="E894" s="249"/>
      <c r="F894" s="249"/>
      <c r="G894" s="251"/>
      <c r="H894" s="249"/>
      <c r="I894" s="252"/>
      <c r="J894" s="253"/>
      <c r="K894" s="42"/>
      <c r="L894" s="42"/>
      <c r="M894" s="68"/>
      <c r="N894" s="68"/>
    </row>
    <row r="895">
      <c r="A895" s="248"/>
      <c r="B895" s="249"/>
      <c r="C895" s="249"/>
      <c r="D895" s="250"/>
      <c r="E895" s="249"/>
      <c r="F895" s="249"/>
      <c r="G895" s="251"/>
      <c r="H895" s="249"/>
      <c r="I895" s="252"/>
      <c r="J895" s="253"/>
      <c r="K895" s="42"/>
      <c r="L895" s="42"/>
      <c r="M895" s="68"/>
      <c r="N895" s="68"/>
    </row>
    <row r="896">
      <c r="A896" s="248"/>
      <c r="B896" s="249"/>
      <c r="C896" s="249"/>
      <c r="D896" s="250"/>
      <c r="E896" s="249"/>
      <c r="F896" s="249"/>
      <c r="G896" s="251"/>
      <c r="H896" s="249"/>
      <c r="I896" s="252"/>
      <c r="J896" s="253"/>
      <c r="K896" s="42"/>
      <c r="L896" s="42"/>
      <c r="M896" s="68"/>
      <c r="N896" s="68"/>
    </row>
    <row r="897">
      <c r="A897" s="248"/>
      <c r="B897" s="249"/>
      <c r="C897" s="249"/>
      <c r="D897" s="250"/>
      <c r="E897" s="249"/>
      <c r="F897" s="249"/>
      <c r="G897" s="251"/>
      <c r="H897" s="249"/>
      <c r="I897" s="252"/>
      <c r="J897" s="253"/>
      <c r="K897" s="42"/>
      <c r="L897" s="42"/>
      <c r="M897" s="68"/>
      <c r="N897" s="68"/>
    </row>
    <row r="898">
      <c r="A898" s="248"/>
      <c r="B898" s="249"/>
      <c r="C898" s="249"/>
      <c r="D898" s="250"/>
      <c r="E898" s="249"/>
      <c r="F898" s="249"/>
      <c r="G898" s="251"/>
      <c r="H898" s="249"/>
      <c r="I898" s="252"/>
      <c r="J898" s="253"/>
      <c r="K898" s="42"/>
      <c r="L898" s="42"/>
      <c r="M898" s="68"/>
      <c r="N898" s="68"/>
    </row>
    <row r="899">
      <c r="A899" s="248"/>
      <c r="B899" s="249"/>
      <c r="C899" s="249"/>
      <c r="D899" s="250"/>
      <c r="E899" s="249"/>
      <c r="F899" s="249"/>
      <c r="G899" s="251"/>
      <c r="H899" s="249"/>
      <c r="I899" s="252"/>
      <c r="J899" s="253"/>
      <c r="K899" s="42"/>
      <c r="L899" s="42"/>
      <c r="M899" s="68"/>
      <c r="N899" s="68"/>
    </row>
    <row r="900">
      <c r="A900" s="248"/>
      <c r="B900" s="249"/>
      <c r="C900" s="249"/>
      <c r="D900" s="250"/>
      <c r="E900" s="249"/>
      <c r="F900" s="249"/>
      <c r="G900" s="251"/>
      <c r="H900" s="249"/>
      <c r="I900" s="252"/>
      <c r="J900" s="253"/>
      <c r="K900" s="42"/>
      <c r="L900" s="42"/>
      <c r="M900" s="68"/>
      <c r="N900" s="68"/>
    </row>
    <row r="901">
      <c r="A901" s="248"/>
      <c r="B901" s="249"/>
      <c r="C901" s="249"/>
      <c r="D901" s="250"/>
      <c r="E901" s="249"/>
      <c r="F901" s="249"/>
      <c r="G901" s="251"/>
      <c r="H901" s="249"/>
      <c r="I901" s="252"/>
      <c r="J901" s="253"/>
      <c r="K901" s="42"/>
      <c r="L901" s="42"/>
      <c r="M901" s="68"/>
      <c r="N901" s="68"/>
    </row>
    <row r="902">
      <c r="A902" s="248"/>
      <c r="B902" s="249"/>
      <c r="C902" s="249"/>
      <c r="D902" s="250"/>
      <c r="E902" s="249"/>
      <c r="F902" s="249"/>
      <c r="G902" s="251"/>
      <c r="H902" s="249"/>
      <c r="I902" s="252"/>
      <c r="J902" s="253"/>
      <c r="K902" s="42"/>
      <c r="L902" s="42"/>
      <c r="M902" s="68"/>
      <c r="N902" s="68"/>
    </row>
    <row r="903">
      <c r="A903" s="248"/>
      <c r="B903" s="249"/>
      <c r="C903" s="249"/>
      <c r="D903" s="250"/>
      <c r="E903" s="249"/>
      <c r="F903" s="249"/>
      <c r="G903" s="251"/>
      <c r="H903" s="249"/>
      <c r="I903" s="252"/>
      <c r="J903" s="253"/>
      <c r="K903" s="42"/>
      <c r="L903" s="42"/>
      <c r="M903" s="68"/>
      <c r="N903" s="68"/>
    </row>
    <row r="904">
      <c r="A904" s="248"/>
      <c r="B904" s="249"/>
      <c r="C904" s="249"/>
      <c r="D904" s="250"/>
      <c r="E904" s="249"/>
      <c r="F904" s="249"/>
      <c r="G904" s="251"/>
      <c r="H904" s="249"/>
      <c r="I904" s="252"/>
      <c r="J904" s="253"/>
      <c r="K904" s="42"/>
      <c r="L904" s="42"/>
      <c r="M904" s="68"/>
      <c r="N904" s="68"/>
    </row>
    <row r="905">
      <c r="A905" s="248"/>
      <c r="B905" s="249"/>
      <c r="C905" s="249"/>
      <c r="D905" s="250"/>
      <c r="E905" s="249"/>
      <c r="F905" s="249"/>
      <c r="G905" s="251"/>
      <c r="H905" s="249"/>
      <c r="I905" s="252"/>
      <c r="J905" s="253"/>
      <c r="K905" s="42"/>
      <c r="L905" s="42"/>
      <c r="M905" s="68"/>
      <c r="N905" s="68"/>
    </row>
    <row r="906">
      <c r="A906" s="248"/>
      <c r="B906" s="249"/>
      <c r="C906" s="249"/>
      <c r="D906" s="250"/>
      <c r="E906" s="249"/>
      <c r="F906" s="249"/>
      <c r="G906" s="251"/>
      <c r="H906" s="249"/>
      <c r="I906" s="252"/>
      <c r="J906" s="253"/>
      <c r="K906" s="42"/>
      <c r="L906" s="42"/>
      <c r="M906" s="68"/>
      <c r="N906" s="68"/>
    </row>
    <row r="907">
      <c r="A907" s="248"/>
      <c r="B907" s="249"/>
      <c r="C907" s="249"/>
      <c r="D907" s="250"/>
      <c r="E907" s="249"/>
      <c r="F907" s="249"/>
      <c r="G907" s="251"/>
      <c r="H907" s="249"/>
      <c r="I907" s="252"/>
      <c r="J907" s="253"/>
      <c r="K907" s="42"/>
      <c r="L907" s="42"/>
      <c r="M907" s="68"/>
      <c r="N907" s="68"/>
    </row>
    <row r="908">
      <c r="A908" s="248"/>
      <c r="B908" s="249"/>
      <c r="C908" s="249"/>
      <c r="D908" s="250"/>
      <c r="E908" s="249"/>
      <c r="F908" s="249"/>
      <c r="G908" s="251"/>
      <c r="H908" s="249"/>
      <c r="I908" s="252"/>
      <c r="J908" s="253"/>
      <c r="K908" s="42"/>
      <c r="L908" s="42"/>
      <c r="M908" s="68"/>
      <c r="N908" s="68"/>
    </row>
    <row r="909">
      <c r="A909" s="248"/>
      <c r="B909" s="249"/>
      <c r="C909" s="249"/>
      <c r="D909" s="250"/>
      <c r="E909" s="249"/>
      <c r="F909" s="249"/>
      <c r="G909" s="251"/>
      <c r="H909" s="249"/>
      <c r="I909" s="252"/>
      <c r="J909" s="253"/>
      <c r="K909" s="42"/>
      <c r="L909" s="42"/>
      <c r="M909" s="68"/>
      <c r="N909" s="68"/>
    </row>
    <row r="910">
      <c r="A910" s="248"/>
      <c r="B910" s="249"/>
      <c r="C910" s="249"/>
      <c r="D910" s="250"/>
      <c r="E910" s="249"/>
      <c r="F910" s="249"/>
      <c r="G910" s="251"/>
      <c r="H910" s="249"/>
      <c r="I910" s="252"/>
      <c r="J910" s="253"/>
      <c r="K910" s="42"/>
      <c r="L910" s="42"/>
      <c r="M910" s="68"/>
      <c r="N910" s="68"/>
    </row>
    <row r="911">
      <c r="A911" s="248"/>
      <c r="B911" s="249"/>
      <c r="C911" s="249"/>
      <c r="D911" s="250"/>
      <c r="E911" s="249"/>
      <c r="F911" s="249"/>
      <c r="G911" s="251"/>
      <c r="H911" s="249"/>
      <c r="I911" s="252"/>
      <c r="J911" s="253"/>
      <c r="K911" s="42"/>
      <c r="L911" s="42"/>
      <c r="M911" s="68"/>
      <c r="N911" s="68"/>
    </row>
    <row r="912">
      <c r="A912" s="248"/>
      <c r="B912" s="249"/>
      <c r="C912" s="249"/>
      <c r="D912" s="250"/>
      <c r="E912" s="249"/>
      <c r="F912" s="249"/>
      <c r="G912" s="251"/>
      <c r="H912" s="249"/>
      <c r="I912" s="252"/>
      <c r="J912" s="253"/>
      <c r="K912" s="42"/>
      <c r="L912" s="42"/>
      <c r="M912" s="68"/>
      <c r="N912" s="68"/>
    </row>
    <row r="913">
      <c r="A913" s="248"/>
      <c r="B913" s="249"/>
      <c r="C913" s="249"/>
      <c r="D913" s="250"/>
      <c r="E913" s="249"/>
      <c r="F913" s="249"/>
      <c r="G913" s="251"/>
      <c r="H913" s="249"/>
      <c r="I913" s="252"/>
      <c r="J913" s="253"/>
      <c r="K913" s="42"/>
      <c r="L913" s="42"/>
      <c r="M913" s="68"/>
      <c r="N913" s="68"/>
    </row>
    <row r="914">
      <c r="A914" s="248"/>
      <c r="B914" s="249"/>
      <c r="C914" s="249"/>
      <c r="D914" s="250"/>
      <c r="E914" s="249"/>
      <c r="F914" s="249"/>
      <c r="G914" s="251"/>
      <c r="H914" s="249"/>
      <c r="I914" s="252"/>
      <c r="J914" s="253"/>
      <c r="K914" s="42"/>
      <c r="L914" s="42"/>
      <c r="M914" s="68"/>
      <c r="N914" s="68"/>
    </row>
    <row r="915">
      <c r="A915" s="248"/>
      <c r="B915" s="249"/>
      <c r="C915" s="249"/>
      <c r="D915" s="250"/>
      <c r="E915" s="249"/>
      <c r="F915" s="249"/>
      <c r="G915" s="251"/>
      <c r="H915" s="249"/>
      <c r="I915" s="252"/>
      <c r="J915" s="253"/>
      <c r="K915" s="42"/>
      <c r="L915" s="42"/>
      <c r="M915" s="68"/>
      <c r="N915" s="68"/>
    </row>
    <row r="916">
      <c r="A916" s="248"/>
      <c r="B916" s="249"/>
      <c r="C916" s="249"/>
      <c r="D916" s="250"/>
      <c r="E916" s="249"/>
      <c r="F916" s="249"/>
      <c r="G916" s="251"/>
      <c r="H916" s="249"/>
      <c r="I916" s="252"/>
      <c r="J916" s="253"/>
      <c r="K916" s="42"/>
      <c r="L916" s="42"/>
      <c r="M916" s="68"/>
      <c r="N916" s="68"/>
    </row>
    <row r="917">
      <c r="A917" s="248"/>
      <c r="B917" s="249"/>
      <c r="C917" s="249"/>
      <c r="D917" s="250"/>
      <c r="E917" s="249"/>
      <c r="F917" s="249"/>
      <c r="G917" s="251"/>
      <c r="H917" s="249"/>
      <c r="I917" s="252"/>
      <c r="J917" s="253"/>
      <c r="K917" s="42"/>
      <c r="L917" s="42"/>
      <c r="M917" s="68"/>
      <c r="N917" s="68"/>
    </row>
    <row r="918">
      <c r="A918" s="248"/>
      <c r="B918" s="249"/>
      <c r="C918" s="249"/>
      <c r="D918" s="250"/>
      <c r="E918" s="249"/>
      <c r="F918" s="249"/>
      <c r="G918" s="251"/>
      <c r="H918" s="249"/>
      <c r="I918" s="252"/>
      <c r="J918" s="253"/>
      <c r="K918" s="42"/>
      <c r="L918" s="42"/>
      <c r="M918" s="68"/>
      <c r="N918" s="68"/>
    </row>
    <row r="919">
      <c r="A919" s="248"/>
      <c r="B919" s="249"/>
      <c r="C919" s="249"/>
      <c r="D919" s="250"/>
      <c r="E919" s="249"/>
      <c r="F919" s="249"/>
      <c r="G919" s="251"/>
      <c r="H919" s="249"/>
      <c r="I919" s="252"/>
      <c r="J919" s="253"/>
      <c r="K919" s="42"/>
      <c r="L919" s="42"/>
      <c r="M919" s="68"/>
      <c r="N919" s="68"/>
    </row>
    <row r="920">
      <c r="A920" s="248"/>
      <c r="B920" s="249"/>
      <c r="C920" s="249"/>
      <c r="D920" s="250"/>
      <c r="E920" s="249"/>
      <c r="F920" s="249"/>
      <c r="G920" s="251"/>
      <c r="H920" s="249"/>
      <c r="I920" s="252"/>
      <c r="J920" s="253"/>
      <c r="K920" s="42"/>
      <c r="L920" s="42"/>
      <c r="M920" s="68"/>
      <c r="N920" s="68"/>
    </row>
    <row r="921">
      <c r="A921" s="248"/>
      <c r="B921" s="249"/>
      <c r="C921" s="249"/>
      <c r="D921" s="250"/>
      <c r="E921" s="249"/>
      <c r="F921" s="249"/>
      <c r="G921" s="251"/>
      <c r="H921" s="249"/>
      <c r="I921" s="252"/>
      <c r="J921" s="253"/>
      <c r="K921" s="42"/>
      <c r="L921" s="42"/>
      <c r="M921" s="68"/>
      <c r="N921" s="68"/>
    </row>
    <row r="922">
      <c r="A922" s="248"/>
      <c r="B922" s="249"/>
      <c r="C922" s="249"/>
      <c r="D922" s="250"/>
      <c r="E922" s="249"/>
      <c r="F922" s="249"/>
      <c r="G922" s="251"/>
      <c r="H922" s="249"/>
      <c r="I922" s="252"/>
      <c r="J922" s="253"/>
      <c r="K922" s="42"/>
      <c r="L922" s="42"/>
      <c r="M922" s="68"/>
      <c r="N922" s="68"/>
    </row>
    <row r="923">
      <c r="A923" s="248"/>
      <c r="B923" s="249"/>
      <c r="C923" s="249"/>
      <c r="D923" s="250"/>
      <c r="E923" s="249"/>
      <c r="F923" s="249"/>
      <c r="G923" s="251"/>
      <c r="H923" s="249"/>
      <c r="I923" s="252"/>
      <c r="J923" s="253"/>
      <c r="K923" s="42"/>
      <c r="L923" s="42"/>
      <c r="M923" s="68"/>
      <c r="N923" s="68"/>
    </row>
    <row r="924">
      <c r="A924" s="248"/>
      <c r="B924" s="249"/>
      <c r="C924" s="249"/>
      <c r="D924" s="250"/>
      <c r="E924" s="249"/>
      <c r="F924" s="249"/>
      <c r="G924" s="251"/>
      <c r="H924" s="249"/>
      <c r="I924" s="252"/>
      <c r="J924" s="253"/>
      <c r="K924" s="42"/>
      <c r="L924" s="42"/>
      <c r="M924" s="68"/>
      <c r="N924" s="68"/>
    </row>
    <row r="925">
      <c r="A925" s="248"/>
      <c r="B925" s="249"/>
      <c r="C925" s="249"/>
      <c r="D925" s="250"/>
      <c r="E925" s="249"/>
      <c r="F925" s="249"/>
      <c r="G925" s="251"/>
      <c r="H925" s="249"/>
      <c r="I925" s="252"/>
      <c r="J925" s="253"/>
      <c r="K925" s="42"/>
      <c r="L925" s="42"/>
      <c r="M925" s="68"/>
      <c r="N925" s="68"/>
    </row>
    <row r="926">
      <c r="A926" s="248"/>
      <c r="B926" s="249"/>
      <c r="C926" s="249"/>
      <c r="D926" s="250"/>
      <c r="E926" s="249"/>
      <c r="F926" s="249"/>
      <c r="G926" s="251"/>
      <c r="H926" s="249"/>
      <c r="I926" s="252"/>
      <c r="J926" s="253"/>
      <c r="K926" s="42"/>
      <c r="L926" s="42"/>
      <c r="M926" s="68"/>
      <c r="N926" s="68"/>
    </row>
    <row r="927">
      <c r="A927" s="248"/>
      <c r="B927" s="249"/>
      <c r="C927" s="249"/>
      <c r="D927" s="250"/>
      <c r="E927" s="249"/>
      <c r="F927" s="249"/>
      <c r="G927" s="251"/>
      <c r="H927" s="249"/>
      <c r="I927" s="252"/>
      <c r="J927" s="253"/>
      <c r="K927" s="42"/>
      <c r="L927" s="42"/>
      <c r="M927" s="68"/>
      <c r="N927" s="68"/>
    </row>
    <row r="928">
      <c r="A928" s="248"/>
      <c r="B928" s="249"/>
      <c r="C928" s="249"/>
      <c r="D928" s="250"/>
      <c r="E928" s="249"/>
      <c r="F928" s="249"/>
      <c r="G928" s="251"/>
      <c r="H928" s="249"/>
      <c r="I928" s="252"/>
      <c r="J928" s="253"/>
      <c r="K928" s="42"/>
      <c r="L928" s="42"/>
      <c r="M928" s="68"/>
      <c r="N928" s="68"/>
    </row>
    <row r="929">
      <c r="A929" s="248"/>
      <c r="B929" s="249"/>
      <c r="C929" s="249"/>
      <c r="D929" s="250"/>
      <c r="E929" s="249"/>
      <c r="F929" s="249"/>
      <c r="G929" s="251"/>
      <c r="H929" s="249"/>
      <c r="I929" s="252"/>
      <c r="J929" s="253"/>
      <c r="K929" s="42"/>
      <c r="L929" s="42"/>
      <c r="M929" s="68"/>
      <c r="N929" s="68"/>
    </row>
    <row r="930">
      <c r="A930" s="248"/>
      <c r="B930" s="249"/>
      <c r="C930" s="249"/>
      <c r="D930" s="250"/>
      <c r="E930" s="249"/>
      <c r="F930" s="249"/>
      <c r="G930" s="251"/>
      <c r="H930" s="249"/>
      <c r="I930" s="252"/>
      <c r="J930" s="253"/>
      <c r="K930" s="42"/>
      <c r="L930" s="42"/>
      <c r="M930" s="68"/>
      <c r="N930" s="68"/>
    </row>
    <row r="931">
      <c r="A931" s="248"/>
      <c r="B931" s="249"/>
      <c r="C931" s="249"/>
      <c r="D931" s="250"/>
      <c r="E931" s="249"/>
      <c r="F931" s="249"/>
      <c r="G931" s="251"/>
      <c r="H931" s="249"/>
      <c r="I931" s="252"/>
      <c r="J931" s="253"/>
      <c r="K931" s="42"/>
      <c r="L931" s="42"/>
      <c r="M931" s="68"/>
      <c r="N931" s="68"/>
    </row>
    <row r="932">
      <c r="A932" s="248"/>
      <c r="B932" s="249"/>
      <c r="C932" s="249"/>
      <c r="D932" s="250"/>
      <c r="E932" s="249"/>
      <c r="F932" s="249"/>
      <c r="G932" s="251"/>
      <c r="H932" s="249"/>
      <c r="I932" s="252"/>
      <c r="J932" s="253"/>
      <c r="K932" s="42"/>
      <c r="L932" s="42"/>
      <c r="M932" s="68"/>
      <c r="N932" s="68"/>
    </row>
    <row r="933">
      <c r="A933" s="248"/>
      <c r="B933" s="249"/>
      <c r="C933" s="249"/>
      <c r="D933" s="250"/>
      <c r="E933" s="249"/>
      <c r="F933" s="249"/>
      <c r="G933" s="251"/>
      <c r="H933" s="249"/>
      <c r="I933" s="252"/>
      <c r="J933" s="253"/>
      <c r="K933" s="42"/>
      <c r="L933" s="42"/>
      <c r="M933" s="68"/>
      <c r="N933" s="68"/>
    </row>
    <row r="934">
      <c r="A934" s="248"/>
      <c r="B934" s="249"/>
      <c r="C934" s="249"/>
      <c r="D934" s="250"/>
      <c r="E934" s="249"/>
      <c r="F934" s="249"/>
      <c r="G934" s="251"/>
      <c r="H934" s="249"/>
      <c r="I934" s="252"/>
      <c r="J934" s="253"/>
      <c r="K934" s="42"/>
      <c r="L934" s="42"/>
      <c r="M934" s="68"/>
      <c r="N934" s="68"/>
    </row>
    <row r="935">
      <c r="A935" s="248"/>
      <c r="B935" s="249"/>
      <c r="C935" s="249"/>
      <c r="D935" s="250"/>
      <c r="E935" s="249"/>
      <c r="F935" s="249"/>
      <c r="G935" s="251"/>
      <c r="H935" s="249"/>
      <c r="I935" s="252"/>
      <c r="J935" s="253"/>
      <c r="K935" s="42"/>
      <c r="L935" s="42"/>
      <c r="M935" s="68"/>
      <c r="N935" s="68"/>
    </row>
    <row r="936">
      <c r="A936" s="248"/>
      <c r="B936" s="249"/>
      <c r="C936" s="249"/>
      <c r="D936" s="250"/>
      <c r="E936" s="249"/>
      <c r="F936" s="249"/>
      <c r="G936" s="251"/>
      <c r="H936" s="249"/>
      <c r="I936" s="252"/>
      <c r="J936" s="253"/>
      <c r="K936" s="42"/>
      <c r="L936" s="42"/>
      <c r="M936" s="68"/>
      <c r="N936" s="68"/>
    </row>
    <row r="937">
      <c r="A937" s="248"/>
      <c r="B937" s="249"/>
      <c r="C937" s="249"/>
      <c r="D937" s="250"/>
      <c r="E937" s="249"/>
      <c r="F937" s="249"/>
      <c r="G937" s="251"/>
      <c r="H937" s="249"/>
      <c r="I937" s="252"/>
      <c r="J937" s="253"/>
      <c r="K937" s="42"/>
      <c r="L937" s="42"/>
      <c r="M937" s="68"/>
      <c r="N937" s="68"/>
    </row>
    <row r="938">
      <c r="A938" s="248"/>
      <c r="B938" s="249"/>
      <c r="C938" s="249"/>
      <c r="D938" s="250"/>
      <c r="E938" s="249"/>
      <c r="F938" s="249"/>
      <c r="G938" s="251"/>
      <c r="H938" s="249"/>
      <c r="I938" s="252"/>
      <c r="J938" s="253"/>
      <c r="K938" s="42"/>
      <c r="L938" s="42"/>
      <c r="M938" s="68"/>
      <c r="N938" s="68"/>
    </row>
    <row r="939">
      <c r="A939" s="248"/>
      <c r="B939" s="249"/>
      <c r="C939" s="249"/>
      <c r="D939" s="250"/>
      <c r="E939" s="249"/>
      <c r="F939" s="249"/>
      <c r="G939" s="251"/>
      <c r="H939" s="249"/>
      <c r="I939" s="252"/>
      <c r="J939" s="253"/>
      <c r="K939" s="42"/>
      <c r="L939" s="42"/>
      <c r="M939" s="68"/>
      <c r="N939" s="68"/>
    </row>
    <row r="940">
      <c r="A940" s="248"/>
      <c r="B940" s="249"/>
      <c r="C940" s="249"/>
      <c r="D940" s="250"/>
      <c r="E940" s="249"/>
      <c r="F940" s="249"/>
      <c r="G940" s="251"/>
      <c r="H940" s="249"/>
      <c r="I940" s="252"/>
      <c r="J940" s="253"/>
      <c r="K940" s="42"/>
      <c r="L940" s="42"/>
      <c r="M940" s="68"/>
      <c r="N940" s="68"/>
    </row>
    <row r="941">
      <c r="A941" s="248"/>
      <c r="B941" s="249"/>
      <c r="C941" s="249"/>
      <c r="D941" s="250"/>
      <c r="E941" s="249"/>
      <c r="F941" s="249"/>
      <c r="G941" s="251"/>
      <c r="H941" s="249"/>
      <c r="I941" s="252"/>
      <c r="J941" s="253"/>
      <c r="K941" s="42"/>
      <c r="L941" s="42"/>
      <c r="M941" s="68"/>
      <c r="N941" s="68"/>
    </row>
    <row r="942">
      <c r="A942" s="248"/>
      <c r="B942" s="249"/>
      <c r="C942" s="249"/>
      <c r="D942" s="250"/>
      <c r="E942" s="249"/>
      <c r="F942" s="249"/>
      <c r="G942" s="251"/>
      <c r="H942" s="249"/>
      <c r="I942" s="252"/>
      <c r="J942" s="253"/>
      <c r="K942" s="42"/>
      <c r="L942" s="42"/>
      <c r="M942" s="68"/>
      <c r="N942" s="68"/>
    </row>
    <row r="943">
      <c r="A943" s="248"/>
      <c r="B943" s="249"/>
      <c r="C943" s="249"/>
      <c r="D943" s="250"/>
      <c r="E943" s="249"/>
      <c r="F943" s="249"/>
      <c r="G943" s="251"/>
      <c r="H943" s="249"/>
      <c r="I943" s="252"/>
      <c r="J943" s="253"/>
      <c r="K943" s="42"/>
      <c r="L943" s="42"/>
      <c r="M943" s="68"/>
      <c r="N943" s="68"/>
    </row>
    <row r="944">
      <c r="A944" s="248"/>
      <c r="B944" s="249"/>
      <c r="C944" s="249"/>
      <c r="D944" s="250"/>
      <c r="E944" s="249"/>
      <c r="F944" s="249"/>
      <c r="G944" s="251"/>
      <c r="H944" s="249"/>
      <c r="I944" s="252"/>
      <c r="J944" s="253"/>
      <c r="K944" s="42"/>
      <c r="L944" s="42"/>
      <c r="M944" s="68"/>
      <c r="N944" s="68"/>
    </row>
    <row r="945">
      <c r="A945" s="248"/>
      <c r="B945" s="249"/>
      <c r="C945" s="249"/>
      <c r="D945" s="250"/>
      <c r="E945" s="249"/>
      <c r="F945" s="249"/>
      <c r="G945" s="251"/>
      <c r="H945" s="249"/>
      <c r="I945" s="252"/>
      <c r="J945" s="253"/>
      <c r="K945" s="42"/>
      <c r="L945" s="42"/>
      <c r="M945" s="68"/>
      <c r="N945" s="68"/>
    </row>
    <row r="946">
      <c r="A946" s="248"/>
      <c r="B946" s="249"/>
      <c r="C946" s="249"/>
      <c r="D946" s="250"/>
      <c r="E946" s="249"/>
      <c r="F946" s="249"/>
      <c r="G946" s="251"/>
      <c r="H946" s="249"/>
      <c r="I946" s="252"/>
      <c r="J946" s="253"/>
      <c r="K946" s="42"/>
      <c r="L946" s="42"/>
      <c r="M946" s="68"/>
      <c r="N946" s="68"/>
    </row>
    <row r="947">
      <c r="A947" s="248"/>
      <c r="B947" s="249"/>
      <c r="C947" s="249"/>
      <c r="D947" s="250"/>
      <c r="E947" s="249"/>
      <c r="F947" s="249"/>
      <c r="G947" s="251"/>
      <c r="H947" s="249"/>
      <c r="I947" s="252"/>
      <c r="J947" s="253"/>
      <c r="K947" s="42"/>
      <c r="L947" s="42"/>
      <c r="M947" s="68"/>
      <c r="N947" s="68"/>
    </row>
    <row r="948">
      <c r="A948" s="248"/>
      <c r="B948" s="249"/>
      <c r="C948" s="249"/>
      <c r="D948" s="250"/>
      <c r="E948" s="249"/>
      <c r="F948" s="249"/>
      <c r="G948" s="251"/>
      <c r="H948" s="249"/>
      <c r="I948" s="252"/>
      <c r="J948" s="253"/>
      <c r="K948" s="42"/>
      <c r="L948" s="42"/>
      <c r="M948" s="68"/>
      <c r="N948" s="68"/>
    </row>
    <row r="949">
      <c r="A949" s="248"/>
      <c r="B949" s="249"/>
      <c r="C949" s="249"/>
      <c r="D949" s="250"/>
      <c r="E949" s="249"/>
      <c r="F949" s="249"/>
      <c r="G949" s="251"/>
      <c r="H949" s="249"/>
      <c r="I949" s="252"/>
      <c r="J949" s="253"/>
      <c r="K949" s="42"/>
      <c r="L949" s="42"/>
      <c r="M949" s="68"/>
      <c r="N949" s="68"/>
    </row>
    <row r="950">
      <c r="A950" s="248"/>
      <c r="B950" s="249"/>
      <c r="C950" s="249"/>
      <c r="D950" s="250"/>
      <c r="E950" s="249"/>
      <c r="F950" s="249"/>
      <c r="G950" s="251"/>
      <c r="H950" s="249"/>
      <c r="I950" s="252"/>
      <c r="J950" s="253"/>
      <c r="K950" s="42"/>
      <c r="L950" s="42"/>
      <c r="M950" s="68"/>
      <c r="N950" s="68"/>
    </row>
    <row r="951">
      <c r="A951" s="248"/>
      <c r="B951" s="249"/>
      <c r="C951" s="249"/>
      <c r="D951" s="250"/>
      <c r="E951" s="249"/>
      <c r="F951" s="249"/>
      <c r="G951" s="251"/>
      <c r="H951" s="249"/>
      <c r="I951" s="252"/>
      <c r="J951" s="253"/>
      <c r="K951" s="42"/>
      <c r="L951" s="42"/>
      <c r="M951" s="68"/>
      <c r="N951" s="68"/>
    </row>
    <row r="952">
      <c r="A952" s="248"/>
      <c r="B952" s="249"/>
      <c r="C952" s="249"/>
      <c r="D952" s="250"/>
      <c r="E952" s="249"/>
      <c r="F952" s="249"/>
      <c r="G952" s="251"/>
      <c r="H952" s="249"/>
      <c r="I952" s="252"/>
      <c r="J952" s="253"/>
      <c r="K952" s="42"/>
      <c r="L952" s="42"/>
      <c r="M952" s="68"/>
      <c r="N952" s="68"/>
    </row>
    <row r="953">
      <c r="A953" s="248"/>
      <c r="B953" s="249"/>
      <c r="C953" s="249"/>
      <c r="D953" s="250"/>
      <c r="E953" s="249"/>
      <c r="F953" s="249"/>
      <c r="G953" s="251"/>
      <c r="H953" s="249"/>
      <c r="I953" s="252"/>
      <c r="J953" s="253"/>
      <c r="K953" s="42"/>
      <c r="L953" s="42"/>
      <c r="M953" s="68"/>
      <c r="N953" s="68"/>
    </row>
    <row r="954">
      <c r="A954" s="248"/>
      <c r="B954" s="249"/>
      <c r="C954" s="249"/>
      <c r="D954" s="250"/>
      <c r="E954" s="249"/>
      <c r="F954" s="249"/>
      <c r="G954" s="251"/>
      <c r="H954" s="249"/>
      <c r="I954" s="252"/>
      <c r="J954" s="253"/>
      <c r="K954" s="42"/>
      <c r="L954" s="42"/>
      <c r="M954" s="68"/>
      <c r="N954" s="68"/>
    </row>
    <row r="955">
      <c r="A955" s="248"/>
      <c r="B955" s="249"/>
      <c r="C955" s="249"/>
      <c r="D955" s="250"/>
      <c r="E955" s="249"/>
      <c r="F955" s="249"/>
      <c r="G955" s="251"/>
      <c r="H955" s="249"/>
      <c r="I955" s="252"/>
      <c r="J955" s="253"/>
      <c r="K955" s="42"/>
      <c r="L955" s="42"/>
      <c r="M955" s="68"/>
      <c r="N955" s="68"/>
    </row>
    <row r="956">
      <c r="A956" s="248"/>
      <c r="B956" s="249"/>
      <c r="C956" s="249"/>
      <c r="D956" s="250"/>
      <c r="E956" s="249"/>
      <c r="F956" s="249"/>
      <c r="G956" s="251"/>
      <c r="H956" s="249"/>
      <c r="I956" s="252"/>
      <c r="J956" s="253"/>
      <c r="K956" s="42"/>
      <c r="L956" s="42"/>
      <c r="M956" s="68"/>
      <c r="N956" s="68"/>
    </row>
    <row r="957">
      <c r="A957" s="248"/>
      <c r="B957" s="249"/>
      <c r="C957" s="249"/>
      <c r="D957" s="250"/>
      <c r="E957" s="249"/>
      <c r="F957" s="249"/>
      <c r="G957" s="251"/>
      <c r="H957" s="249"/>
      <c r="I957" s="252"/>
      <c r="J957" s="253"/>
      <c r="K957" s="42"/>
      <c r="L957" s="42"/>
      <c r="M957" s="68"/>
      <c r="N957" s="68"/>
    </row>
    <row r="958">
      <c r="A958" s="248"/>
      <c r="B958" s="249"/>
      <c r="C958" s="249"/>
      <c r="D958" s="250"/>
      <c r="E958" s="249"/>
      <c r="F958" s="249"/>
      <c r="G958" s="251"/>
      <c r="H958" s="249"/>
      <c r="I958" s="252"/>
      <c r="J958" s="253"/>
      <c r="K958" s="42"/>
      <c r="L958" s="42"/>
      <c r="M958" s="68"/>
      <c r="N958" s="68"/>
    </row>
    <row r="959">
      <c r="A959" s="248"/>
      <c r="B959" s="249"/>
      <c r="C959" s="249"/>
      <c r="D959" s="250"/>
      <c r="E959" s="249"/>
      <c r="F959" s="249"/>
      <c r="G959" s="251"/>
      <c r="H959" s="249"/>
      <c r="I959" s="252"/>
      <c r="J959" s="253"/>
      <c r="K959" s="42"/>
      <c r="L959" s="42"/>
      <c r="M959" s="68"/>
      <c r="N959" s="68"/>
    </row>
    <row r="960">
      <c r="A960" s="248"/>
      <c r="B960" s="249"/>
      <c r="C960" s="249"/>
      <c r="D960" s="250"/>
      <c r="E960" s="249"/>
      <c r="F960" s="249"/>
      <c r="G960" s="251"/>
      <c r="H960" s="249"/>
      <c r="I960" s="252"/>
      <c r="J960" s="253"/>
      <c r="K960" s="42"/>
      <c r="L960" s="42"/>
      <c r="M960" s="68"/>
      <c r="N960" s="68"/>
    </row>
    <row r="961">
      <c r="A961" s="248"/>
      <c r="B961" s="249"/>
      <c r="C961" s="249"/>
      <c r="D961" s="250"/>
      <c r="E961" s="249"/>
      <c r="F961" s="249"/>
      <c r="G961" s="251"/>
      <c r="H961" s="249"/>
      <c r="I961" s="252"/>
      <c r="J961" s="253"/>
      <c r="K961" s="42"/>
      <c r="L961" s="42"/>
      <c r="M961" s="68"/>
      <c r="N961" s="68"/>
    </row>
    <row r="962">
      <c r="A962" s="248"/>
      <c r="B962" s="249"/>
      <c r="C962" s="249"/>
      <c r="D962" s="250"/>
      <c r="E962" s="249"/>
      <c r="F962" s="249"/>
      <c r="G962" s="251"/>
      <c r="H962" s="249"/>
      <c r="I962" s="252"/>
      <c r="J962" s="253"/>
      <c r="K962" s="42"/>
      <c r="L962" s="42"/>
      <c r="M962" s="68"/>
      <c r="N962" s="68"/>
    </row>
    <row r="963">
      <c r="A963" s="248"/>
      <c r="B963" s="249"/>
      <c r="C963" s="249"/>
      <c r="D963" s="250"/>
      <c r="E963" s="249"/>
      <c r="F963" s="249"/>
      <c r="G963" s="251"/>
      <c r="H963" s="249"/>
      <c r="I963" s="252"/>
      <c r="J963" s="253"/>
      <c r="K963" s="42"/>
      <c r="L963" s="42"/>
      <c r="M963" s="68"/>
      <c r="N963" s="68"/>
    </row>
    <row r="964">
      <c r="A964" s="248"/>
      <c r="B964" s="249"/>
      <c r="C964" s="249"/>
      <c r="D964" s="250"/>
      <c r="E964" s="249"/>
      <c r="F964" s="249"/>
      <c r="G964" s="251"/>
      <c r="H964" s="249"/>
      <c r="I964" s="252"/>
      <c r="J964" s="253"/>
      <c r="K964" s="42"/>
      <c r="L964" s="42"/>
      <c r="M964" s="68"/>
      <c r="N964" s="68"/>
    </row>
    <row r="965">
      <c r="A965" s="248"/>
      <c r="B965" s="249"/>
      <c r="C965" s="249"/>
      <c r="D965" s="250"/>
      <c r="E965" s="249"/>
      <c r="F965" s="249"/>
      <c r="G965" s="251"/>
      <c r="H965" s="249"/>
      <c r="I965" s="252"/>
      <c r="J965" s="253"/>
      <c r="K965" s="42"/>
      <c r="L965" s="42"/>
      <c r="M965" s="68"/>
      <c r="N965" s="68"/>
    </row>
    <row r="966">
      <c r="A966" s="248"/>
      <c r="B966" s="249"/>
      <c r="C966" s="249"/>
      <c r="D966" s="250"/>
      <c r="E966" s="249"/>
      <c r="F966" s="249"/>
      <c r="G966" s="251"/>
      <c r="H966" s="249"/>
      <c r="I966" s="252"/>
      <c r="J966" s="253"/>
      <c r="K966" s="42"/>
      <c r="L966" s="42"/>
      <c r="M966" s="68"/>
      <c r="N966" s="68"/>
    </row>
    <row r="967">
      <c r="A967" s="248"/>
      <c r="B967" s="249"/>
      <c r="C967" s="249"/>
      <c r="D967" s="250"/>
      <c r="E967" s="249"/>
      <c r="F967" s="249"/>
      <c r="G967" s="251"/>
      <c r="H967" s="249"/>
      <c r="I967" s="252"/>
      <c r="J967" s="253"/>
      <c r="K967" s="42"/>
      <c r="L967" s="42"/>
      <c r="M967" s="68"/>
      <c r="N967" s="68"/>
    </row>
    <row r="968">
      <c r="A968" s="248"/>
      <c r="B968" s="249"/>
      <c r="C968" s="249"/>
      <c r="D968" s="250"/>
      <c r="E968" s="249"/>
      <c r="F968" s="249"/>
      <c r="G968" s="251"/>
      <c r="H968" s="249"/>
      <c r="I968" s="252"/>
      <c r="J968" s="253"/>
      <c r="K968" s="42"/>
      <c r="L968" s="42"/>
      <c r="M968" s="68"/>
      <c r="N968" s="68"/>
    </row>
    <row r="969">
      <c r="A969" s="248"/>
      <c r="B969" s="249"/>
      <c r="C969" s="249"/>
      <c r="D969" s="250"/>
      <c r="E969" s="249"/>
      <c r="F969" s="249"/>
      <c r="G969" s="251"/>
      <c r="H969" s="249"/>
      <c r="I969" s="252"/>
      <c r="J969" s="253"/>
      <c r="K969" s="42"/>
      <c r="L969" s="42"/>
      <c r="M969" s="68"/>
      <c r="N969" s="68"/>
    </row>
    <row r="970">
      <c r="A970" s="248"/>
      <c r="B970" s="249"/>
      <c r="C970" s="249"/>
      <c r="D970" s="250"/>
      <c r="E970" s="249"/>
      <c r="F970" s="249"/>
      <c r="G970" s="251"/>
      <c r="H970" s="249"/>
      <c r="I970" s="252"/>
      <c r="J970" s="253"/>
      <c r="K970" s="42"/>
      <c r="L970" s="42"/>
      <c r="M970" s="68"/>
      <c r="N970" s="68"/>
    </row>
    <row r="971">
      <c r="A971" s="248"/>
      <c r="B971" s="249"/>
      <c r="C971" s="249"/>
      <c r="D971" s="250"/>
      <c r="E971" s="249"/>
      <c r="F971" s="249"/>
      <c r="G971" s="251"/>
      <c r="H971" s="249"/>
      <c r="I971" s="252"/>
      <c r="J971" s="253"/>
      <c r="K971" s="42"/>
      <c r="L971" s="42"/>
      <c r="M971" s="68"/>
      <c r="N971" s="68"/>
    </row>
    <row r="972">
      <c r="A972" s="248"/>
      <c r="B972" s="249"/>
      <c r="C972" s="249"/>
      <c r="D972" s="250"/>
      <c r="E972" s="249"/>
      <c r="F972" s="249"/>
      <c r="G972" s="251"/>
      <c r="H972" s="249"/>
      <c r="I972" s="252"/>
      <c r="J972" s="253"/>
      <c r="K972" s="42"/>
      <c r="L972" s="42"/>
      <c r="M972" s="68"/>
      <c r="N972" s="68"/>
    </row>
    <row r="973">
      <c r="A973" s="248"/>
      <c r="B973" s="249"/>
      <c r="C973" s="249"/>
      <c r="D973" s="250"/>
      <c r="E973" s="249"/>
      <c r="F973" s="249"/>
      <c r="G973" s="251"/>
      <c r="H973" s="249"/>
      <c r="I973" s="252"/>
      <c r="J973" s="253"/>
      <c r="K973" s="42"/>
      <c r="L973" s="42"/>
      <c r="M973" s="68"/>
      <c r="N973" s="68"/>
    </row>
    <row r="974">
      <c r="A974" s="248"/>
      <c r="B974" s="249"/>
      <c r="C974" s="249"/>
      <c r="D974" s="250"/>
      <c r="E974" s="249"/>
      <c r="F974" s="249"/>
      <c r="G974" s="251"/>
      <c r="H974" s="249"/>
      <c r="I974" s="252"/>
      <c r="J974" s="253"/>
      <c r="K974" s="42"/>
      <c r="L974" s="42"/>
      <c r="M974" s="68"/>
      <c r="N974" s="68"/>
    </row>
    <row r="975">
      <c r="A975" s="248"/>
      <c r="B975" s="249"/>
      <c r="C975" s="249"/>
      <c r="D975" s="250"/>
      <c r="E975" s="249"/>
      <c r="F975" s="249"/>
      <c r="G975" s="251"/>
      <c r="H975" s="249"/>
      <c r="I975" s="252"/>
      <c r="J975" s="253"/>
      <c r="K975" s="42"/>
      <c r="L975" s="42"/>
      <c r="M975" s="68"/>
      <c r="N975" s="68"/>
    </row>
    <row r="976">
      <c r="A976" s="248"/>
      <c r="B976" s="249"/>
      <c r="C976" s="249"/>
      <c r="D976" s="250"/>
      <c r="E976" s="249"/>
      <c r="F976" s="249"/>
      <c r="G976" s="251"/>
      <c r="H976" s="249"/>
      <c r="I976" s="252"/>
      <c r="J976" s="253"/>
      <c r="K976" s="42"/>
      <c r="L976" s="42"/>
      <c r="M976" s="68"/>
      <c r="N976" s="68"/>
    </row>
    <row r="977">
      <c r="A977" s="248"/>
      <c r="B977" s="249"/>
      <c r="C977" s="249"/>
      <c r="D977" s="250"/>
      <c r="E977" s="249"/>
      <c r="F977" s="249"/>
      <c r="G977" s="251"/>
      <c r="H977" s="249"/>
      <c r="I977" s="252"/>
      <c r="J977" s="253"/>
      <c r="K977" s="42"/>
      <c r="L977" s="42"/>
      <c r="M977" s="68"/>
      <c r="N977" s="68"/>
    </row>
    <row r="978">
      <c r="A978" s="248"/>
      <c r="B978" s="249"/>
      <c r="C978" s="249"/>
      <c r="D978" s="250"/>
      <c r="E978" s="249"/>
      <c r="F978" s="249"/>
      <c r="G978" s="251"/>
      <c r="H978" s="249"/>
      <c r="I978" s="252"/>
      <c r="J978" s="253"/>
      <c r="K978" s="42"/>
      <c r="L978" s="42"/>
      <c r="M978" s="68"/>
      <c r="N978" s="68"/>
    </row>
    <row r="979">
      <c r="A979" s="248"/>
      <c r="B979" s="249"/>
      <c r="C979" s="249"/>
      <c r="D979" s="250"/>
      <c r="E979" s="249"/>
      <c r="F979" s="249"/>
      <c r="G979" s="251"/>
      <c r="H979" s="249"/>
      <c r="I979" s="252"/>
      <c r="J979" s="253"/>
      <c r="K979" s="42"/>
      <c r="L979" s="42"/>
      <c r="M979" s="68"/>
      <c r="N979" s="68"/>
    </row>
    <row r="980">
      <c r="A980" s="248"/>
      <c r="B980" s="249"/>
      <c r="C980" s="249"/>
      <c r="D980" s="250"/>
      <c r="E980" s="249"/>
      <c r="F980" s="249"/>
      <c r="G980" s="251"/>
      <c r="H980" s="249"/>
      <c r="I980" s="252"/>
      <c r="J980" s="253"/>
      <c r="K980" s="42"/>
      <c r="L980" s="42"/>
      <c r="M980" s="68"/>
      <c r="N980" s="68"/>
    </row>
    <row r="981">
      <c r="A981" s="248"/>
      <c r="B981" s="249"/>
      <c r="C981" s="249"/>
      <c r="D981" s="250"/>
      <c r="E981" s="249"/>
      <c r="F981" s="249"/>
      <c r="G981" s="251"/>
      <c r="H981" s="249"/>
      <c r="I981" s="252"/>
      <c r="J981" s="253"/>
      <c r="K981" s="42"/>
      <c r="L981" s="42"/>
      <c r="M981" s="68"/>
      <c r="N981" s="68"/>
    </row>
    <row r="982">
      <c r="A982" s="248"/>
      <c r="B982" s="249"/>
      <c r="C982" s="249"/>
      <c r="D982" s="250"/>
      <c r="E982" s="249"/>
      <c r="F982" s="249"/>
      <c r="G982" s="251"/>
      <c r="H982" s="249"/>
      <c r="I982" s="252"/>
      <c r="J982" s="253"/>
      <c r="K982" s="42"/>
      <c r="L982" s="42"/>
      <c r="M982" s="68"/>
      <c r="N982" s="68"/>
    </row>
    <row r="983">
      <c r="A983" s="248"/>
      <c r="B983" s="249"/>
      <c r="C983" s="249"/>
      <c r="D983" s="250"/>
      <c r="E983" s="249"/>
      <c r="F983" s="249"/>
      <c r="G983" s="251"/>
      <c r="H983" s="249"/>
      <c r="I983" s="252"/>
      <c r="J983" s="253"/>
      <c r="K983" s="42"/>
      <c r="L983" s="42"/>
      <c r="M983" s="68"/>
      <c r="N983" s="68"/>
    </row>
    <row r="984">
      <c r="A984" s="248"/>
      <c r="B984" s="249"/>
      <c r="C984" s="249"/>
      <c r="D984" s="250"/>
      <c r="E984" s="249"/>
      <c r="F984" s="249"/>
      <c r="G984" s="251"/>
      <c r="H984" s="249"/>
      <c r="I984" s="252"/>
      <c r="J984" s="253"/>
      <c r="K984" s="42"/>
      <c r="L984" s="42"/>
      <c r="M984" s="68"/>
      <c r="N984" s="68"/>
    </row>
    <row r="985">
      <c r="A985" s="248"/>
      <c r="B985" s="249"/>
      <c r="C985" s="249"/>
      <c r="D985" s="250"/>
      <c r="E985" s="249"/>
      <c r="F985" s="249"/>
      <c r="G985" s="251"/>
      <c r="H985" s="249"/>
      <c r="I985" s="252"/>
      <c r="J985" s="253"/>
      <c r="K985" s="42"/>
      <c r="L985" s="42"/>
      <c r="M985" s="68"/>
      <c r="N985" s="68"/>
    </row>
    <row r="986">
      <c r="A986" s="248"/>
      <c r="B986" s="249"/>
      <c r="C986" s="249"/>
      <c r="D986" s="250"/>
      <c r="E986" s="249"/>
      <c r="F986" s="249"/>
      <c r="G986" s="251"/>
      <c r="H986" s="249"/>
      <c r="I986" s="252"/>
      <c r="J986" s="253"/>
      <c r="K986" s="42"/>
      <c r="L986" s="42"/>
      <c r="M986" s="68"/>
      <c r="N986" s="68"/>
    </row>
    <row r="987">
      <c r="A987" s="248"/>
      <c r="B987" s="249"/>
      <c r="C987" s="249"/>
      <c r="D987" s="250"/>
      <c r="E987" s="249"/>
      <c r="F987" s="249"/>
      <c r="G987" s="251"/>
      <c r="H987" s="249"/>
      <c r="I987" s="252"/>
      <c r="J987" s="253"/>
      <c r="K987" s="42"/>
      <c r="L987" s="42"/>
      <c r="M987" s="68"/>
      <c r="N987" s="68"/>
    </row>
    <row r="988">
      <c r="A988" s="248"/>
      <c r="B988" s="249"/>
      <c r="C988" s="249"/>
      <c r="D988" s="250"/>
      <c r="E988" s="249"/>
      <c r="F988" s="249"/>
      <c r="G988" s="251"/>
      <c r="H988" s="249"/>
      <c r="I988" s="252"/>
      <c r="J988" s="253"/>
      <c r="K988" s="42"/>
      <c r="L988" s="42"/>
      <c r="M988" s="68"/>
      <c r="N988" s="68"/>
    </row>
    <row r="989">
      <c r="A989" s="248"/>
      <c r="B989" s="249"/>
      <c r="C989" s="249"/>
      <c r="D989" s="250"/>
      <c r="E989" s="249"/>
      <c r="F989" s="249"/>
      <c r="G989" s="251"/>
      <c r="H989" s="249"/>
      <c r="I989" s="252"/>
      <c r="J989" s="253"/>
      <c r="K989" s="42"/>
      <c r="L989" s="42"/>
      <c r="M989" s="68"/>
      <c r="N989" s="68"/>
    </row>
    <row r="990">
      <c r="A990" s="248"/>
      <c r="B990" s="249"/>
      <c r="C990" s="249"/>
      <c r="D990" s="250"/>
      <c r="E990" s="249"/>
      <c r="F990" s="249"/>
      <c r="G990" s="251"/>
      <c r="H990" s="249"/>
      <c r="I990" s="252"/>
      <c r="J990" s="253"/>
      <c r="K990" s="42"/>
      <c r="L990" s="42"/>
      <c r="M990" s="68"/>
      <c r="N990" s="68"/>
    </row>
    <row r="991">
      <c r="A991" s="248"/>
      <c r="B991" s="249"/>
      <c r="C991" s="249"/>
      <c r="D991" s="250"/>
      <c r="E991" s="249"/>
      <c r="F991" s="249"/>
      <c r="G991" s="251"/>
      <c r="H991" s="249"/>
      <c r="I991" s="252"/>
      <c r="J991" s="253"/>
      <c r="K991" s="42"/>
      <c r="L991" s="42"/>
      <c r="M991" s="68"/>
      <c r="N991" s="68"/>
    </row>
    <row r="992">
      <c r="A992" s="248"/>
      <c r="B992" s="249"/>
      <c r="C992" s="249"/>
      <c r="D992" s="250"/>
      <c r="E992" s="249"/>
      <c r="F992" s="249"/>
      <c r="G992" s="251"/>
      <c r="H992" s="249"/>
      <c r="I992" s="252"/>
      <c r="J992" s="253"/>
      <c r="K992" s="42"/>
      <c r="L992" s="42"/>
      <c r="M992" s="68"/>
      <c r="N992" s="68"/>
    </row>
    <row r="993">
      <c r="A993" s="248"/>
      <c r="B993" s="249"/>
      <c r="C993" s="249"/>
      <c r="D993" s="250"/>
      <c r="E993" s="249"/>
      <c r="F993" s="249"/>
      <c r="G993" s="251"/>
      <c r="H993" s="249"/>
      <c r="I993" s="252"/>
      <c r="J993" s="253"/>
      <c r="K993" s="42"/>
      <c r="L993" s="42"/>
      <c r="M993" s="68"/>
      <c r="N993" s="68"/>
    </row>
    <row r="994">
      <c r="A994" s="248"/>
      <c r="B994" s="249"/>
      <c r="C994" s="249"/>
      <c r="D994" s="250"/>
      <c r="E994" s="249"/>
      <c r="F994" s="249"/>
      <c r="G994" s="251"/>
      <c r="H994" s="249"/>
      <c r="I994" s="252"/>
      <c r="J994" s="253"/>
      <c r="K994" s="42"/>
      <c r="L994" s="42"/>
      <c r="M994" s="68"/>
      <c r="N994" s="68"/>
    </row>
    <row r="995">
      <c r="A995" s="248"/>
      <c r="B995" s="249"/>
      <c r="C995" s="249"/>
      <c r="D995" s="250"/>
      <c r="E995" s="249"/>
      <c r="F995" s="249"/>
      <c r="G995" s="251"/>
      <c r="H995" s="249"/>
      <c r="I995" s="252"/>
      <c r="J995" s="253"/>
      <c r="K995" s="42"/>
      <c r="L995" s="42"/>
      <c r="M995" s="68"/>
      <c r="N995" s="68"/>
    </row>
    <row r="996">
      <c r="A996" s="248"/>
      <c r="B996" s="249"/>
      <c r="C996" s="249"/>
      <c r="D996" s="250"/>
      <c r="E996" s="249"/>
      <c r="F996" s="249"/>
      <c r="G996" s="251"/>
      <c r="H996" s="249"/>
      <c r="I996" s="252"/>
      <c r="J996" s="253"/>
      <c r="K996" s="42"/>
      <c r="L996" s="42"/>
      <c r="M996" s="68"/>
      <c r="N996" s="68"/>
    </row>
    <row r="997">
      <c r="A997" s="248"/>
      <c r="B997" s="249"/>
      <c r="C997" s="249"/>
      <c r="D997" s="250"/>
      <c r="E997" s="249"/>
      <c r="F997" s="249"/>
      <c r="G997" s="251"/>
      <c r="H997" s="249"/>
      <c r="I997" s="252"/>
      <c r="J997" s="253"/>
      <c r="K997" s="42"/>
      <c r="L997" s="42"/>
      <c r="M997" s="68"/>
      <c r="N997" s="68"/>
    </row>
    <row r="998">
      <c r="A998" s="248"/>
      <c r="B998" s="249"/>
      <c r="C998" s="249"/>
      <c r="D998" s="250"/>
      <c r="E998" s="249"/>
      <c r="F998" s="249"/>
      <c r="G998" s="251"/>
      <c r="H998" s="249"/>
      <c r="I998" s="252"/>
      <c r="J998" s="253"/>
      <c r="K998" s="42"/>
      <c r="L998" s="42"/>
      <c r="M998" s="68"/>
      <c r="N998" s="68"/>
    </row>
    <row r="999">
      <c r="A999" s="248"/>
      <c r="B999" s="249"/>
      <c r="C999" s="249"/>
      <c r="D999" s="250"/>
      <c r="E999" s="249"/>
      <c r="F999" s="249"/>
      <c r="G999" s="251"/>
      <c r="H999" s="249"/>
      <c r="I999" s="252"/>
      <c r="J999" s="253"/>
      <c r="K999" s="42"/>
      <c r="L999" s="42"/>
      <c r="M999" s="68"/>
      <c r="N999" s="68"/>
    </row>
    <row r="1000">
      <c r="A1000" s="248"/>
      <c r="B1000" s="249"/>
      <c r="C1000" s="249"/>
      <c r="D1000" s="250"/>
      <c r="E1000" s="249"/>
      <c r="F1000" s="249"/>
      <c r="G1000" s="251"/>
      <c r="H1000" s="249"/>
      <c r="I1000" s="252"/>
      <c r="J1000" s="253"/>
      <c r="K1000" s="42"/>
      <c r="L1000" s="42"/>
      <c r="M1000" s="68"/>
      <c r="N1000" s="68"/>
    </row>
    <row r="1001">
      <c r="A1001" s="248"/>
      <c r="B1001" s="249"/>
      <c r="C1001" s="249"/>
      <c r="D1001" s="250"/>
      <c r="E1001" s="249"/>
      <c r="F1001" s="249"/>
      <c r="G1001" s="251"/>
      <c r="H1001" s="249"/>
      <c r="I1001" s="252"/>
      <c r="J1001" s="253"/>
      <c r="K1001" s="42"/>
      <c r="L1001" s="42"/>
      <c r="M1001" s="68"/>
      <c r="N1001" s="68"/>
    </row>
    <row r="1002">
      <c r="A1002" s="248"/>
      <c r="B1002" s="249"/>
      <c r="C1002" s="249"/>
      <c r="D1002" s="250"/>
      <c r="E1002" s="249"/>
      <c r="F1002" s="249"/>
      <c r="G1002" s="251"/>
      <c r="H1002" s="249"/>
      <c r="I1002" s="252"/>
      <c r="J1002" s="253"/>
      <c r="K1002" s="42"/>
      <c r="L1002" s="42"/>
      <c r="M1002" s="68"/>
      <c r="N1002" s="68"/>
    </row>
    <row r="1003">
      <c r="A1003" s="248"/>
      <c r="B1003" s="249"/>
      <c r="C1003" s="249"/>
      <c r="D1003" s="250"/>
      <c r="E1003" s="249"/>
      <c r="F1003" s="249"/>
      <c r="G1003" s="251"/>
      <c r="H1003" s="249"/>
      <c r="I1003" s="252"/>
      <c r="J1003" s="253"/>
      <c r="K1003" s="42"/>
      <c r="L1003" s="42"/>
      <c r="M1003" s="68"/>
      <c r="N1003" s="68"/>
    </row>
    <row r="1004">
      <c r="A1004" s="248"/>
      <c r="B1004" s="249"/>
      <c r="C1004" s="249"/>
      <c r="D1004" s="250"/>
      <c r="E1004" s="249"/>
      <c r="F1004" s="249"/>
      <c r="G1004" s="251"/>
      <c r="H1004" s="249"/>
      <c r="I1004" s="252"/>
      <c r="J1004" s="253"/>
      <c r="K1004" s="42"/>
      <c r="L1004" s="42"/>
      <c r="M1004" s="68"/>
      <c r="N1004" s="68"/>
    </row>
    <row r="1005">
      <c r="A1005" s="248"/>
      <c r="B1005" s="249"/>
      <c r="C1005" s="249"/>
      <c r="D1005" s="250"/>
      <c r="E1005" s="249"/>
      <c r="F1005" s="249"/>
      <c r="G1005" s="251"/>
      <c r="H1005" s="249"/>
      <c r="I1005" s="252"/>
      <c r="J1005" s="253"/>
      <c r="K1005" s="42"/>
      <c r="L1005" s="42"/>
      <c r="M1005" s="68"/>
      <c r="N1005" s="68"/>
    </row>
    <row r="1006">
      <c r="A1006" s="248"/>
      <c r="B1006" s="249"/>
      <c r="C1006" s="249"/>
      <c r="D1006" s="250"/>
      <c r="E1006" s="249"/>
      <c r="F1006" s="249"/>
      <c r="G1006" s="251"/>
      <c r="H1006" s="249"/>
      <c r="I1006" s="252"/>
      <c r="J1006" s="253"/>
      <c r="K1006" s="42"/>
      <c r="L1006" s="42"/>
      <c r="M1006" s="68"/>
      <c r="N1006" s="68"/>
    </row>
    <row r="1007">
      <c r="A1007" s="248"/>
      <c r="B1007" s="249"/>
      <c r="C1007" s="249"/>
      <c r="D1007" s="250"/>
      <c r="E1007" s="249"/>
      <c r="F1007" s="249"/>
      <c r="G1007" s="251"/>
      <c r="H1007" s="249"/>
      <c r="I1007" s="252"/>
      <c r="J1007" s="253"/>
      <c r="K1007" s="42"/>
      <c r="L1007" s="42"/>
      <c r="M1007" s="68"/>
      <c r="N1007" s="68"/>
    </row>
    <row r="1008">
      <c r="A1008" s="248"/>
      <c r="B1008" s="249"/>
      <c r="C1008" s="249"/>
      <c r="D1008" s="250"/>
      <c r="E1008" s="249"/>
      <c r="F1008" s="249"/>
      <c r="G1008" s="251"/>
      <c r="H1008" s="249"/>
      <c r="I1008" s="252"/>
      <c r="J1008" s="253"/>
      <c r="K1008" s="42"/>
      <c r="L1008" s="42"/>
      <c r="M1008" s="68"/>
      <c r="N1008" s="68"/>
    </row>
    <row r="1009">
      <c r="A1009" s="248"/>
      <c r="B1009" s="249"/>
      <c r="C1009" s="249"/>
      <c r="D1009" s="250"/>
      <c r="E1009" s="249"/>
      <c r="F1009" s="249"/>
      <c r="G1009" s="251"/>
      <c r="H1009" s="249"/>
      <c r="I1009" s="252"/>
      <c r="J1009" s="253"/>
      <c r="K1009" s="42"/>
      <c r="L1009" s="42"/>
      <c r="M1009" s="68"/>
      <c r="N1009" s="68"/>
    </row>
    <row r="1010">
      <c r="A1010" s="248"/>
      <c r="B1010" s="249"/>
      <c r="C1010" s="249"/>
      <c r="D1010" s="250"/>
      <c r="E1010" s="249"/>
      <c r="F1010" s="249"/>
      <c r="G1010" s="251"/>
      <c r="H1010" s="249"/>
      <c r="I1010" s="252"/>
      <c r="J1010" s="253"/>
      <c r="K1010" s="42"/>
      <c r="L1010" s="42"/>
      <c r="M1010" s="68"/>
      <c r="N1010" s="68"/>
    </row>
    <row r="1011">
      <c r="A1011" s="248"/>
      <c r="B1011" s="249"/>
      <c r="C1011" s="249"/>
      <c r="D1011" s="250"/>
      <c r="E1011" s="249"/>
      <c r="F1011" s="249"/>
      <c r="G1011" s="251"/>
      <c r="H1011" s="249"/>
      <c r="I1011" s="252"/>
      <c r="J1011" s="253"/>
      <c r="K1011" s="42"/>
      <c r="L1011" s="42"/>
      <c r="M1011" s="68"/>
      <c r="N1011" s="68"/>
    </row>
    <row r="1012">
      <c r="A1012" s="248"/>
      <c r="B1012" s="249"/>
      <c r="C1012" s="249"/>
      <c r="D1012" s="250"/>
      <c r="E1012" s="249"/>
      <c r="F1012" s="249"/>
      <c r="G1012" s="251"/>
      <c r="H1012" s="249"/>
      <c r="I1012" s="252"/>
      <c r="J1012" s="253"/>
      <c r="K1012" s="42"/>
      <c r="L1012" s="42"/>
      <c r="M1012" s="68"/>
      <c r="N1012" s="68"/>
    </row>
    <row r="1013">
      <c r="A1013" s="248"/>
      <c r="B1013" s="249"/>
      <c r="C1013" s="249"/>
      <c r="D1013" s="250"/>
      <c r="E1013" s="249"/>
      <c r="F1013" s="249"/>
      <c r="G1013" s="251"/>
      <c r="H1013" s="249"/>
      <c r="I1013" s="252"/>
      <c r="J1013" s="253"/>
      <c r="K1013" s="42"/>
      <c r="L1013" s="42"/>
      <c r="M1013" s="68"/>
      <c r="N1013" s="68"/>
    </row>
    <row r="1014">
      <c r="A1014" s="248"/>
      <c r="B1014" s="249"/>
      <c r="C1014" s="249"/>
      <c r="D1014" s="250"/>
      <c r="E1014" s="249"/>
      <c r="F1014" s="249"/>
      <c r="G1014" s="251"/>
      <c r="H1014" s="249"/>
      <c r="I1014" s="252"/>
      <c r="J1014" s="253"/>
      <c r="K1014" s="42"/>
      <c r="L1014" s="42"/>
      <c r="M1014" s="68"/>
      <c r="N1014" s="68"/>
    </row>
    <row r="1015">
      <c r="A1015" s="248"/>
      <c r="B1015" s="249"/>
      <c r="C1015" s="249"/>
      <c r="D1015" s="250"/>
      <c r="E1015" s="249"/>
      <c r="F1015" s="249"/>
      <c r="G1015" s="251"/>
      <c r="H1015" s="249"/>
      <c r="I1015" s="252"/>
      <c r="J1015" s="253"/>
      <c r="K1015" s="42"/>
      <c r="L1015" s="42"/>
      <c r="M1015" s="68"/>
      <c r="N1015" s="68"/>
    </row>
    <row r="1016">
      <c r="A1016" s="248"/>
      <c r="B1016" s="249"/>
      <c r="C1016" s="249"/>
      <c r="D1016" s="250"/>
      <c r="E1016" s="249"/>
      <c r="F1016" s="249"/>
      <c r="G1016" s="251"/>
      <c r="H1016" s="249"/>
      <c r="I1016" s="252"/>
      <c r="J1016" s="253"/>
      <c r="K1016" s="42"/>
      <c r="L1016" s="42"/>
      <c r="M1016" s="68"/>
      <c r="N1016" s="68"/>
    </row>
    <row r="1017">
      <c r="A1017" s="248"/>
      <c r="B1017" s="249"/>
      <c r="C1017" s="249"/>
      <c r="D1017" s="250"/>
      <c r="E1017" s="249"/>
      <c r="F1017" s="249"/>
      <c r="G1017" s="251"/>
      <c r="H1017" s="249"/>
      <c r="I1017" s="252"/>
      <c r="J1017" s="253"/>
      <c r="K1017" s="42"/>
      <c r="L1017" s="42"/>
      <c r="M1017" s="68"/>
      <c r="N1017" s="68"/>
    </row>
    <row r="1018">
      <c r="A1018" s="248"/>
      <c r="B1018" s="249"/>
      <c r="C1018" s="249"/>
      <c r="D1018" s="250"/>
      <c r="E1018" s="249"/>
      <c r="F1018" s="249"/>
      <c r="G1018" s="251"/>
      <c r="H1018" s="249"/>
      <c r="I1018" s="252"/>
      <c r="J1018" s="253"/>
      <c r="K1018" s="42"/>
      <c r="L1018" s="42"/>
      <c r="M1018" s="68"/>
      <c r="N1018" s="68"/>
    </row>
    <row r="1019">
      <c r="A1019" s="248"/>
      <c r="B1019" s="249"/>
      <c r="C1019" s="249"/>
      <c r="D1019" s="250"/>
      <c r="E1019" s="249"/>
      <c r="F1019" s="249"/>
      <c r="G1019" s="251"/>
      <c r="H1019" s="249"/>
      <c r="I1019" s="252"/>
      <c r="J1019" s="253"/>
      <c r="K1019" s="42"/>
      <c r="L1019" s="42"/>
      <c r="M1019" s="68"/>
      <c r="N1019" s="68"/>
    </row>
    <row r="1020">
      <c r="A1020" s="248"/>
      <c r="B1020" s="249"/>
      <c r="C1020" s="249"/>
      <c r="D1020" s="250"/>
      <c r="E1020" s="249"/>
      <c r="F1020" s="249"/>
      <c r="G1020" s="251"/>
      <c r="H1020" s="249"/>
      <c r="I1020" s="252"/>
      <c r="J1020" s="253"/>
      <c r="K1020" s="42"/>
      <c r="L1020" s="42"/>
      <c r="M1020" s="68"/>
      <c r="N1020" s="68"/>
    </row>
    <row r="1021">
      <c r="A1021" s="248"/>
      <c r="B1021" s="249"/>
      <c r="C1021" s="249"/>
      <c r="D1021" s="250"/>
      <c r="E1021" s="249"/>
      <c r="F1021" s="249"/>
      <c r="G1021" s="251"/>
      <c r="H1021" s="249"/>
      <c r="I1021" s="252"/>
      <c r="J1021" s="253"/>
      <c r="K1021" s="42"/>
      <c r="L1021" s="42"/>
      <c r="M1021" s="68"/>
      <c r="N1021" s="68"/>
    </row>
    <row r="1022">
      <c r="A1022" s="248"/>
      <c r="B1022" s="249"/>
      <c r="C1022" s="249"/>
      <c r="D1022" s="250"/>
      <c r="E1022" s="249"/>
      <c r="F1022" s="249"/>
      <c r="G1022" s="251"/>
      <c r="H1022" s="249"/>
      <c r="I1022" s="252"/>
      <c r="J1022" s="253"/>
      <c r="K1022" s="42"/>
      <c r="L1022" s="42"/>
      <c r="M1022" s="68"/>
      <c r="N1022" s="68"/>
    </row>
    <row r="1023">
      <c r="A1023" s="248"/>
      <c r="B1023" s="249"/>
      <c r="C1023" s="249"/>
      <c r="D1023" s="250"/>
      <c r="E1023" s="249"/>
      <c r="F1023" s="249"/>
      <c r="G1023" s="251"/>
      <c r="H1023" s="249"/>
      <c r="I1023" s="252"/>
      <c r="J1023" s="253"/>
      <c r="K1023" s="42"/>
      <c r="L1023" s="42"/>
      <c r="M1023" s="68"/>
      <c r="N1023" s="68"/>
    </row>
    <row r="1024">
      <c r="A1024" s="248"/>
      <c r="B1024" s="249"/>
      <c r="C1024" s="249"/>
      <c r="D1024" s="250"/>
      <c r="E1024" s="249"/>
      <c r="F1024" s="249"/>
      <c r="G1024" s="251"/>
      <c r="H1024" s="249"/>
      <c r="I1024" s="252"/>
      <c r="J1024" s="253"/>
      <c r="K1024" s="42"/>
      <c r="L1024" s="42"/>
      <c r="M1024" s="68"/>
      <c r="N1024" s="68"/>
    </row>
    <row r="1025">
      <c r="A1025" s="248"/>
      <c r="B1025" s="249"/>
      <c r="C1025" s="249"/>
      <c r="D1025" s="250"/>
      <c r="E1025" s="249"/>
      <c r="F1025" s="249"/>
      <c r="G1025" s="251"/>
      <c r="H1025" s="249"/>
      <c r="I1025" s="252"/>
      <c r="J1025" s="253"/>
      <c r="K1025" s="42"/>
      <c r="L1025" s="42"/>
      <c r="M1025" s="68"/>
      <c r="N1025" s="68"/>
    </row>
    <row r="1026">
      <c r="A1026" s="248"/>
      <c r="B1026" s="249"/>
      <c r="C1026" s="249"/>
      <c r="D1026" s="250"/>
      <c r="E1026" s="249"/>
      <c r="F1026" s="249"/>
      <c r="G1026" s="251"/>
      <c r="H1026" s="249"/>
      <c r="I1026" s="252"/>
      <c r="J1026" s="253"/>
      <c r="K1026" s="42"/>
      <c r="L1026" s="42"/>
      <c r="M1026" s="68"/>
      <c r="N1026" s="68"/>
    </row>
    <row r="1027">
      <c r="A1027" s="248"/>
      <c r="B1027" s="249"/>
      <c r="C1027" s="249"/>
      <c r="D1027" s="250"/>
      <c r="E1027" s="249"/>
      <c r="F1027" s="249"/>
      <c r="G1027" s="251"/>
      <c r="H1027" s="249"/>
      <c r="I1027" s="252"/>
      <c r="J1027" s="253"/>
      <c r="K1027" s="42"/>
      <c r="L1027" s="42"/>
      <c r="M1027" s="68"/>
      <c r="N1027" s="68"/>
    </row>
    <row r="1028">
      <c r="A1028" s="248"/>
      <c r="B1028" s="249"/>
      <c r="C1028" s="249"/>
      <c r="D1028" s="250"/>
      <c r="E1028" s="249"/>
      <c r="F1028" s="249"/>
      <c r="G1028" s="251"/>
      <c r="H1028" s="249"/>
      <c r="I1028" s="252"/>
      <c r="J1028" s="253"/>
      <c r="K1028" s="42"/>
      <c r="L1028" s="42"/>
      <c r="M1028" s="68"/>
      <c r="N1028" s="68"/>
    </row>
    <row r="1029">
      <c r="A1029" s="248"/>
      <c r="B1029" s="249"/>
      <c r="C1029" s="249"/>
      <c r="D1029" s="250"/>
      <c r="E1029" s="249"/>
      <c r="F1029" s="249"/>
      <c r="G1029" s="251"/>
      <c r="H1029" s="249"/>
      <c r="I1029" s="252"/>
      <c r="J1029" s="253"/>
      <c r="K1029" s="42"/>
      <c r="L1029" s="42"/>
      <c r="M1029" s="68"/>
      <c r="N1029" s="68"/>
    </row>
    <row r="1030">
      <c r="A1030" s="248"/>
      <c r="B1030" s="249"/>
      <c r="C1030" s="249"/>
      <c r="D1030" s="250"/>
      <c r="E1030" s="249"/>
      <c r="F1030" s="249"/>
      <c r="G1030" s="251"/>
      <c r="H1030" s="249"/>
      <c r="I1030" s="252"/>
      <c r="J1030" s="253"/>
      <c r="K1030" s="42"/>
      <c r="L1030" s="42"/>
      <c r="M1030" s="68"/>
      <c r="N1030" s="68"/>
    </row>
    <row r="1031">
      <c r="A1031" s="248"/>
      <c r="B1031" s="249"/>
      <c r="C1031" s="249"/>
      <c r="D1031" s="250"/>
      <c r="E1031" s="249"/>
      <c r="F1031" s="249"/>
      <c r="G1031" s="251"/>
      <c r="H1031" s="249"/>
      <c r="I1031" s="252"/>
      <c r="J1031" s="253"/>
      <c r="K1031" s="42"/>
      <c r="L1031" s="42"/>
      <c r="M1031" s="68"/>
      <c r="N1031" s="68"/>
    </row>
    <row r="1032">
      <c r="A1032" s="248"/>
      <c r="B1032" s="249"/>
      <c r="C1032" s="249"/>
      <c r="D1032" s="250"/>
      <c r="E1032" s="249"/>
      <c r="F1032" s="249"/>
      <c r="G1032" s="251"/>
      <c r="H1032" s="249"/>
      <c r="I1032" s="252"/>
      <c r="J1032" s="253"/>
      <c r="K1032" s="42"/>
      <c r="L1032" s="42"/>
      <c r="M1032" s="68"/>
      <c r="N1032" s="68"/>
    </row>
    <row r="1033">
      <c r="A1033" s="248"/>
      <c r="B1033" s="249"/>
      <c r="C1033" s="249"/>
      <c r="D1033" s="250"/>
      <c r="E1033" s="249"/>
      <c r="F1033" s="249"/>
      <c r="G1033" s="251"/>
      <c r="H1033" s="249"/>
      <c r="I1033" s="252"/>
      <c r="J1033" s="253"/>
      <c r="K1033" s="42"/>
      <c r="L1033" s="42"/>
      <c r="M1033" s="68"/>
      <c r="N1033" s="68"/>
    </row>
    <row r="1034">
      <c r="A1034" s="248"/>
      <c r="B1034" s="249"/>
      <c r="C1034" s="249"/>
      <c r="D1034" s="250"/>
      <c r="E1034" s="249"/>
      <c r="F1034" s="249"/>
      <c r="G1034" s="251"/>
      <c r="H1034" s="249"/>
      <c r="I1034" s="252"/>
      <c r="J1034" s="253"/>
      <c r="K1034" s="42"/>
      <c r="L1034" s="42"/>
      <c r="M1034" s="68"/>
      <c r="N1034" s="68"/>
    </row>
    <row r="1035">
      <c r="A1035" s="248"/>
      <c r="B1035" s="249"/>
      <c r="C1035" s="249"/>
      <c r="D1035" s="250"/>
      <c r="E1035" s="249"/>
      <c r="F1035" s="249"/>
      <c r="G1035" s="251"/>
      <c r="H1035" s="249"/>
      <c r="I1035" s="252"/>
      <c r="J1035" s="253"/>
      <c r="K1035" s="42"/>
      <c r="L1035" s="42"/>
      <c r="M1035" s="68"/>
      <c r="N1035" s="68"/>
    </row>
    <row r="1036">
      <c r="A1036" s="248"/>
      <c r="B1036" s="249"/>
      <c r="C1036" s="249"/>
      <c r="D1036" s="250"/>
      <c r="E1036" s="249"/>
      <c r="F1036" s="249"/>
      <c r="G1036" s="251"/>
      <c r="H1036" s="249"/>
      <c r="I1036" s="252"/>
      <c r="J1036" s="253"/>
      <c r="K1036" s="42"/>
      <c r="L1036" s="42"/>
      <c r="M1036" s="68"/>
      <c r="N1036" s="68"/>
    </row>
    <row r="1037">
      <c r="A1037" s="248"/>
      <c r="B1037" s="249"/>
      <c r="C1037" s="249"/>
      <c r="D1037" s="250"/>
      <c r="E1037" s="249"/>
      <c r="F1037" s="249"/>
      <c r="G1037" s="251"/>
      <c r="H1037" s="249"/>
      <c r="I1037" s="252"/>
      <c r="J1037" s="253"/>
      <c r="K1037" s="42"/>
      <c r="L1037" s="42"/>
      <c r="M1037" s="68"/>
      <c r="N1037" s="68"/>
    </row>
    <row r="1038">
      <c r="A1038" s="248"/>
      <c r="B1038" s="249"/>
      <c r="C1038" s="249"/>
      <c r="D1038" s="250"/>
      <c r="E1038" s="249"/>
      <c r="F1038" s="249"/>
      <c r="G1038" s="251"/>
      <c r="H1038" s="249"/>
      <c r="I1038" s="252"/>
      <c r="J1038" s="253"/>
      <c r="K1038" s="42"/>
      <c r="L1038" s="42"/>
      <c r="M1038" s="68"/>
      <c r="N1038" s="68"/>
    </row>
    <row r="1039">
      <c r="A1039" s="248"/>
      <c r="B1039" s="249"/>
      <c r="C1039" s="249"/>
      <c r="D1039" s="250"/>
      <c r="E1039" s="249"/>
      <c r="F1039" s="249"/>
      <c r="G1039" s="251"/>
      <c r="H1039" s="249"/>
      <c r="I1039" s="252"/>
      <c r="J1039" s="253"/>
      <c r="K1039" s="42"/>
      <c r="L1039" s="42"/>
      <c r="M1039" s="68"/>
      <c r="N1039" s="68"/>
    </row>
    <row r="1040">
      <c r="A1040" s="248"/>
      <c r="B1040" s="249"/>
      <c r="C1040" s="249"/>
      <c r="D1040" s="250"/>
      <c r="E1040" s="249"/>
      <c r="F1040" s="249"/>
      <c r="G1040" s="251"/>
      <c r="H1040" s="249"/>
      <c r="I1040" s="252"/>
      <c r="J1040" s="253"/>
      <c r="K1040" s="42"/>
      <c r="L1040" s="42"/>
      <c r="M1040" s="68"/>
      <c r="N1040" s="68"/>
    </row>
    <row r="1041">
      <c r="A1041" s="248"/>
      <c r="B1041" s="249"/>
      <c r="C1041" s="249"/>
      <c r="D1041" s="250"/>
      <c r="E1041" s="249"/>
      <c r="F1041" s="249"/>
      <c r="G1041" s="251"/>
      <c r="H1041" s="249"/>
      <c r="I1041" s="252"/>
      <c r="J1041" s="253"/>
      <c r="K1041" s="42"/>
      <c r="L1041" s="42"/>
      <c r="M1041" s="68"/>
      <c r="N1041" s="68"/>
    </row>
    <row r="1042">
      <c r="A1042" s="248"/>
      <c r="B1042" s="249"/>
      <c r="C1042" s="249"/>
      <c r="D1042" s="250"/>
      <c r="E1042" s="249"/>
      <c r="F1042" s="249"/>
      <c r="G1042" s="251"/>
      <c r="H1042" s="249"/>
      <c r="I1042" s="252"/>
      <c r="J1042" s="253"/>
      <c r="K1042" s="42"/>
      <c r="L1042" s="42"/>
      <c r="M1042" s="68"/>
      <c r="N1042" s="68"/>
    </row>
    <row r="1043">
      <c r="A1043" s="248"/>
      <c r="B1043" s="249"/>
      <c r="C1043" s="249"/>
      <c r="D1043" s="250"/>
      <c r="E1043" s="249"/>
      <c r="F1043" s="249"/>
      <c r="G1043" s="251"/>
      <c r="H1043" s="249"/>
      <c r="I1043" s="252"/>
      <c r="J1043" s="253"/>
      <c r="K1043" s="42"/>
      <c r="L1043" s="42"/>
      <c r="M1043" s="68"/>
      <c r="N1043" s="68"/>
    </row>
    <row r="1044">
      <c r="A1044" s="248"/>
      <c r="B1044" s="249"/>
      <c r="C1044" s="249"/>
      <c r="D1044" s="250"/>
      <c r="E1044" s="249"/>
      <c r="F1044" s="249"/>
      <c r="G1044" s="251"/>
      <c r="H1044" s="249"/>
      <c r="I1044" s="252"/>
      <c r="J1044" s="253"/>
      <c r="K1044" s="42"/>
      <c r="L1044" s="42"/>
      <c r="M1044" s="68"/>
      <c r="N1044" s="68"/>
    </row>
    <row r="1045">
      <c r="A1045" s="248"/>
      <c r="B1045" s="249"/>
      <c r="C1045" s="249"/>
      <c r="D1045" s="250"/>
      <c r="E1045" s="249"/>
      <c r="F1045" s="249"/>
      <c r="G1045" s="251"/>
      <c r="H1045" s="249"/>
      <c r="I1045" s="252"/>
      <c r="J1045" s="253"/>
      <c r="K1045" s="42"/>
      <c r="L1045" s="42"/>
      <c r="M1045" s="68"/>
      <c r="N1045" s="68"/>
    </row>
    <row r="1046">
      <c r="A1046" s="248"/>
      <c r="B1046" s="249"/>
      <c r="C1046" s="249"/>
      <c r="D1046" s="250"/>
      <c r="E1046" s="249"/>
      <c r="F1046" s="249"/>
      <c r="G1046" s="251"/>
      <c r="H1046" s="249"/>
      <c r="I1046" s="252"/>
      <c r="J1046" s="253"/>
      <c r="K1046" s="42"/>
      <c r="L1046" s="42"/>
      <c r="M1046" s="68"/>
      <c r="N1046" s="68"/>
    </row>
    <row r="1047">
      <c r="A1047" s="248"/>
      <c r="B1047" s="249"/>
      <c r="C1047" s="249"/>
      <c r="D1047" s="250"/>
      <c r="E1047" s="249"/>
      <c r="F1047" s="249"/>
      <c r="G1047" s="251"/>
      <c r="H1047" s="249"/>
      <c r="I1047" s="252"/>
      <c r="J1047" s="253"/>
      <c r="K1047" s="42"/>
      <c r="L1047" s="42"/>
      <c r="M1047" s="68"/>
      <c r="N1047" s="68"/>
    </row>
    <row r="1048">
      <c r="A1048" s="248"/>
      <c r="B1048" s="249"/>
      <c r="C1048" s="249"/>
      <c r="D1048" s="250"/>
      <c r="E1048" s="249"/>
      <c r="F1048" s="249"/>
      <c r="G1048" s="251"/>
      <c r="H1048" s="249"/>
      <c r="I1048" s="252"/>
      <c r="J1048" s="253"/>
      <c r="K1048" s="42"/>
      <c r="L1048" s="42"/>
      <c r="M1048" s="68"/>
      <c r="N1048" s="68"/>
    </row>
    <row r="1049">
      <c r="A1049" s="248"/>
      <c r="B1049" s="249"/>
      <c r="C1049" s="249"/>
      <c r="D1049" s="250"/>
      <c r="E1049" s="249"/>
      <c r="F1049" s="249"/>
      <c r="G1049" s="251"/>
      <c r="H1049" s="249"/>
      <c r="I1049" s="252"/>
      <c r="J1049" s="253"/>
      <c r="K1049" s="42"/>
      <c r="L1049" s="42"/>
      <c r="M1049" s="68"/>
      <c r="N1049" s="68"/>
    </row>
    <row r="1050">
      <c r="A1050" s="248"/>
      <c r="B1050" s="249"/>
      <c r="C1050" s="249"/>
      <c r="D1050" s="250"/>
      <c r="E1050" s="249"/>
      <c r="F1050" s="249"/>
      <c r="G1050" s="251"/>
      <c r="H1050" s="249"/>
      <c r="I1050" s="252"/>
      <c r="J1050" s="253"/>
      <c r="K1050" s="42"/>
      <c r="L1050" s="42"/>
      <c r="M1050" s="68"/>
      <c r="N1050" s="68"/>
    </row>
    <row r="1051">
      <c r="A1051" s="248"/>
      <c r="B1051" s="249"/>
      <c r="C1051" s="249"/>
      <c r="D1051" s="250"/>
      <c r="E1051" s="249"/>
      <c r="F1051" s="249"/>
      <c r="G1051" s="251"/>
      <c r="H1051" s="249"/>
      <c r="I1051" s="252"/>
      <c r="J1051" s="253"/>
      <c r="K1051" s="42"/>
      <c r="L1051" s="42"/>
      <c r="M1051" s="68"/>
      <c r="N1051" s="68"/>
    </row>
    <row r="1052">
      <c r="A1052" s="248"/>
      <c r="B1052" s="249"/>
      <c r="C1052" s="249"/>
      <c r="D1052" s="250"/>
      <c r="E1052" s="249"/>
      <c r="F1052" s="249"/>
      <c r="G1052" s="251"/>
      <c r="H1052" s="249"/>
      <c r="I1052" s="252"/>
      <c r="J1052" s="253"/>
      <c r="K1052" s="42"/>
      <c r="L1052" s="42"/>
      <c r="M1052" s="68"/>
      <c r="N1052" s="68"/>
    </row>
    <row r="1053">
      <c r="A1053" s="248"/>
      <c r="B1053" s="249"/>
      <c r="C1053" s="249"/>
      <c r="D1053" s="250"/>
      <c r="E1053" s="249"/>
      <c r="F1053" s="249"/>
      <c r="G1053" s="251"/>
      <c r="H1053" s="249"/>
      <c r="I1053" s="252"/>
      <c r="J1053" s="253"/>
      <c r="K1053" s="42"/>
      <c r="L1053" s="42"/>
      <c r="M1053" s="68"/>
      <c r="N1053" s="68"/>
    </row>
    <row r="1054">
      <c r="A1054" s="248"/>
      <c r="B1054" s="249"/>
      <c r="C1054" s="249"/>
      <c r="D1054" s="250"/>
      <c r="E1054" s="249"/>
      <c r="F1054" s="249"/>
      <c r="G1054" s="251"/>
      <c r="H1054" s="249"/>
      <c r="I1054" s="252"/>
      <c r="J1054" s="253"/>
      <c r="K1054" s="42"/>
      <c r="L1054" s="42"/>
      <c r="M1054" s="68"/>
      <c r="N1054" s="68"/>
    </row>
    <row r="1055">
      <c r="A1055" s="248"/>
      <c r="B1055" s="249"/>
      <c r="C1055" s="249"/>
      <c r="D1055" s="250"/>
      <c r="E1055" s="249"/>
      <c r="F1055" s="249"/>
      <c r="G1055" s="251"/>
      <c r="H1055" s="249"/>
      <c r="I1055" s="252"/>
      <c r="J1055" s="253"/>
      <c r="K1055" s="42"/>
      <c r="L1055" s="42"/>
      <c r="M1055" s="68"/>
      <c r="N1055" s="68"/>
    </row>
    <row r="1056">
      <c r="A1056" s="248"/>
      <c r="B1056" s="249"/>
      <c r="C1056" s="249"/>
      <c r="D1056" s="250"/>
      <c r="E1056" s="249"/>
      <c r="F1056" s="249"/>
      <c r="G1056" s="251"/>
      <c r="H1056" s="249"/>
      <c r="I1056" s="252"/>
      <c r="J1056" s="253"/>
      <c r="K1056" s="42"/>
      <c r="L1056" s="42"/>
      <c r="M1056" s="68"/>
      <c r="N1056" s="68"/>
    </row>
    <row r="1057">
      <c r="A1057" s="248"/>
      <c r="B1057" s="249"/>
      <c r="C1057" s="249"/>
      <c r="D1057" s="250"/>
      <c r="E1057" s="249"/>
      <c r="F1057" s="249"/>
      <c r="G1057" s="251"/>
      <c r="H1057" s="249"/>
      <c r="I1057" s="252"/>
      <c r="J1057" s="253"/>
      <c r="K1057" s="42"/>
      <c r="L1057" s="42"/>
      <c r="M1057" s="68"/>
      <c r="N1057" s="68"/>
    </row>
    <row r="1058">
      <c r="A1058" s="248"/>
      <c r="B1058" s="249"/>
      <c r="C1058" s="249"/>
      <c r="D1058" s="250"/>
      <c r="E1058" s="249"/>
      <c r="F1058" s="249"/>
      <c r="G1058" s="251"/>
      <c r="H1058" s="249"/>
      <c r="I1058" s="252"/>
      <c r="J1058" s="253"/>
      <c r="K1058" s="42"/>
      <c r="L1058" s="42"/>
      <c r="M1058" s="68"/>
      <c r="N1058" s="68"/>
    </row>
    <row r="1059">
      <c r="A1059" s="248"/>
      <c r="B1059" s="249"/>
      <c r="C1059" s="249"/>
      <c r="D1059" s="250"/>
      <c r="E1059" s="249"/>
      <c r="F1059" s="249"/>
      <c r="G1059" s="251"/>
      <c r="H1059" s="249"/>
      <c r="I1059" s="252"/>
      <c r="J1059" s="253"/>
      <c r="K1059" s="42"/>
      <c r="L1059" s="42"/>
      <c r="M1059" s="68"/>
      <c r="N1059" s="68"/>
    </row>
    <row r="1060">
      <c r="A1060" s="248"/>
      <c r="B1060" s="249"/>
      <c r="C1060" s="249"/>
      <c r="D1060" s="250"/>
      <c r="E1060" s="249"/>
      <c r="F1060" s="249"/>
      <c r="G1060" s="251"/>
      <c r="H1060" s="249"/>
      <c r="I1060" s="252"/>
      <c r="J1060" s="253"/>
      <c r="K1060" s="42"/>
      <c r="L1060" s="42"/>
      <c r="M1060" s="68"/>
      <c r="N1060" s="68"/>
    </row>
    <row r="1061">
      <c r="A1061" s="248"/>
      <c r="B1061" s="249"/>
      <c r="C1061" s="249"/>
      <c r="D1061" s="250"/>
      <c r="E1061" s="249"/>
      <c r="F1061" s="249"/>
      <c r="G1061" s="251"/>
      <c r="H1061" s="249"/>
      <c r="I1061" s="252"/>
      <c r="J1061" s="253"/>
      <c r="K1061" s="42"/>
      <c r="L1061" s="42"/>
      <c r="M1061" s="68"/>
      <c r="N1061" s="68"/>
    </row>
    <row r="1062">
      <c r="A1062" s="248"/>
      <c r="B1062" s="249"/>
      <c r="C1062" s="249"/>
      <c r="D1062" s="250"/>
      <c r="E1062" s="249"/>
      <c r="F1062" s="249"/>
      <c r="G1062" s="251"/>
      <c r="H1062" s="249"/>
      <c r="I1062" s="252"/>
      <c r="J1062" s="253"/>
      <c r="K1062" s="42"/>
      <c r="L1062" s="42"/>
      <c r="M1062" s="68"/>
      <c r="N1062" s="68"/>
    </row>
    <row r="1063">
      <c r="A1063" s="248"/>
      <c r="B1063" s="249"/>
      <c r="C1063" s="249"/>
      <c r="D1063" s="250"/>
      <c r="E1063" s="249"/>
      <c r="F1063" s="249"/>
      <c r="G1063" s="251"/>
      <c r="H1063" s="249"/>
      <c r="I1063" s="252"/>
      <c r="J1063" s="253"/>
      <c r="K1063" s="42"/>
      <c r="L1063" s="42"/>
      <c r="M1063" s="68"/>
      <c r="N1063" s="68"/>
    </row>
    <row r="1064">
      <c r="A1064" s="248"/>
      <c r="B1064" s="249"/>
      <c r="C1064" s="249"/>
      <c r="D1064" s="250"/>
      <c r="E1064" s="249"/>
      <c r="F1064" s="249"/>
      <c r="G1064" s="251"/>
      <c r="H1064" s="249"/>
      <c r="I1064" s="252"/>
      <c r="J1064" s="253"/>
      <c r="K1064" s="42"/>
      <c r="L1064" s="42"/>
      <c r="M1064" s="68"/>
      <c r="N1064" s="68"/>
    </row>
    <row r="1065">
      <c r="A1065" s="248"/>
      <c r="B1065" s="249"/>
      <c r="C1065" s="249"/>
      <c r="D1065" s="250"/>
      <c r="E1065" s="249"/>
      <c r="F1065" s="249"/>
      <c r="G1065" s="251"/>
      <c r="H1065" s="249"/>
      <c r="I1065" s="252"/>
      <c r="J1065" s="253"/>
      <c r="K1065" s="42"/>
      <c r="L1065" s="42"/>
      <c r="M1065" s="68"/>
      <c r="N1065" s="68"/>
    </row>
    <row r="1066">
      <c r="A1066" s="248"/>
      <c r="B1066" s="249"/>
      <c r="C1066" s="249"/>
      <c r="D1066" s="250"/>
      <c r="E1066" s="249"/>
      <c r="F1066" s="249"/>
      <c r="G1066" s="251"/>
      <c r="H1066" s="249"/>
      <c r="I1066" s="252"/>
      <c r="J1066" s="253"/>
      <c r="K1066" s="42"/>
      <c r="L1066" s="42"/>
      <c r="M1066" s="68"/>
      <c r="N1066" s="68"/>
    </row>
    <row r="1067">
      <c r="A1067" s="248"/>
      <c r="B1067" s="249"/>
      <c r="C1067" s="249"/>
      <c r="D1067" s="250"/>
      <c r="E1067" s="249"/>
      <c r="F1067" s="249"/>
      <c r="G1067" s="251"/>
      <c r="H1067" s="249"/>
      <c r="I1067" s="252"/>
      <c r="J1067" s="253"/>
      <c r="K1067" s="42"/>
      <c r="L1067" s="42"/>
      <c r="M1067" s="68"/>
      <c r="N1067" s="68"/>
    </row>
    <row r="1068">
      <c r="A1068" s="248"/>
      <c r="B1068" s="249"/>
      <c r="C1068" s="249"/>
      <c r="D1068" s="250"/>
      <c r="E1068" s="249"/>
      <c r="F1068" s="249"/>
      <c r="G1068" s="251"/>
      <c r="H1068" s="249"/>
      <c r="I1068" s="252"/>
      <c r="J1068" s="253"/>
      <c r="K1068" s="42"/>
      <c r="L1068" s="42"/>
      <c r="M1068" s="68"/>
      <c r="N1068" s="68"/>
    </row>
    <row r="1069">
      <c r="A1069" s="248"/>
      <c r="B1069" s="249"/>
      <c r="C1069" s="249"/>
      <c r="D1069" s="250"/>
      <c r="E1069" s="249"/>
      <c r="F1069" s="249"/>
      <c r="G1069" s="251"/>
      <c r="H1069" s="249"/>
      <c r="I1069" s="252"/>
      <c r="J1069" s="253"/>
      <c r="K1069" s="42"/>
      <c r="L1069" s="42"/>
      <c r="M1069" s="68"/>
      <c r="N1069" s="68"/>
    </row>
    <row r="1070">
      <c r="A1070" s="248"/>
      <c r="B1070" s="249"/>
      <c r="C1070" s="249"/>
      <c r="D1070" s="250"/>
      <c r="E1070" s="249"/>
      <c r="F1070" s="249"/>
      <c r="G1070" s="251"/>
      <c r="H1070" s="249"/>
      <c r="I1070" s="252"/>
      <c r="J1070" s="253"/>
      <c r="K1070" s="42"/>
      <c r="L1070" s="42"/>
      <c r="M1070" s="68"/>
      <c r="N1070" s="68"/>
    </row>
    <row r="1071">
      <c r="A1071" s="248"/>
      <c r="B1071" s="249"/>
      <c r="C1071" s="249"/>
      <c r="D1071" s="250"/>
      <c r="E1071" s="249"/>
      <c r="F1071" s="249"/>
      <c r="G1071" s="251"/>
      <c r="H1071" s="249"/>
      <c r="I1071" s="252"/>
      <c r="J1071" s="253"/>
      <c r="K1071" s="42"/>
      <c r="L1071" s="42"/>
      <c r="M1071" s="68"/>
      <c r="N1071" s="68"/>
    </row>
    <row r="1072">
      <c r="A1072" s="248"/>
      <c r="B1072" s="249"/>
      <c r="C1072" s="249"/>
      <c r="D1072" s="250"/>
      <c r="E1072" s="249"/>
      <c r="F1072" s="249"/>
      <c r="G1072" s="251"/>
      <c r="H1072" s="249"/>
      <c r="I1072" s="252"/>
      <c r="J1072" s="253"/>
      <c r="K1072" s="42"/>
      <c r="L1072" s="42"/>
      <c r="M1072" s="68"/>
      <c r="N1072" s="68"/>
    </row>
    <row r="1073">
      <c r="A1073" s="248"/>
      <c r="B1073" s="249"/>
      <c r="C1073" s="249"/>
      <c r="D1073" s="250"/>
      <c r="E1073" s="249"/>
      <c r="F1073" s="249"/>
      <c r="G1073" s="251"/>
      <c r="H1073" s="249"/>
      <c r="I1073" s="252"/>
      <c r="J1073" s="253"/>
      <c r="K1073" s="42"/>
      <c r="L1073" s="42"/>
      <c r="M1073" s="68"/>
      <c r="N1073" s="68"/>
    </row>
    <row r="1074">
      <c r="A1074" s="248"/>
      <c r="B1074" s="249"/>
      <c r="C1074" s="249"/>
      <c r="D1074" s="250"/>
      <c r="E1074" s="249"/>
      <c r="F1074" s="249"/>
      <c r="G1074" s="251"/>
      <c r="H1074" s="249"/>
      <c r="I1074" s="252"/>
      <c r="J1074" s="253"/>
      <c r="K1074" s="42"/>
      <c r="L1074" s="42"/>
      <c r="M1074" s="68"/>
      <c r="N1074" s="68"/>
    </row>
    <row r="1075">
      <c r="A1075" s="248"/>
      <c r="B1075" s="249"/>
      <c r="C1075" s="249"/>
      <c r="D1075" s="250"/>
      <c r="E1075" s="249"/>
      <c r="F1075" s="249"/>
      <c r="G1075" s="251"/>
      <c r="H1075" s="249"/>
      <c r="I1075" s="252"/>
      <c r="J1075" s="253"/>
      <c r="K1075" s="42"/>
      <c r="L1075" s="42"/>
      <c r="M1075" s="68"/>
      <c r="N1075" s="68"/>
    </row>
    <row r="1076">
      <c r="A1076" s="248"/>
      <c r="B1076" s="249"/>
      <c r="C1076" s="249"/>
      <c r="D1076" s="250"/>
      <c r="E1076" s="249"/>
      <c r="F1076" s="249"/>
      <c r="G1076" s="251"/>
      <c r="H1076" s="249"/>
      <c r="I1076" s="252"/>
      <c r="J1076" s="253"/>
      <c r="K1076" s="42"/>
      <c r="L1076" s="42"/>
      <c r="M1076" s="68"/>
      <c r="N1076" s="68"/>
    </row>
    <row r="1077">
      <c r="A1077" s="248"/>
      <c r="B1077" s="249"/>
      <c r="C1077" s="249"/>
      <c r="D1077" s="250"/>
      <c r="E1077" s="249"/>
      <c r="F1077" s="249"/>
      <c r="G1077" s="251"/>
      <c r="H1077" s="249"/>
      <c r="I1077" s="252"/>
      <c r="J1077" s="253"/>
      <c r="K1077" s="42"/>
      <c r="L1077" s="42"/>
      <c r="M1077" s="68"/>
      <c r="N1077" s="68"/>
    </row>
    <row r="1078">
      <c r="A1078" s="248"/>
      <c r="B1078" s="249"/>
      <c r="C1078" s="249"/>
      <c r="D1078" s="250"/>
      <c r="E1078" s="249"/>
      <c r="F1078" s="249"/>
      <c r="G1078" s="251"/>
      <c r="H1078" s="249"/>
      <c r="I1078" s="252"/>
      <c r="J1078" s="253"/>
      <c r="K1078" s="42"/>
      <c r="L1078" s="42"/>
      <c r="M1078" s="68"/>
      <c r="N1078" s="68"/>
    </row>
    <row r="1079">
      <c r="A1079" s="248"/>
      <c r="B1079" s="249"/>
      <c r="C1079" s="249"/>
      <c r="D1079" s="250"/>
      <c r="E1079" s="249"/>
      <c r="F1079" s="249"/>
      <c r="G1079" s="251"/>
      <c r="H1079" s="249"/>
      <c r="I1079" s="252"/>
      <c r="J1079" s="253"/>
      <c r="K1079" s="42"/>
      <c r="L1079" s="42"/>
      <c r="M1079" s="68"/>
      <c r="N1079" s="68"/>
    </row>
    <row r="1080">
      <c r="A1080" s="248"/>
      <c r="B1080" s="249"/>
      <c r="C1080" s="249"/>
      <c r="D1080" s="250"/>
      <c r="E1080" s="249"/>
      <c r="F1080" s="249"/>
      <c r="G1080" s="251"/>
      <c r="H1080" s="249"/>
      <c r="I1080" s="252"/>
      <c r="J1080" s="253"/>
      <c r="K1080" s="42"/>
      <c r="L1080" s="42"/>
      <c r="M1080" s="68"/>
      <c r="N1080" s="68"/>
    </row>
    <row r="1081">
      <c r="A1081" s="248"/>
      <c r="B1081" s="249"/>
      <c r="C1081" s="249"/>
      <c r="D1081" s="250"/>
      <c r="E1081" s="249"/>
      <c r="F1081" s="249"/>
      <c r="G1081" s="251"/>
      <c r="H1081" s="249"/>
      <c r="I1081" s="252"/>
      <c r="J1081" s="253"/>
      <c r="K1081" s="42"/>
      <c r="L1081" s="42"/>
      <c r="M1081" s="68"/>
      <c r="N1081" s="68"/>
    </row>
    <row r="1082">
      <c r="A1082" s="248"/>
      <c r="B1082" s="249"/>
      <c r="C1082" s="249"/>
      <c r="D1082" s="250"/>
      <c r="E1082" s="249"/>
      <c r="F1082" s="249"/>
      <c r="G1082" s="251"/>
      <c r="H1082" s="249"/>
      <c r="I1082" s="252"/>
      <c r="J1082" s="253"/>
      <c r="K1082" s="42"/>
      <c r="L1082" s="42"/>
      <c r="M1082" s="68"/>
      <c r="N1082" s="68"/>
    </row>
    <row r="1083">
      <c r="A1083" s="248"/>
      <c r="B1083" s="249"/>
      <c r="C1083" s="249"/>
      <c r="D1083" s="250"/>
      <c r="E1083" s="249"/>
      <c r="F1083" s="249"/>
      <c r="G1083" s="251"/>
      <c r="H1083" s="249"/>
      <c r="I1083" s="252"/>
      <c r="J1083" s="253"/>
      <c r="K1083" s="42"/>
      <c r="L1083" s="42"/>
      <c r="M1083" s="68"/>
      <c r="N1083" s="68"/>
    </row>
    <row r="1084">
      <c r="A1084" s="248"/>
      <c r="B1084" s="249"/>
      <c r="C1084" s="249"/>
      <c r="D1084" s="250"/>
      <c r="E1084" s="249"/>
      <c r="F1084" s="249"/>
      <c r="G1084" s="251"/>
      <c r="H1084" s="249"/>
      <c r="I1084" s="252"/>
      <c r="J1084" s="253"/>
      <c r="K1084" s="42"/>
      <c r="L1084" s="42"/>
      <c r="M1084" s="68"/>
      <c r="N1084" s="68"/>
    </row>
    <row r="1085">
      <c r="A1085" s="248"/>
      <c r="B1085" s="249"/>
      <c r="C1085" s="249"/>
      <c r="D1085" s="250"/>
      <c r="E1085" s="249"/>
      <c r="F1085" s="249"/>
      <c r="G1085" s="251"/>
      <c r="H1085" s="249"/>
      <c r="I1085" s="252"/>
      <c r="J1085" s="253"/>
      <c r="K1085" s="42"/>
      <c r="L1085" s="42"/>
      <c r="M1085" s="68"/>
      <c r="N1085" s="68"/>
    </row>
    <row r="1086">
      <c r="A1086" s="248"/>
      <c r="B1086" s="249"/>
      <c r="C1086" s="249"/>
      <c r="D1086" s="250"/>
      <c r="E1086" s="249"/>
      <c r="F1086" s="249"/>
      <c r="G1086" s="251"/>
      <c r="H1086" s="249"/>
      <c r="I1086" s="252"/>
      <c r="J1086" s="253"/>
      <c r="K1086" s="42"/>
      <c r="L1086" s="42"/>
      <c r="M1086" s="68"/>
      <c r="N1086" s="68"/>
    </row>
    <row r="1087">
      <c r="A1087" s="248"/>
      <c r="B1087" s="249"/>
      <c r="C1087" s="249"/>
      <c r="D1087" s="250"/>
      <c r="E1087" s="249"/>
      <c r="F1087" s="249"/>
      <c r="G1087" s="251"/>
      <c r="H1087" s="249"/>
      <c r="I1087" s="252"/>
      <c r="J1087" s="253"/>
      <c r="K1087" s="42"/>
      <c r="L1087" s="42"/>
      <c r="M1087" s="68"/>
      <c r="N1087" s="68"/>
    </row>
    <row r="1088">
      <c r="A1088" s="248"/>
      <c r="B1088" s="249"/>
      <c r="C1088" s="249"/>
      <c r="D1088" s="250"/>
      <c r="E1088" s="249"/>
      <c r="F1088" s="249"/>
      <c r="G1088" s="251"/>
      <c r="H1088" s="249"/>
      <c r="I1088" s="252"/>
      <c r="J1088" s="253"/>
      <c r="K1088" s="42"/>
      <c r="L1088" s="42"/>
      <c r="M1088" s="68"/>
      <c r="N1088" s="68"/>
    </row>
    <row r="1089">
      <c r="A1089" s="248"/>
      <c r="B1089" s="249"/>
      <c r="C1089" s="249"/>
      <c r="D1089" s="250"/>
      <c r="E1089" s="249"/>
      <c r="F1089" s="249"/>
      <c r="G1089" s="251"/>
      <c r="H1089" s="249"/>
      <c r="I1089" s="252"/>
      <c r="J1089" s="253"/>
      <c r="K1089" s="42"/>
      <c r="L1089" s="42"/>
      <c r="M1089" s="68"/>
      <c r="N1089" s="68"/>
    </row>
    <row r="1090">
      <c r="A1090" s="248"/>
      <c r="B1090" s="249"/>
      <c r="C1090" s="249"/>
      <c r="D1090" s="250"/>
      <c r="E1090" s="249"/>
      <c r="F1090" s="249"/>
      <c r="G1090" s="251"/>
      <c r="H1090" s="249"/>
      <c r="I1090" s="252"/>
      <c r="J1090" s="253"/>
      <c r="K1090" s="42"/>
      <c r="L1090" s="42"/>
      <c r="M1090" s="68"/>
      <c r="N1090" s="68"/>
    </row>
    <row r="1091">
      <c r="A1091" s="248"/>
      <c r="B1091" s="249"/>
      <c r="C1091" s="249"/>
      <c r="D1091" s="250"/>
      <c r="E1091" s="249"/>
      <c r="F1091" s="249"/>
      <c r="G1091" s="251"/>
      <c r="H1091" s="249"/>
      <c r="I1091" s="252"/>
      <c r="J1091" s="253"/>
      <c r="K1091" s="42"/>
      <c r="L1091" s="42"/>
      <c r="M1091" s="68"/>
      <c r="N1091" s="68"/>
    </row>
    <row r="1092">
      <c r="A1092" s="248"/>
      <c r="B1092" s="249"/>
      <c r="C1092" s="249"/>
      <c r="D1092" s="250"/>
      <c r="E1092" s="249"/>
      <c r="F1092" s="249"/>
      <c r="G1092" s="251"/>
      <c r="H1092" s="249"/>
      <c r="I1092" s="252"/>
      <c r="J1092" s="253"/>
      <c r="K1092" s="42"/>
      <c r="L1092" s="42"/>
      <c r="M1092" s="68"/>
      <c r="N1092" s="68"/>
    </row>
    <row r="1093">
      <c r="A1093" s="248"/>
      <c r="B1093" s="249"/>
      <c r="C1093" s="249"/>
      <c r="D1093" s="250"/>
      <c r="E1093" s="249"/>
      <c r="F1093" s="249"/>
      <c r="G1093" s="251"/>
      <c r="H1093" s="249"/>
      <c r="I1093" s="252"/>
      <c r="J1093" s="253"/>
      <c r="K1093" s="42"/>
      <c r="L1093" s="42"/>
      <c r="M1093" s="68"/>
      <c r="N1093" s="68"/>
    </row>
    <row r="1094">
      <c r="A1094" s="248"/>
      <c r="B1094" s="249"/>
      <c r="C1094" s="249"/>
      <c r="D1094" s="250"/>
      <c r="E1094" s="249"/>
      <c r="F1094" s="249"/>
      <c r="G1094" s="251"/>
      <c r="H1094" s="249"/>
      <c r="I1094" s="252"/>
      <c r="J1094" s="253"/>
      <c r="K1094" s="42"/>
      <c r="L1094" s="42"/>
      <c r="M1094" s="68"/>
      <c r="N1094" s="68"/>
    </row>
    <row r="1095">
      <c r="A1095" s="248"/>
      <c r="B1095" s="249"/>
      <c r="C1095" s="249"/>
      <c r="D1095" s="250"/>
      <c r="E1095" s="249"/>
      <c r="F1095" s="249"/>
      <c r="G1095" s="251"/>
      <c r="H1095" s="249"/>
      <c r="I1095" s="252"/>
      <c r="J1095" s="253"/>
      <c r="K1095" s="42"/>
      <c r="L1095" s="42"/>
      <c r="M1095" s="68"/>
      <c r="N1095" s="68"/>
    </row>
    <row r="1096">
      <c r="A1096" s="248"/>
      <c r="B1096" s="249"/>
      <c r="C1096" s="249"/>
      <c r="D1096" s="250"/>
      <c r="E1096" s="249"/>
      <c r="F1096" s="249"/>
      <c r="G1096" s="251"/>
      <c r="H1096" s="249"/>
      <c r="I1096" s="252"/>
      <c r="J1096" s="253"/>
      <c r="K1096" s="42"/>
      <c r="L1096" s="42"/>
      <c r="M1096" s="68"/>
      <c r="N1096" s="68"/>
    </row>
    <row r="1097">
      <c r="A1097" s="248"/>
      <c r="B1097" s="249"/>
      <c r="C1097" s="249"/>
      <c r="D1097" s="250"/>
      <c r="E1097" s="249"/>
      <c r="F1097" s="249"/>
      <c r="G1097" s="251"/>
      <c r="H1097" s="249"/>
      <c r="I1097" s="252"/>
      <c r="J1097" s="253"/>
      <c r="K1097" s="42"/>
      <c r="L1097" s="42"/>
      <c r="M1097" s="68"/>
      <c r="N1097" s="68"/>
    </row>
    <row r="1098">
      <c r="A1098" s="248"/>
      <c r="B1098" s="249"/>
      <c r="C1098" s="249"/>
      <c r="D1098" s="250"/>
      <c r="E1098" s="249"/>
      <c r="F1098" s="249"/>
      <c r="G1098" s="251"/>
      <c r="H1098" s="249"/>
      <c r="I1098" s="252"/>
      <c r="J1098" s="253"/>
      <c r="K1098" s="42"/>
      <c r="L1098" s="42"/>
      <c r="M1098" s="68"/>
      <c r="N1098" s="68"/>
    </row>
    <row r="1099">
      <c r="A1099" s="248"/>
      <c r="B1099" s="249"/>
      <c r="C1099" s="249"/>
      <c r="D1099" s="250"/>
      <c r="E1099" s="249"/>
      <c r="F1099" s="249"/>
      <c r="G1099" s="251"/>
      <c r="H1099" s="249"/>
      <c r="I1099" s="252"/>
      <c r="J1099" s="253"/>
      <c r="K1099" s="42"/>
      <c r="L1099" s="42"/>
      <c r="M1099" s="68"/>
      <c r="N1099" s="68"/>
    </row>
    <row r="1100">
      <c r="A1100" s="248"/>
      <c r="B1100" s="249"/>
      <c r="C1100" s="249"/>
      <c r="D1100" s="250"/>
      <c r="E1100" s="249"/>
      <c r="F1100" s="249"/>
      <c r="G1100" s="251"/>
      <c r="H1100" s="249"/>
      <c r="I1100" s="252"/>
      <c r="J1100" s="253"/>
      <c r="K1100" s="42"/>
      <c r="L1100" s="42"/>
      <c r="M1100" s="68"/>
      <c r="N1100" s="68"/>
    </row>
    <row r="1101">
      <c r="A1101" s="248"/>
      <c r="B1101" s="249"/>
      <c r="C1101" s="249"/>
      <c r="D1101" s="250"/>
      <c r="E1101" s="249"/>
      <c r="F1101" s="249"/>
      <c r="G1101" s="251"/>
      <c r="H1101" s="249"/>
      <c r="I1101" s="252"/>
      <c r="J1101" s="253"/>
      <c r="K1101" s="42"/>
      <c r="L1101" s="42"/>
      <c r="M1101" s="68"/>
      <c r="N1101" s="68"/>
    </row>
    <row r="1102">
      <c r="A1102" s="248"/>
      <c r="B1102" s="249"/>
      <c r="C1102" s="249"/>
      <c r="D1102" s="250"/>
      <c r="E1102" s="249"/>
      <c r="F1102" s="249"/>
      <c r="G1102" s="251"/>
      <c r="H1102" s="249"/>
      <c r="I1102" s="252"/>
      <c r="J1102" s="253"/>
      <c r="K1102" s="42"/>
      <c r="L1102" s="42"/>
      <c r="M1102" s="68"/>
      <c r="N1102" s="68"/>
    </row>
    <row r="1103">
      <c r="A1103" s="248"/>
      <c r="B1103" s="249"/>
      <c r="C1103" s="249"/>
      <c r="D1103" s="250"/>
      <c r="E1103" s="249"/>
      <c r="F1103" s="249"/>
      <c r="G1103" s="251"/>
      <c r="H1103" s="249"/>
      <c r="I1103" s="252"/>
      <c r="J1103" s="253"/>
      <c r="K1103" s="42"/>
      <c r="L1103" s="42"/>
      <c r="M1103" s="68"/>
      <c r="N1103" s="68"/>
    </row>
    <row r="1104">
      <c r="A1104" s="248"/>
      <c r="B1104" s="249"/>
      <c r="C1104" s="249"/>
      <c r="D1104" s="250"/>
      <c r="E1104" s="249"/>
      <c r="F1104" s="249"/>
      <c r="G1104" s="251"/>
      <c r="H1104" s="249"/>
      <c r="I1104" s="252"/>
      <c r="J1104" s="253"/>
      <c r="K1104" s="42"/>
      <c r="L1104" s="42"/>
      <c r="M1104" s="68"/>
      <c r="N1104" s="68"/>
    </row>
    <row r="1105">
      <c r="A1105" s="248"/>
      <c r="B1105" s="249"/>
      <c r="C1105" s="249"/>
      <c r="D1105" s="250"/>
      <c r="E1105" s="249"/>
      <c r="F1105" s="249"/>
      <c r="G1105" s="251"/>
      <c r="H1105" s="249"/>
      <c r="I1105" s="252"/>
      <c r="J1105" s="253"/>
      <c r="K1105" s="42"/>
      <c r="L1105" s="42"/>
      <c r="M1105" s="68"/>
      <c r="N1105" s="68"/>
    </row>
    <row r="1106">
      <c r="A1106" s="248"/>
      <c r="B1106" s="249"/>
      <c r="C1106" s="249"/>
      <c r="D1106" s="250"/>
      <c r="E1106" s="249"/>
      <c r="F1106" s="249"/>
      <c r="G1106" s="251"/>
      <c r="H1106" s="249"/>
      <c r="I1106" s="252"/>
      <c r="J1106" s="253"/>
      <c r="K1106" s="42"/>
      <c r="L1106" s="42"/>
      <c r="M1106" s="68"/>
      <c r="N1106" s="68"/>
    </row>
    <row r="1107">
      <c r="A1107" s="248"/>
      <c r="B1107" s="249"/>
      <c r="C1107" s="249"/>
      <c r="D1107" s="250"/>
      <c r="E1107" s="249"/>
      <c r="F1107" s="249"/>
      <c r="G1107" s="251"/>
      <c r="H1107" s="249"/>
      <c r="I1107" s="252"/>
      <c r="J1107" s="253"/>
      <c r="K1107" s="42"/>
      <c r="L1107" s="42"/>
      <c r="M1107" s="68"/>
      <c r="N1107" s="68"/>
    </row>
    <row r="1108">
      <c r="A1108" s="248"/>
      <c r="B1108" s="249"/>
      <c r="C1108" s="249"/>
      <c r="D1108" s="250"/>
      <c r="E1108" s="249"/>
      <c r="F1108" s="249"/>
      <c r="G1108" s="251"/>
      <c r="H1108" s="249"/>
      <c r="I1108" s="252"/>
      <c r="J1108" s="253"/>
      <c r="K1108" s="42"/>
      <c r="L1108" s="42"/>
      <c r="M1108" s="68"/>
      <c r="N1108" s="68"/>
    </row>
    <row r="1109">
      <c r="A1109" s="248"/>
      <c r="B1109" s="249"/>
      <c r="C1109" s="249"/>
      <c r="D1109" s="250"/>
      <c r="E1109" s="249"/>
      <c r="F1109" s="249"/>
      <c r="G1109" s="251"/>
      <c r="H1109" s="249"/>
      <c r="I1109" s="252"/>
      <c r="J1109" s="253"/>
      <c r="K1109" s="42"/>
      <c r="L1109" s="42"/>
      <c r="M1109" s="68"/>
      <c r="N1109" s="68"/>
    </row>
    <row r="1110">
      <c r="A1110" s="248"/>
      <c r="B1110" s="249"/>
      <c r="C1110" s="249"/>
      <c r="D1110" s="250"/>
      <c r="E1110" s="249"/>
      <c r="F1110" s="249"/>
      <c r="G1110" s="251"/>
      <c r="H1110" s="249"/>
      <c r="I1110" s="252"/>
      <c r="J1110" s="253"/>
      <c r="K1110" s="42"/>
      <c r="L1110" s="42"/>
      <c r="M1110" s="68"/>
      <c r="N1110" s="68"/>
    </row>
    <row r="1111">
      <c r="A1111" s="248"/>
      <c r="B1111" s="249"/>
      <c r="C1111" s="249"/>
      <c r="D1111" s="250"/>
      <c r="E1111" s="249"/>
      <c r="F1111" s="249"/>
      <c r="G1111" s="251"/>
      <c r="H1111" s="249"/>
      <c r="I1111" s="252"/>
      <c r="J1111" s="253"/>
      <c r="K1111" s="42"/>
      <c r="L1111" s="42"/>
      <c r="M1111" s="68"/>
      <c r="N1111" s="68"/>
    </row>
    <row r="1112">
      <c r="A1112" s="248"/>
      <c r="B1112" s="249"/>
      <c r="C1112" s="249"/>
      <c r="D1112" s="250"/>
      <c r="E1112" s="249"/>
      <c r="F1112" s="249"/>
      <c r="G1112" s="251"/>
      <c r="H1112" s="249"/>
      <c r="I1112" s="252"/>
      <c r="J1112" s="253"/>
      <c r="K1112" s="42"/>
      <c r="L1112" s="42"/>
      <c r="M1112" s="68"/>
      <c r="N1112" s="68"/>
    </row>
    <row r="1113">
      <c r="A1113" s="248"/>
      <c r="B1113" s="249"/>
      <c r="C1113" s="249"/>
      <c r="D1113" s="250"/>
      <c r="E1113" s="249"/>
      <c r="F1113" s="249"/>
      <c r="G1113" s="251"/>
      <c r="H1113" s="249"/>
      <c r="I1113" s="252"/>
      <c r="J1113" s="253"/>
      <c r="K1113" s="42"/>
      <c r="L1113" s="42"/>
      <c r="M1113" s="68"/>
      <c r="N1113" s="68"/>
    </row>
    <row r="1114">
      <c r="A1114" s="248"/>
      <c r="B1114" s="249"/>
      <c r="C1114" s="249"/>
      <c r="D1114" s="250"/>
      <c r="E1114" s="249"/>
      <c r="F1114" s="249"/>
      <c r="G1114" s="251"/>
      <c r="H1114" s="249"/>
      <c r="I1114" s="252"/>
      <c r="J1114" s="253"/>
      <c r="K1114" s="42"/>
      <c r="L1114" s="42"/>
      <c r="M1114" s="68"/>
      <c r="N1114" s="68"/>
    </row>
    <row r="1115">
      <c r="A1115" s="248"/>
      <c r="B1115" s="249"/>
      <c r="C1115" s="249"/>
      <c r="D1115" s="250"/>
      <c r="E1115" s="249"/>
      <c r="F1115" s="249"/>
      <c r="G1115" s="251"/>
      <c r="H1115" s="249"/>
      <c r="I1115" s="252"/>
      <c r="J1115" s="253"/>
      <c r="K1115" s="42"/>
      <c r="L1115" s="42"/>
      <c r="M1115" s="68"/>
      <c r="N1115" s="68"/>
    </row>
    <row r="1116">
      <c r="A1116" s="248"/>
      <c r="B1116" s="249"/>
      <c r="C1116" s="249"/>
      <c r="D1116" s="250"/>
      <c r="E1116" s="249"/>
      <c r="F1116" s="249"/>
      <c r="G1116" s="251"/>
      <c r="H1116" s="249"/>
      <c r="I1116" s="252"/>
      <c r="J1116" s="253"/>
      <c r="K1116" s="42"/>
      <c r="L1116" s="42"/>
      <c r="M1116" s="68"/>
      <c r="N1116" s="68"/>
    </row>
    <row r="1117">
      <c r="A1117" s="248"/>
      <c r="B1117" s="249"/>
      <c r="C1117" s="249"/>
      <c r="D1117" s="250"/>
      <c r="E1117" s="249"/>
      <c r="F1117" s="249"/>
      <c r="G1117" s="251"/>
      <c r="H1117" s="249"/>
      <c r="I1117" s="252"/>
      <c r="J1117" s="253"/>
      <c r="K1117" s="42"/>
      <c r="L1117" s="42"/>
      <c r="M1117" s="68"/>
      <c r="N1117" s="68"/>
    </row>
    <row r="1118">
      <c r="A1118" s="248"/>
      <c r="B1118" s="249"/>
      <c r="C1118" s="249"/>
      <c r="D1118" s="250"/>
      <c r="E1118" s="249"/>
      <c r="F1118" s="249"/>
      <c r="G1118" s="251"/>
      <c r="H1118" s="249"/>
      <c r="I1118" s="252"/>
      <c r="J1118" s="253"/>
      <c r="K1118" s="42"/>
      <c r="L1118" s="42"/>
      <c r="M1118" s="68"/>
      <c r="N1118" s="68"/>
    </row>
    <row r="1119">
      <c r="A1119" s="248"/>
      <c r="B1119" s="249"/>
      <c r="C1119" s="249"/>
      <c r="D1119" s="250"/>
      <c r="E1119" s="249"/>
      <c r="F1119" s="249"/>
      <c r="G1119" s="251"/>
      <c r="H1119" s="249"/>
      <c r="I1119" s="252"/>
      <c r="J1119" s="253"/>
      <c r="K1119" s="42"/>
      <c r="L1119" s="42"/>
      <c r="M1119" s="68"/>
      <c r="N1119" s="68"/>
    </row>
    <row r="1120">
      <c r="A1120" s="248"/>
      <c r="B1120" s="249"/>
      <c r="C1120" s="249"/>
      <c r="D1120" s="250"/>
      <c r="E1120" s="249"/>
      <c r="F1120" s="249"/>
      <c r="G1120" s="251"/>
      <c r="H1120" s="249"/>
      <c r="I1120" s="252"/>
      <c r="J1120" s="253"/>
      <c r="K1120" s="42"/>
      <c r="L1120" s="42"/>
      <c r="M1120" s="68"/>
      <c r="N1120" s="68"/>
    </row>
    <row r="1121">
      <c r="A1121" s="248"/>
      <c r="B1121" s="249"/>
      <c r="C1121" s="249"/>
      <c r="D1121" s="250"/>
      <c r="E1121" s="249"/>
      <c r="F1121" s="249"/>
      <c r="G1121" s="251"/>
      <c r="H1121" s="249"/>
      <c r="I1121" s="252"/>
      <c r="J1121" s="253"/>
      <c r="K1121" s="42"/>
      <c r="L1121" s="42"/>
      <c r="M1121" s="68"/>
      <c r="N1121" s="68"/>
    </row>
    <row r="1122">
      <c r="A1122" s="248"/>
      <c r="B1122" s="249"/>
      <c r="C1122" s="249"/>
      <c r="D1122" s="250"/>
      <c r="E1122" s="249"/>
      <c r="F1122" s="249"/>
      <c r="G1122" s="251"/>
      <c r="H1122" s="249"/>
      <c r="I1122" s="252"/>
      <c r="J1122" s="253"/>
      <c r="K1122" s="42"/>
      <c r="L1122" s="42"/>
      <c r="M1122" s="68"/>
      <c r="N1122" s="68"/>
    </row>
    <row r="1123">
      <c r="A1123" s="248"/>
      <c r="B1123" s="249"/>
      <c r="C1123" s="249"/>
      <c r="D1123" s="250"/>
      <c r="E1123" s="249"/>
      <c r="F1123" s="249"/>
      <c r="G1123" s="251"/>
      <c r="H1123" s="249"/>
      <c r="I1123" s="252"/>
      <c r="J1123" s="253"/>
      <c r="K1123" s="42"/>
      <c r="L1123" s="42"/>
      <c r="M1123" s="68"/>
      <c r="N1123" s="68"/>
    </row>
    <row r="1124">
      <c r="A1124" s="248"/>
      <c r="B1124" s="249"/>
      <c r="C1124" s="249"/>
      <c r="D1124" s="250"/>
      <c r="E1124" s="249"/>
      <c r="F1124" s="249"/>
      <c r="G1124" s="251"/>
      <c r="H1124" s="249"/>
      <c r="I1124" s="252"/>
      <c r="J1124" s="253"/>
      <c r="K1124" s="42"/>
      <c r="L1124" s="42"/>
      <c r="M1124" s="68"/>
      <c r="N1124" s="68"/>
    </row>
    <row r="1125">
      <c r="A1125" s="248"/>
      <c r="B1125" s="249"/>
      <c r="C1125" s="249"/>
      <c r="D1125" s="250"/>
      <c r="E1125" s="249"/>
      <c r="F1125" s="249"/>
      <c r="G1125" s="251"/>
      <c r="H1125" s="249"/>
      <c r="I1125" s="252"/>
      <c r="J1125" s="253"/>
      <c r="K1125" s="42"/>
      <c r="L1125" s="42"/>
      <c r="M1125" s="68"/>
      <c r="N1125" s="68"/>
    </row>
    <row r="1126">
      <c r="A1126" s="248"/>
      <c r="B1126" s="249"/>
      <c r="C1126" s="249"/>
      <c r="D1126" s="250"/>
      <c r="E1126" s="249"/>
      <c r="F1126" s="249"/>
      <c r="G1126" s="251"/>
      <c r="H1126" s="249"/>
      <c r="I1126" s="252"/>
      <c r="J1126" s="253"/>
      <c r="K1126" s="42"/>
      <c r="L1126" s="42"/>
      <c r="M1126" s="68"/>
      <c r="N1126" s="68"/>
    </row>
    <row r="1127">
      <c r="A1127" s="248"/>
      <c r="B1127" s="249"/>
      <c r="C1127" s="249"/>
      <c r="D1127" s="250"/>
      <c r="E1127" s="249"/>
      <c r="F1127" s="249"/>
      <c r="G1127" s="251"/>
      <c r="H1127" s="249"/>
      <c r="I1127" s="252"/>
      <c r="J1127" s="253"/>
      <c r="K1127" s="42"/>
      <c r="L1127" s="42"/>
      <c r="M1127" s="68"/>
      <c r="N1127" s="68"/>
    </row>
    <row r="1128">
      <c r="A1128" s="248"/>
      <c r="B1128" s="249"/>
      <c r="C1128" s="249"/>
      <c r="D1128" s="250"/>
      <c r="E1128" s="249"/>
      <c r="F1128" s="249"/>
      <c r="G1128" s="251"/>
      <c r="H1128" s="249"/>
      <c r="I1128" s="252"/>
      <c r="J1128" s="253"/>
      <c r="K1128" s="42"/>
      <c r="L1128" s="42"/>
      <c r="M1128" s="68"/>
      <c r="N1128" s="68"/>
    </row>
    <row r="1129">
      <c r="A1129" s="248"/>
      <c r="B1129" s="249"/>
      <c r="C1129" s="249"/>
      <c r="D1129" s="250"/>
      <c r="E1129" s="249"/>
      <c r="F1129" s="249"/>
      <c r="G1129" s="251"/>
      <c r="H1129" s="249"/>
      <c r="I1129" s="252"/>
      <c r="J1129" s="253"/>
      <c r="K1129" s="42"/>
      <c r="L1129" s="42"/>
      <c r="M1129" s="68"/>
      <c r="N1129" s="68"/>
    </row>
    <row r="1130">
      <c r="A1130" s="248"/>
      <c r="B1130" s="249"/>
      <c r="C1130" s="249"/>
      <c r="D1130" s="250"/>
      <c r="E1130" s="249"/>
      <c r="F1130" s="249"/>
      <c r="G1130" s="251"/>
      <c r="H1130" s="249"/>
      <c r="I1130" s="252"/>
      <c r="J1130" s="253"/>
      <c r="K1130" s="42"/>
      <c r="L1130" s="42"/>
      <c r="M1130" s="68"/>
      <c r="N1130" s="68"/>
    </row>
    <row r="1131">
      <c r="A1131" s="248"/>
      <c r="B1131" s="249"/>
      <c r="C1131" s="249"/>
      <c r="D1131" s="250"/>
      <c r="E1131" s="249"/>
      <c r="F1131" s="249"/>
      <c r="G1131" s="251"/>
      <c r="H1131" s="249"/>
      <c r="I1131" s="252"/>
      <c r="J1131" s="253"/>
      <c r="K1131" s="42"/>
      <c r="L1131" s="42"/>
      <c r="M1131" s="68"/>
      <c r="N1131" s="68"/>
    </row>
    <row r="1132">
      <c r="A1132" s="248"/>
      <c r="B1132" s="249"/>
      <c r="C1132" s="249"/>
      <c r="D1132" s="250"/>
      <c r="E1132" s="249"/>
      <c r="F1132" s="249"/>
      <c r="G1132" s="251"/>
      <c r="H1132" s="249"/>
      <c r="I1132" s="252"/>
      <c r="J1132" s="253"/>
      <c r="K1132" s="42"/>
      <c r="L1132" s="42"/>
      <c r="M1132" s="68"/>
      <c r="N1132" s="68"/>
    </row>
    <row r="1133">
      <c r="A1133" s="248"/>
      <c r="B1133" s="249"/>
      <c r="C1133" s="249"/>
      <c r="D1133" s="250"/>
      <c r="E1133" s="249"/>
      <c r="F1133" s="249"/>
      <c r="G1133" s="251"/>
      <c r="H1133" s="249"/>
      <c r="I1133" s="252"/>
      <c r="J1133" s="253"/>
      <c r="K1133" s="42"/>
      <c r="L1133" s="42"/>
      <c r="M1133" s="68"/>
      <c r="N1133" s="68"/>
    </row>
    <row r="1134">
      <c r="A1134" s="248"/>
      <c r="B1134" s="249"/>
      <c r="C1134" s="249"/>
      <c r="D1134" s="250"/>
      <c r="E1134" s="249"/>
      <c r="F1134" s="249"/>
      <c r="G1134" s="251"/>
      <c r="H1134" s="249"/>
      <c r="I1134" s="252"/>
      <c r="J1134" s="253"/>
      <c r="K1134" s="42"/>
      <c r="L1134" s="42"/>
      <c r="M1134" s="68"/>
      <c r="N1134" s="68"/>
    </row>
    <row r="1135">
      <c r="A1135" s="248"/>
      <c r="B1135" s="249"/>
      <c r="C1135" s="249"/>
      <c r="D1135" s="250"/>
      <c r="E1135" s="249"/>
      <c r="F1135" s="249"/>
      <c r="G1135" s="251"/>
      <c r="H1135" s="249"/>
      <c r="I1135" s="252"/>
      <c r="J1135" s="253"/>
      <c r="K1135" s="42"/>
      <c r="L1135" s="42"/>
      <c r="M1135" s="68"/>
      <c r="N1135" s="68"/>
    </row>
    <row r="1136">
      <c r="A1136" s="248"/>
      <c r="B1136" s="249"/>
      <c r="C1136" s="249"/>
      <c r="D1136" s="250"/>
      <c r="E1136" s="249"/>
      <c r="F1136" s="249"/>
      <c r="G1136" s="251"/>
      <c r="H1136" s="249"/>
      <c r="I1136" s="252"/>
      <c r="J1136" s="253"/>
      <c r="K1136" s="42"/>
      <c r="L1136" s="42"/>
      <c r="M1136" s="68"/>
      <c r="N1136" s="68"/>
    </row>
    <row r="1137">
      <c r="A1137" s="248"/>
      <c r="B1137" s="249"/>
      <c r="C1137" s="249"/>
      <c r="D1137" s="250"/>
      <c r="E1137" s="249"/>
      <c r="F1137" s="249"/>
      <c r="G1137" s="251"/>
      <c r="H1137" s="249"/>
      <c r="I1137" s="252"/>
      <c r="J1137" s="253"/>
      <c r="K1137" s="42"/>
      <c r="L1137" s="42"/>
      <c r="M1137" s="68"/>
      <c r="N1137" s="68"/>
    </row>
    <row r="1138">
      <c r="A1138" s="248"/>
      <c r="B1138" s="249"/>
      <c r="C1138" s="249"/>
      <c r="D1138" s="250"/>
      <c r="E1138" s="249"/>
      <c r="F1138" s="249"/>
      <c r="G1138" s="251"/>
      <c r="H1138" s="249"/>
      <c r="I1138" s="252"/>
      <c r="J1138" s="253"/>
      <c r="K1138" s="42"/>
      <c r="L1138" s="42"/>
      <c r="M1138" s="68"/>
      <c r="N1138" s="68"/>
    </row>
    <row r="1139">
      <c r="A1139" s="248"/>
      <c r="B1139" s="249"/>
      <c r="C1139" s="249"/>
      <c r="D1139" s="250"/>
      <c r="E1139" s="249"/>
      <c r="F1139" s="249"/>
      <c r="G1139" s="251"/>
      <c r="H1139" s="249"/>
      <c r="I1139" s="252"/>
      <c r="J1139" s="253"/>
      <c r="K1139" s="42"/>
      <c r="L1139" s="42"/>
      <c r="M1139" s="68"/>
      <c r="N1139" s="68"/>
    </row>
    <row r="1140">
      <c r="A1140" s="248"/>
      <c r="B1140" s="249"/>
      <c r="C1140" s="249"/>
      <c r="D1140" s="250"/>
      <c r="E1140" s="249"/>
      <c r="F1140" s="249"/>
      <c r="G1140" s="251"/>
      <c r="H1140" s="249"/>
      <c r="I1140" s="252"/>
      <c r="J1140" s="253"/>
      <c r="K1140" s="42"/>
      <c r="L1140" s="42"/>
      <c r="M1140" s="68"/>
      <c r="N1140" s="68"/>
    </row>
    <row r="1141">
      <c r="A1141" s="248"/>
      <c r="B1141" s="249"/>
      <c r="C1141" s="249"/>
      <c r="D1141" s="250"/>
      <c r="E1141" s="249"/>
      <c r="F1141" s="249"/>
      <c r="G1141" s="251"/>
      <c r="H1141" s="249"/>
      <c r="I1141" s="252"/>
      <c r="J1141" s="253"/>
      <c r="K1141" s="42"/>
      <c r="L1141" s="42"/>
      <c r="M1141" s="68"/>
      <c r="N1141" s="68"/>
    </row>
    <row r="1142">
      <c r="A1142" s="248"/>
      <c r="B1142" s="249"/>
      <c r="C1142" s="249"/>
      <c r="D1142" s="250"/>
      <c r="E1142" s="249"/>
      <c r="F1142" s="249"/>
      <c r="G1142" s="251"/>
      <c r="H1142" s="249"/>
      <c r="I1142" s="252"/>
      <c r="J1142" s="253"/>
      <c r="K1142" s="42"/>
      <c r="L1142" s="42"/>
      <c r="M1142" s="68"/>
      <c r="N1142" s="68"/>
    </row>
    <row r="1143">
      <c r="A1143" s="248"/>
      <c r="B1143" s="249"/>
      <c r="C1143" s="249"/>
      <c r="D1143" s="250"/>
      <c r="E1143" s="249"/>
      <c r="F1143" s="249"/>
      <c r="G1143" s="251"/>
      <c r="H1143" s="249"/>
      <c r="I1143" s="252"/>
      <c r="J1143" s="253"/>
      <c r="K1143" s="42"/>
      <c r="L1143" s="42"/>
      <c r="M1143" s="68"/>
      <c r="N1143" s="68"/>
    </row>
    <row r="1144">
      <c r="A1144" s="248"/>
      <c r="B1144" s="249"/>
      <c r="C1144" s="249"/>
      <c r="D1144" s="250"/>
      <c r="E1144" s="249"/>
      <c r="F1144" s="249"/>
      <c r="G1144" s="251"/>
      <c r="H1144" s="249"/>
      <c r="I1144" s="252"/>
      <c r="J1144" s="253"/>
      <c r="K1144" s="42"/>
      <c r="L1144" s="42"/>
      <c r="M1144" s="68"/>
      <c r="N1144" s="68"/>
    </row>
    <row r="1145">
      <c r="A1145" s="248"/>
      <c r="B1145" s="249"/>
      <c r="C1145" s="249"/>
      <c r="D1145" s="250"/>
      <c r="E1145" s="249"/>
      <c r="F1145" s="249"/>
      <c r="G1145" s="251"/>
      <c r="H1145" s="249"/>
      <c r="I1145" s="252"/>
      <c r="J1145" s="253"/>
      <c r="K1145" s="42"/>
      <c r="L1145" s="42"/>
      <c r="M1145" s="68"/>
      <c r="N1145" s="68"/>
    </row>
    <row r="1146">
      <c r="A1146" s="248"/>
      <c r="B1146" s="249"/>
      <c r="C1146" s="249"/>
      <c r="D1146" s="250"/>
      <c r="E1146" s="249"/>
      <c r="F1146" s="249"/>
      <c r="G1146" s="251"/>
      <c r="H1146" s="249"/>
      <c r="I1146" s="252"/>
      <c r="J1146" s="253"/>
      <c r="K1146" s="42"/>
      <c r="L1146" s="42"/>
      <c r="M1146" s="68"/>
      <c r="N1146" s="68"/>
    </row>
    <row r="1147">
      <c r="A1147" s="248"/>
      <c r="B1147" s="249"/>
      <c r="C1147" s="249"/>
      <c r="D1147" s="250"/>
      <c r="E1147" s="249"/>
      <c r="F1147" s="249"/>
      <c r="G1147" s="251"/>
      <c r="H1147" s="249"/>
      <c r="I1147" s="252"/>
      <c r="J1147" s="253"/>
      <c r="K1147" s="42"/>
      <c r="L1147" s="42"/>
      <c r="M1147" s="68"/>
      <c r="N1147" s="68"/>
    </row>
    <row r="1148">
      <c r="A1148" s="248"/>
      <c r="B1148" s="249"/>
      <c r="C1148" s="249"/>
      <c r="D1148" s="250"/>
      <c r="E1148" s="249"/>
      <c r="F1148" s="249"/>
      <c r="G1148" s="251"/>
      <c r="H1148" s="249"/>
      <c r="I1148" s="252"/>
      <c r="J1148" s="253"/>
      <c r="K1148" s="42"/>
      <c r="L1148" s="42"/>
      <c r="M1148" s="68"/>
      <c r="N1148" s="68"/>
    </row>
    <row r="1149">
      <c r="A1149" s="248"/>
      <c r="B1149" s="249"/>
      <c r="C1149" s="249"/>
      <c r="D1149" s="250"/>
      <c r="E1149" s="249"/>
      <c r="F1149" s="249"/>
      <c r="G1149" s="251"/>
      <c r="H1149" s="249"/>
      <c r="I1149" s="252"/>
      <c r="J1149" s="253"/>
      <c r="K1149" s="42"/>
      <c r="L1149" s="42"/>
      <c r="M1149" s="68"/>
      <c r="N1149" s="68"/>
    </row>
    <row r="1150">
      <c r="A1150" s="248"/>
      <c r="B1150" s="249"/>
      <c r="C1150" s="249"/>
      <c r="D1150" s="250"/>
      <c r="E1150" s="249"/>
      <c r="F1150" s="249"/>
      <c r="G1150" s="251"/>
      <c r="H1150" s="249"/>
      <c r="I1150" s="252"/>
      <c r="J1150" s="253"/>
      <c r="K1150" s="42"/>
      <c r="L1150" s="42"/>
      <c r="M1150" s="68"/>
      <c r="N1150" s="68"/>
    </row>
    <row r="1151">
      <c r="A1151" s="248"/>
      <c r="B1151" s="249"/>
      <c r="C1151" s="249"/>
      <c r="D1151" s="250"/>
      <c r="E1151" s="249"/>
      <c r="F1151" s="249"/>
      <c r="G1151" s="251"/>
      <c r="H1151" s="249"/>
      <c r="I1151" s="252"/>
      <c r="J1151" s="253"/>
      <c r="K1151" s="42"/>
      <c r="L1151" s="42"/>
      <c r="M1151" s="68"/>
      <c r="N1151" s="68"/>
    </row>
    <row r="1152">
      <c r="A1152" s="248"/>
      <c r="B1152" s="249"/>
      <c r="C1152" s="249"/>
      <c r="D1152" s="250"/>
      <c r="E1152" s="249"/>
      <c r="F1152" s="249"/>
      <c r="G1152" s="251"/>
      <c r="H1152" s="249"/>
      <c r="I1152" s="252"/>
      <c r="J1152" s="253"/>
      <c r="K1152" s="42"/>
      <c r="L1152" s="42"/>
      <c r="M1152" s="68"/>
      <c r="N1152" s="68"/>
    </row>
    <row r="1153">
      <c r="A1153" s="248"/>
      <c r="B1153" s="249"/>
      <c r="C1153" s="249"/>
      <c r="D1153" s="250"/>
      <c r="E1153" s="249"/>
      <c r="F1153" s="249"/>
      <c r="G1153" s="251"/>
      <c r="H1153" s="249"/>
      <c r="I1153" s="252"/>
      <c r="J1153" s="253"/>
      <c r="K1153" s="42"/>
      <c r="L1153" s="42"/>
      <c r="M1153" s="68"/>
      <c r="N1153" s="68"/>
    </row>
    <row r="1154">
      <c r="A1154" s="248"/>
      <c r="B1154" s="249"/>
      <c r="C1154" s="249"/>
      <c r="D1154" s="250"/>
      <c r="E1154" s="249"/>
      <c r="F1154" s="249"/>
      <c r="G1154" s="251"/>
      <c r="H1154" s="249"/>
      <c r="I1154" s="252"/>
      <c r="J1154" s="253"/>
      <c r="K1154" s="42"/>
      <c r="L1154" s="42"/>
      <c r="M1154" s="68"/>
      <c r="N1154" s="68"/>
    </row>
    <row r="1155">
      <c r="A1155" s="248"/>
      <c r="B1155" s="249"/>
      <c r="C1155" s="249"/>
      <c r="D1155" s="250"/>
      <c r="E1155" s="249"/>
      <c r="F1155" s="249"/>
      <c r="G1155" s="251"/>
      <c r="H1155" s="249"/>
      <c r="I1155" s="252"/>
      <c r="J1155" s="253"/>
      <c r="K1155" s="42"/>
      <c r="L1155" s="42"/>
      <c r="M1155" s="68"/>
      <c r="N1155" s="68"/>
    </row>
    <row r="1156">
      <c r="A1156" s="248"/>
      <c r="B1156" s="249"/>
      <c r="C1156" s="249"/>
      <c r="D1156" s="250"/>
      <c r="E1156" s="249"/>
      <c r="F1156" s="249"/>
      <c r="G1156" s="251"/>
      <c r="H1156" s="249"/>
      <c r="I1156" s="252"/>
      <c r="J1156" s="253"/>
      <c r="K1156" s="42"/>
      <c r="L1156" s="42"/>
      <c r="M1156" s="68"/>
      <c r="N1156" s="68"/>
    </row>
    <row r="1157">
      <c r="A1157" s="248"/>
      <c r="B1157" s="249"/>
      <c r="C1157" s="249"/>
      <c r="D1157" s="250"/>
      <c r="E1157" s="249"/>
      <c r="F1157" s="249"/>
      <c r="G1157" s="251"/>
      <c r="H1157" s="249"/>
      <c r="I1157" s="252"/>
      <c r="J1157" s="253"/>
      <c r="K1157" s="42"/>
      <c r="L1157" s="42"/>
      <c r="M1157" s="68"/>
      <c r="N1157" s="68"/>
    </row>
    <row r="1158">
      <c r="A1158" s="248"/>
      <c r="B1158" s="249"/>
      <c r="C1158" s="249"/>
      <c r="D1158" s="250"/>
      <c r="E1158" s="249"/>
      <c r="F1158" s="249"/>
      <c r="G1158" s="251"/>
      <c r="H1158" s="249"/>
      <c r="I1158" s="252"/>
      <c r="J1158" s="253"/>
      <c r="K1158" s="42"/>
      <c r="L1158" s="42"/>
      <c r="M1158" s="68"/>
      <c r="N1158" s="68"/>
    </row>
    <row r="1159">
      <c r="A1159" s="248"/>
      <c r="B1159" s="249"/>
      <c r="C1159" s="249"/>
      <c r="D1159" s="250"/>
      <c r="E1159" s="249"/>
      <c r="F1159" s="249"/>
      <c r="G1159" s="251"/>
      <c r="H1159" s="249"/>
      <c r="I1159" s="252"/>
      <c r="J1159" s="253"/>
      <c r="K1159" s="42"/>
      <c r="L1159" s="42"/>
      <c r="M1159" s="68"/>
      <c r="N1159" s="68"/>
    </row>
    <row r="1160">
      <c r="A1160" s="248"/>
      <c r="B1160" s="249"/>
      <c r="C1160" s="249"/>
      <c r="D1160" s="250"/>
      <c r="E1160" s="249"/>
      <c r="F1160" s="249"/>
      <c r="G1160" s="251"/>
      <c r="H1160" s="249"/>
      <c r="I1160" s="252"/>
      <c r="J1160" s="253"/>
      <c r="K1160" s="42"/>
      <c r="L1160" s="42"/>
      <c r="M1160" s="68"/>
      <c r="N1160" s="68"/>
    </row>
    <row r="1161">
      <c r="A1161" s="248"/>
      <c r="B1161" s="249"/>
      <c r="C1161" s="249"/>
      <c r="D1161" s="250"/>
      <c r="E1161" s="249"/>
      <c r="F1161" s="249"/>
      <c r="G1161" s="251"/>
      <c r="H1161" s="249"/>
      <c r="I1161" s="252"/>
      <c r="J1161" s="253"/>
      <c r="K1161" s="42"/>
      <c r="L1161" s="42"/>
      <c r="M1161" s="68"/>
      <c r="N1161" s="68"/>
    </row>
    <row r="1162">
      <c r="A1162" s="248"/>
      <c r="B1162" s="249"/>
      <c r="C1162" s="249"/>
      <c r="D1162" s="250"/>
      <c r="E1162" s="249"/>
      <c r="F1162" s="249"/>
      <c r="G1162" s="251"/>
      <c r="H1162" s="249"/>
      <c r="I1162" s="252"/>
      <c r="J1162" s="253"/>
      <c r="K1162" s="42"/>
      <c r="L1162" s="42"/>
      <c r="M1162" s="68"/>
      <c r="N1162" s="68"/>
    </row>
    <row r="1163">
      <c r="A1163" s="248"/>
      <c r="B1163" s="249"/>
      <c r="C1163" s="249"/>
      <c r="D1163" s="250"/>
      <c r="E1163" s="249"/>
      <c r="F1163" s="249"/>
      <c r="G1163" s="251"/>
      <c r="H1163" s="249"/>
      <c r="I1163" s="252"/>
      <c r="J1163" s="253"/>
      <c r="K1163" s="42"/>
      <c r="L1163" s="42"/>
      <c r="M1163" s="68"/>
      <c r="N1163" s="68"/>
    </row>
    <row r="1164">
      <c r="A1164" s="248"/>
      <c r="B1164" s="249"/>
      <c r="C1164" s="249"/>
      <c r="D1164" s="250"/>
      <c r="E1164" s="249"/>
      <c r="F1164" s="249"/>
      <c r="G1164" s="251"/>
      <c r="H1164" s="249"/>
      <c r="I1164" s="252"/>
      <c r="J1164" s="253"/>
      <c r="K1164" s="42"/>
      <c r="L1164" s="42"/>
      <c r="M1164" s="68"/>
      <c r="N1164" s="68"/>
    </row>
    <row r="1165">
      <c r="A1165" s="248"/>
      <c r="B1165" s="249"/>
      <c r="C1165" s="249"/>
      <c r="D1165" s="250"/>
      <c r="E1165" s="249"/>
      <c r="F1165" s="249"/>
      <c r="G1165" s="251"/>
      <c r="H1165" s="249"/>
      <c r="I1165" s="252"/>
      <c r="J1165" s="253"/>
      <c r="K1165" s="42"/>
      <c r="L1165" s="42"/>
      <c r="M1165" s="68"/>
      <c r="N1165" s="68"/>
    </row>
    <row r="1166">
      <c r="A1166" s="248"/>
      <c r="B1166" s="249"/>
      <c r="C1166" s="249"/>
      <c r="D1166" s="250"/>
      <c r="E1166" s="249"/>
      <c r="F1166" s="249"/>
      <c r="G1166" s="251"/>
      <c r="H1166" s="249"/>
      <c r="I1166" s="252"/>
      <c r="J1166" s="253"/>
      <c r="K1166" s="42"/>
      <c r="L1166" s="42"/>
      <c r="M1166" s="68"/>
      <c r="N1166" s="68"/>
    </row>
    <row r="1167">
      <c r="A1167" s="248"/>
      <c r="B1167" s="249"/>
      <c r="C1167" s="249"/>
      <c r="D1167" s="250"/>
      <c r="E1167" s="249"/>
      <c r="F1167" s="249"/>
      <c r="G1167" s="251"/>
      <c r="H1167" s="249"/>
      <c r="I1167" s="252"/>
      <c r="J1167" s="253"/>
      <c r="K1167" s="42"/>
      <c r="L1167" s="42"/>
      <c r="M1167" s="68"/>
      <c r="N1167" s="68"/>
    </row>
    <row r="1168">
      <c r="A1168" s="248"/>
      <c r="B1168" s="249"/>
      <c r="C1168" s="249"/>
      <c r="D1168" s="250"/>
      <c r="E1168" s="249"/>
      <c r="F1168" s="249"/>
      <c r="G1168" s="251"/>
      <c r="H1168" s="249"/>
      <c r="I1168" s="252"/>
      <c r="J1168" s="253"/>
      <c r="K1168" s="42"/>
      <c r="L1168" s="42"/>
      <c r="M1168" s="68"/>
      <c r="N1168" s="68"/>
    </row>
    <row r="1169">
      <c r="A1169" s="248"/>
      <c r="B1169" s="249"/>
      <c r="C1169" s="249"/>
      <c r="D1169" s="250"/>
      <c r="E1169" s="249"/>
      <c r="F1169" s="249"/>
      <c r="G1169" s="251"/>
      <c r="H1169" s="249"/>
      <c r="I1169" s="252"/>
      <c r="J1169" s="253"/>
      <c r="K1169" s="42"/>
      <c r="L1169" s="42"/>
      <c r="M1169" s="68"/>
      <c r="N1169" s="68"/>
    </row>
    <row r="1170">
      <c r="A1170" s="248"/>
      <c r="B1170" s="249"/>
      <c r="C1170" s="249"/>
      <c r="D1170" s="250"/>
      <c r="E1170" s="249"/>
      <c r="F1170" s="249"/>
      <c r="G1170" s="251"/>
      <c r="H1170" s="249"/>
      <c r="I1170" s="252"/>
      <c r="J1170" s="253"/>
      <c r="K1170" s="42"/>
      <c r="L1170" s="42"/>
      <c r="M1170" s="68"/>
      <c r="N1170" s="68"/>
    </row>
    <row r="1171">
      <c r="A1171" s="248"/>
      <c r="B1171" s="249"/>
      <c r="C1171" s="249"/>
      <c r="D1171" s="250"/>
      <c r="E1171" s="249"/>
      <c r="F1171" s="249"/>
      <c r="G1171" s="251"/>
      <c r="H1171" s="249"/>
      <c r="I1171" s="252"/>
      <c r="J1171" s="253"/>
      <c r="K1171" s="42"/>
      <c r="L1171" s="42"/>
      <c r="M1171" s="68"/>
      <c r="N1171" s="68"/>
    </row>
    <row r="1172">
      <c r="A1172" s="248"/>
      <c r="B1172" s="249"/>
      <c r="C1172" s="249"/>
      <c r="D1172" s="250"/>
      <c r="E1172" s="249"/>
      <c r="F1172" s="249"/>
      <c r="G1172" s="251"/>
      <c r="H1172" s="249"/>
      <c r="I1172" s="252"/>
      <c r="J1172" s="253"/>
      <c r="K1172" s="42"/>
      <c r="L1172" s="42"/>
      <c r="M1172" s="68"/>
      <c r="N1172" s="68"/>
    </row>
    <row r="1173">
      <c r="A1173" s="248"/>
      <c r="B1173" s="249"/>
      <c r="C1173" s="249"/>
      <c r="D1173" s="250"/>
      <c r="E1173" s="249"/>
      <c r="F1173" s="249"/>
      <c r="G1173" s="251"/>
      <c r="H1173" s="249"/>
      <c r="I1173" s="252"/>
      <c r="J1173" s="253"/>
      <c r="K1173" s="42"/>
      <c r="L1173" s="42"/>
      <c r="M1173" s="68"/>
      <c r="N1173" s="68"/>
    </row>
    <row r="1174">
      <c r="A1174" s="248"/>
      <c r="B1174" s="249"/>
      <c r="C1174" s="249"/>
      <c r="D1174" s="250"/>
      <c r="E1174" s="249"/>
      <c r="F1174" s="249"/>
      <c r="G1174" s="251"/>
      <c r="H1174" s="249"/>
      <c r="I1174" s="252"/>
      <c r="J1174" s="253"/>
      <c r="K1174" s="42"/>
      <c r="L1174" s="42"/>
      <c r="M1174" s="68"/>
      <c r="N1174" s="68"/>
    </row>
    <row r="1175">
      <c r="A1175" s="248"/>
      <c r="B1175" s="249"/>
      <c r="C1175" s="249"/>
      <c r="D1175" s="250"/>
      <c r="E1175" s="249"/>
      <c r="F1175" s="249"/>
      <c r="G1175" s="251"/>
      <c r="H1175" s="249"/>
      <c r="I1175" s="252"/>
      <c r="J1175" s="253"/>
      <c r="K1175" s="42"/>
      <c r="L1175" s="42"/>
      <c r="M1175" s="68"/>
      <c r="N1175" s="68"/>
    </row>
    <row r="1176">
      <c r="A1176" s="248"/>
      <c r="B1176" s="249"/>
      <c r="C1176" s="249"/>
      <c r="D1176" s="250"/>
      <c r="E1176" s="249"/>
      <c r="F1176" s="249"/>
      <c r="G1176" s="251"/>
      <c r="H1176" s="249"/>
      <c r="I1176" s="252"/>
      <c r="J1176" s="253"/>
      <c r="K1176" s="42"/>
      <c r="L1176" s="42"/>
      <c r="M1176" s="68"/>
      <c r="N1176" s="68"/>
    </row>
    <row r="1177">
      <c r="A1177" s="248"/>
      <c r="B1177" s="249"/>
      <c r="C1177" s="249"/>
      <c r="D1177" s="250"/>
      <c r="E1177" s="249"/>
      <c r="F1177" s="249"/>
      <c r="G1177" s="251"/>
      <c r="H1177" s="249"/>
      <c r="I1177" s="252"/>
      <c r="J1177" s="253"/>
      <c r="K1177" s="42"/>
      <c r="L1177" s="42"/>
      <c r="M1177" s="68"/>
      <c r="N1177" s="68"/>
    </row>
    <row r="1178">
      <c r="A1178" s="248"/>
      <c r="B1178" s="249"/>
      <c r="C1178" s="249"/>
      <c r="D1178" s="250"/>
      <c r="E1178" s="249"/>
      <c r="F1178" s="249"/>
      <c r="G1178" s="251"/>
      <c r="H1178" s="249"/>
      <c r="I1178" s="252"/>
      <c r="J1178" s="253"/>
      <c r="K1178" s="42"/>
      <c r="L1178" s="42"/>
      <c r="M1178" s="68"/>
      <c r="N1178" s="68"/>
    </row>
    <row r="1179">
      <c r="A1179" s="248"/>
      <c r="B1179" s="249"/>
      <c r="C1179" s="249"/>
      <c r="D1179" s="250"/>
      <c r="E1179" s="249"/>
      <c r="F1179" s="249"/>
      <c r="G1179" s="251"/>
      <c r="H1179" s="249"/>
      <c r="I1179" s="252"/>
      <c r="J1179" s="253"/>
      <c r="K1179" s="42"/>
      <c r="L1179" s="42"/>
      <c r="M1179" s="68"/>
      <c r="N1179" s="68"/>
    </row>
    <row r="1180">
      <c r="A1180" s="248"/>
      <c r="B1180" s="249"/>
      <c r="C1180" s="249"/>
      <c r="D1180" s="250"/>
      <c r="E1180" s="249"/>
      <c r="F1180" s="249"/>
      <c r="G1180" s="251"/>
      <c r="H1180" s="249"/>
      <c r="I1180" s="252"/>
      <c r="J1180" s="253"/>
      <c r="K1180" s="42"/>
      <c r="L1180" s="42"/>
      <c r="M1180" s="68"/>
      <c r="N1180" s="68"/>
    </row>
    <row r="1181">
      <c r="A1181" s="248"/>
      <c r="B1181" s="249"/>
      <c r="C1181" s="249"/>
      <c r="D1181" s="250"/>
      <c r="E1181" s="249"/>
      <c r="F1181" s="249"/>
      <c r="G1181" s="251"/>
      <c r="H1181" s="249"/>
      <c r="I1181" s="252"/>
      <c r="J1181" s="253"/>
      <c r="K1181" s="42"/>
      <c r="L1181" s="42"/>
      <c r="M1181" s="68"/>
      <c r="N1181" s="68"/>
    </row>
    <row r="1182">
      <c r="A1182" s="248"/>
      <c r="B1182" s="249"/>
      <c r="C1182" s="249"/>
      <c r="D1182" s="250"/>
      <c r="E1182" s="249"/>
      <c r="F1182" s="249"/>
      <c r="G1182" s="251"/>
      <c r="H1182" s="249"/>
      <c r="I1182" s="252"/>
      <c r="J1182" s="253"/>
      <c r="K1182" s="42"/>
      <c r="L1182" s="42"/>
      <c r="M1182" s="68"/>
      <c r="N1182" s="68"/>
    </row>
    <row r="1183">
      <c r="A1183" s="248"/>
      <c r="B1183" s="249"/>
      <c r="C1183" s="249"/>
      <c r="D1183" s="250"/>
      <c r="E1183" s="249"/>
      <c r="F1183" s="249"/>
      <c r="G1183" s="251"/>
      <c r="H1183" s="249"/>
      <c r="I1183" s="252"/>
      <c r="J1183" s="253"/>
      <c r="K1183" s="42"/>
      <c r="L1183" s="42"/>
      <c r="M1183" s="68"/>
      <c r="N1183" s="68"/>
    </row>
    <row r="1184">
      <c r="A1184" s="248"/>
      <c r="B1184" s="249"/>
      <c r="C1184" s="249"/>
      <c r="D1184" s="250"/>
      <c r="E1184" s="249"/>
      <c r="F1184" s="249"/>
      <c r="G1184" s="251"/>
      <c r="H1184" s="249"/>
      <c r="I1184" s="252"/>
      <c r="J1184" s="253"/>
      <c r="K1184" s="42"/>
      <c r="L1184" s="42"/>
      <c r="M1184" s="68"/>
      <c r="N1184" s="68"/>
    </row>
    <row r="1185">
      <c r="A1185" s="248"/>
      <c r="B1185" s="249"/>
      <c r="C1185" s="249"/>
      <c r="D1185" s="250"/>
      <c r="E1185" s="249"/>
      <c r="F1185" s="249"/>
      <c r="G1185" s="251"/>
      <c r="H1185" s="249"/>
      <c r="I1185" s="252"/>
      <c r="J1185" s="253"/>
      <c r="K1185" s="42"/>
      <c r="L1185" s="42"/>
      <c r="M1185" s="68"/>
      <c r="N1185" s="68"/>
    </row>
    <row r="1186">
      <c r="A1186" s="248"/>
      <c r="B1186" s="249"/>
      <c r="C1186" s="249"/>
      <c r="D1186" s="250"/>
      <c r="E1186" s="249"/>
      <c r="F1186" s="249"/>
      <c r="G1186" s="251"/>
      <c r="H1186" s="249"/>
      <c r="I1186" s="252"/>
      <c r="J1186" s="253"/>
      <c r="K1186" s="42"/>
      <c r="L1186" s="42"/>
      <c r="M1186" s="68"/>
      <c r="N1186" s="68"/>
    </row>
    <row r="1187">
      <c r="A1187" s="248"/>
      <c r="B1187" s="249"/>
      <c r="C1187" s="249"/>
      <c r="D1187" s="250"/>
      <c r="E1187" s="249"/>
      <c r="F1187" s="249"/>
      <c r="G1187" s="251"/>
      <c r="H1187" s="249"/>
      <c r="I1187" s="252"/>
      <c r="J1187" s="253"/>
      <c r="K1187" s="42"/>
      <c r="L1187" s="42"/>
      <c r="M1187" s="68"/>
      <c r="N1187" s="68"/>
    </row>
    <row r="1188">
      <c r="A1188" s="248"/>
      <c r="B1188" s="249"/>
      <c r="C1188" s="249"/>
      <c r="D1188" s="250"/>
      <c r="E1188" s="249"/>
      <c r="F1188" s="249"/>
      <c r="G1188" s="251"/>
      <c r="H1188" s="249"/>
      <c r="I1188" s="252"/>
      <c r="J1188" s="253"/>
      <c r="K1188" s="42"/>
      <c r="L1188" s="42"/>
      <c r="M1188" s="68"/>
      <c r="N1188" s="68"/>
    </row>
    <row r="1189">
      <c r="A1189" s="248"/>
      <c r="B1189" s="249"/>
      <c r="C1189" s="249"/>
      <c r="D1189" s="250"/>
      <c r="E1189" s="249"/>
      <c r="F1189" s="249"/>
      <c r="G1189" s="251"/>
      <c r="H1189" s="249"/>
      <c r="I1189" s="252"/>
      <c r="J1189" s="253"/>
      <c r="K1189" s="42"/>
      <c r="L1189" s="42"/>
      <c r="M1189" s="68"/>
      <c r="N1189" s="68"/>
    </row>
    <row r="1190">
      <c r="A1190" s="248"/>
      <c r="B1190" s="249"/>
      <c r="C1190" s="249"/>
      <c r="D1190" s="250"/>
      <c r="E1190" s="249"/>
      <c r="F1190" s="249"/>
      <c r="G1190" s="251"/>
      <c r="H1190" s="249"/>
      <c r="I1190" s="252"/>
      <c r="J1190" s="253"/>
      <c r="K1190" s="42"/>
      <c r="L1190" s="42"/>
      <c r="M1190" s="68"/>
      <c r="N1190" s="68"/>
    </row>
    <row r="1191">
      <c r="A1191" s="248"/>
      <c r="B1191" s="249"/>
      <c r="C1191" s="249"/>
      <c r="D1191" s="250"/>
      <c r="E1191" s="249"/>
      <c r="F1191" s="249"/>
      <c r="G1191" s="251"/>
      <c r="H1191" s="249"/>
      <c r="I1191" s="252"/>
      <c r="J1191" s="253"/>
      <c r="K1191" s="42"/>
      <c r="L1191" s="42"/>
      <c r="M1191" s="68"/>
      <c r="N1191" s="68"/>
    </row>
    <row r="1192">
      <c r="A1192" s="248"/>
      <c r="B1192" s="249"/>
      <c r="C1192" s="249"/>
      <c r="D1192" s="250"/>
      <c r="E1192" s="249"/>
      <c r="F1192" s="249"/>
      <c r="G1192" s="251"/>
      <c r="H1192" s="249"/>
      <c r="I1192" s="252"/>
      <c r="J1192" s="253"/>
      <c r="K1192" s="42"/>
      <c r="L1192" s="42"/>
      <c r="M1192" s="68"/>
      <c r="N1192" s="68"/>
    </row>
    <row r="1193">
      <c r="A1193" s="248"/>
      <c r="B1193" s="249"/>
      <c r="C1193" s="249"/>
      <c r="D1193" s="250"/>
      <c r="E1193" s="249"/>
      <c r="F1193" s="249"/>
      <c r="G1193" s="251"/>
      <c r="H1193" s="249"/>
      <c r="I1193" s="252"/>
      <c r="J1193" s="253"/>
      <c r="K1193" s="42"/>
      <c r="L1193" s="42"/>
      <c r="M1193" s="68"/>
      <c r="N1193" s="68"/>
    </row>
    <row r="1194">
      <c r="A1194" s="248"/>
      <c r="B1194" s="249"/>
      <c r="C1194" s="249"/>
      <c r="D1194" s="250"/>
      <c r="E1194" s="249"/>
      <c r="F1194" s="249"/>
      <c r="G1194" s="251"/>
      <c r="H1194" s="249"/>
      <c r="I1194" s="252"/>
      <c r="J1194" s="253"/>
      <c r="K1194" s="42"/>
      <c r="L1194" s="42"/>
      <c r="M1194" s="68"/>
      <c r="N1194" s="68"/>
    </row>
    <row r="1195">
      <c r="A1195" s="248"/>
      <c r="B1195" s="249"/>
      <c r="C1195" s="249"/>
      <c r="D1195" s="250"/>
      <c r="E1195" s="249"/>
      <c r="F1195" s="249"/>
      <c r="G1195" s="251"/>
      <c r="H1195" s="249"/>
      <c r="I1195" s="252"/>
      <c r="J1195" s="253"/>
      <c r="K1195" s="42"/>
      <c r="L1195" s="42"/>
      <c r="M1195" s="68"/>
      <c r="N1195" s="68"/>
    </row>
    <row r="1196">
      <c r="A1196" s="248"/>
      <c r="B1196" s="249"/>
      <c r="C1196" s="249"/>
      <c r="D1196" s="250"/>
      <c r="E1196" s="249"/>
      <c r="F1196" s="249"/>
      <c r="G1196" s="251"/>
      <c r="H1196" s="249"/>
      <c r="I1196" s="252"/>
      <c r="J1196" s="253"/>
      <c r="K1196" s="42"/>
      <c r="L1196" s="42"/>
      <c r="M1196" s="68"/>
      <c r="N1196" s="68"/>
    </row>
    <row r="1197">
      <c r="A1197" s="248"/>
      <c r="B1197" s="249"/>
      <c r="C1197" s="249"/>
      <c r="D1197" s="250"/>
      <c r="E1197" s="249"/>
      <c r="F1197" s="249"/>
      <c r="G1197" s="251"/>
      <c r="H1197" s="249"/>
      <c r="I1197" s="252"/>
      <c r="J1197" s="253"/>
      <c r="K1197" s="42"/>
      <c r="L1197" s="42"/>
      <c r="M1197" s="68"/>
      <c r="N1197" s="68"/>
    </row>
    <row r="1198">
      <c r="A1198" s="248"/>
      <c r="B1198" s="249"/>
      <c r="C1198" s="249"/>
      <c r="D1198" s="250"/>
      <c r="E1198" s="249"/>
      <c r="F1198" s="249"/>
      <c r="G1198" s="251"/>
      <c r="H1198" s="249"/>
      <c r="I1198" s="252"/>
      <c r="J1198" s="253"/>
      <c r="K1198" s="42"/>
      <c r="L1198" s="42"/>
      <c r="M1198" s="68"/>
      <c r="N1198" s="68"/>
    </row>
    <row r="1199">
      <c r="A1199" s="248"/>
      <c r="B1199" s="249"/>
      <c r="C1199" s="249"/>
      <c r="D1199" s="250"/>
      <c r="E1199" s="249"/>
      <c r="F1199" s="249"/>
      <c r="G1199" s="251"/>
      <c r="H1199" s="249"/>
      <c r="I1199" s="252"/>
      <c r="J1199" s="253"/>
      <c r="K1199" s="42"/>
      <c r="L1199" s="42"/>
      <c r="M1199" s="68"/>
      <c r="N1199" s="68"/>
    </row>
    <row r="1200">
      <c r="A1200" s="248"/>
      <c r="B1200" s="249"/>
      <c r="C1200" s="249"/>
      <c r="D1200" s="250"/>
      <c r="E1200" s="249"/>
      <c r="F1200" s="249"/>
      <c r="G1200" s="251"/>
      <c r="H1200" s="249"/>
      <c r="I1200" s="252"/>
      <c r="J1200" s="253"/>
      <c r="K1200" s="42"/>
      <c r="L1200" s="42"/>
      <c r="M1200" s="68"/>
      <c r="N1200" s="68"/>
    </row>
    <row r="1201">
      <c r="A1201" s="248"/>
      <c r="B1201" s="249"/>
      <c r="C1201" s="249"/>
      <c r="D1201" s="250"/>
      <c r="E1201" s="249"/>
      <c r="F1201" s="249"/>
      <c r="G1201" s="251"/>
      <c r="H1201" s="249"/>
      <c r="I1201" s="252"/>
      <c r="J1201" s="253"/>
      <c r="K1201" s="42"/>
      <c r="L1201" s="42"/>
      <c r="M1201" s="68"/>
      <c r="N1201" s="68"/>
    </row>
    <row r="1202">
      <c r="A1202" s="248"/>
      <c r="B1202" s="249"/>
      <c r="C1202" s="249"/>
      <c r="D1202" s="250"/>
      <c r="E1202" s="249"/>
      <c r="F1202" s="249"/>
      <c r="G1202" s="251"/>
      <c r="H1202" s="249"/>
      <c r="I1202" s="252"/>
      <c r="J1202" s="253"/>
      <c r="K1202" s="42"/>
      <c r="L1202" s="42"/>
      <c r="M1202" s="68"/>
      <c r="N1202" s="68"/>
    </row>
    <row r="1203">
      <c r="A1203" s="248"/>
      <c r="B1203" s="249"/>
      <c r="C1203" s="249"/>
      <c r="D1203" s="250"/>
      <c r="E1203" s="249"/>
      <c r="F1203" s="249"/>
      <c r="G1203" s="251"/>
      <c r="H1203" s="249"/>
      <c r="I1203" s="252"/>
      <c r="J1203" s="253"/>
      <c r="K1203" s="42"/>
      <c r="L1203" s="42"/>
      <c r="M1203" s="68"/>
      <c r="N1203" s="68"/>
    </row>
    <row r="1204">
      <c r="A1204" s="248"/>
      <c r="B1204" s="249"/>
      <c r="C1204" s="249"/>
      <c r="D1204" s="250"/>
      <c r="E1204" s="249"/>
      <c r="F1204" s="249"/>
      <c r="G1204" s="251"/>
      <c r="H1204" s="249"/>
      <c r="I1204" s="252"/>
      <c r="J1204" s="253"/>
      <c r="K1204" s="42"/>
      <c r="L1204" s="42"/>
      <c r="M1204" s="68"/>
      <c r="N1204" s="68"/>
    </row>
    <row r="1205">
      <c r="A1205" s="248"/>
      <c r="B1205" s="249"/>
      <c r="C1205" s="249"/>
      <c r="D1205" s="250"/>
      <c r="E1205" s="249"/>
      <c r="F1205" s="249"/>
      <c r="G1205" s="251"/>
      <c r="H1205" s="249"/>
      <c r="I1205" s="252"/>
      <c r="J1205" s="253"/>
      <c r="K1205" s="42"/>
      <c r="L1205" s="42"/>
      <c r="M1205" s="68"/>
      <c r="N1205" s="68"/>
    </row>
    <row r="1206">
      <c r="A1206" s="248"/>
      <c r="B1206" s="249"/>
      <c r="C1206" s="249"/>
      <c r="D1206" s="250"/>
      <c r="E1206" s="249"/>
      <c r="F1206" s="249"/>
      <c r="G1206" s="251"/>
      <c r="H1206" s="249"/>
      <c r="I1206" s="252"/>
      <c r="J1206" s="253"/>
      <c r="K1206" s="42"/>
      <c r="L1206" s="42"/>
      <c r="M1206" s="68"/>
      <c r="N1206" s="68"/>
    </row>
    <row r="1207">
      <c r="A1207" s="248"/>
      <c r="B1207" s="249"/>
      <c r="C1207" s="249"/>
      <c r="D1207" s="250"/>
      <c r="E1207" s="249"/>
      <c r="F1207" s="249"/>
      <c r="G1207" s="251"/>
      <c r="H1207" s="249"/>
      <c r="I1207" s="252"/>
      <c r="J1207" s="253"/>
      <c r="K1207" s="42"/>
      <c r="L1207" s="42"/>
      <c r="M1207" s="68"/>
      <c r="N1207" s="68"/>
    </row>
    <row r="1208">
      <c r="A1208" s="248"/>
      <c r="B1208" s="249"/>
      <c r="C1208" s="249"/>
      <c r="D1208" s="250"/>
      <c r="E1208" s="249"/>
      <c r="F1208" s="249"/>
      <c r="G1208" s="251"/>
      <c r="H1208" s="249"/>
      <c r="I1208" s="252"/>
      <c r="J1208" s="253"/>
      <c r="K1208" s="42"/>
      <c r="L1208" s="42"/>
      <c r="M1208" s="68"/>
      <c r="N1208" s="68"/>
    </row>
    <row r="1209">
      <c r="A1209" s="248"/>
      <c r="B1209" s="249"/>
      <c r="C1209" s="249"/>
      <c r="D1209" s="250"/>
      <c r="E1209" s="249"/>
      <c r="F1209" s="249"/>
      <c r="G1209" s="251"/>
      <c r="H1209" s="249"/>
      <c r="I1209" s="252"/>
      <c r="J1209" s="253"/>
      <c r="K1209" s="42"/>
      <c r="L1209" s="42"/>
      <c r="M1209" s="68"/>
      <c r="N1209" s="68"/>
    </row>
    <row r="1210">
      <c r="A1210" s="248"/>
      <c r="B1210" s="249"/>
      <c r="C1210" s="249"/>
      <c r="D1210" s="250"/>
      <c r="E1210" s="249"/>
      <c r="F1210" s="249"/>
      <c r="G1210" s="251"/>
      <c r="H1210" s="249"/>
      <c r="I1210" s="252"/>
      <c r="J1210" s="253"/>
      <c r="K1210" s="42"/>
      <c r="L1210" s="42"/>
      <c r="M1210" s="68"/>
      <c r="N1210" s="68"/>
    </row>
    <row r="1211">
      <c r="A1211" s="248"/>
      <c r="B1211" s="249"/>
      <c r="C1211" s="249"/>
      <c r="D1211" s="250"/>
      <c r="E1211" s="249"/>
      <c r="F1211" s="249"/>
      <c r="G1211" s="251"/>
      <c r="H1211" s="249"/>
      <c r="I1211" s="252"/>
      <c r="J1211" s="253"/>
      <c r="K1211" s="42"/>
      <c r="L1211" s="42"/>
      <c r="M1211" s="68"/>
      <c r="N1211" s="68"/>
    </row>
    <row r="1212">
      <c r="A1212" s="248"/>
      <c r="B1212" s="249"/>
      <c r="C1212" s="249"/>
      <c r="D1212" s="250"/>
      <c r="E1212" s="249"/>
      <c r="F1212" s="249"/>
      <c r="G1212" s="251"/>
      <c r="H1212" s="249"/>
      <c r="I1212" s="252"/>
      <c r="J1212" s="253"/>
      <c r="K1212" s="42"/>
      <c r="L1212" s="42"/>
      <c r="M1212" s="68"/>
      <c r="N1212" s="68"/>
    </row>
    <row r="1213">
      <c r="A1213" s="248"/>
      <c r="B1213" s="249"/>
      <c r="C1213" s="249"/>
      <c r="D1213" s="250"/>
      <c r="E1213" s="249"/>
      <c r="F1213" s="249"/>
      <c r="G1213" s="251"/>
      <c r="H1213" s="249"/>
      <c r="I1213" s="252"/>
      <c r="J1213" s="253"/>
      <c r="K1213" s="42"/>
      <c r="L1213" s="42"/>
      <c r="M1213" s="68"/>
      <c r="N1213" s="68"/>
    </row>
    <row r="1214">
      <c r="A1214" s="248"/>
      <c r="B1214" s="249"/>
      <c r="C1214" s="249"/>
      <c r="D1214" s="250"/>
      <c r="E1214" s="249"/>
      <c r="F1214" s="249"/>
      <c r="G1214" s="251"/>
      <c r="H1214" s="249"/>
      <c r="I1214" s="252"/>
      <c r="J1214" s="253"/>
      <c r="K1214" s="42"/>
      <c r="L1214" s="42"/>
      <c r="M1214" s="68"/>
      <c r="N1214" s="68"/>
    </row>
    <row r="1215">
      <c r="A1215" s="248"/>
      <c r="B1215" s="249"/>
      <c r="C1215" s="249"/>
      <c r="D1215" s="250"/>
      <c r="E1215" s="249"/>
      <c r="F1215" s="249"/>
      <c r="G1215" s="251"/>
      <c r="H1215" s="249"/>
      <c r="I1215" s="252"/>
      <c r="J1215" s="253"/>
      <c r="K1215" s="42"/>
      <c r="L1215" s="42"/>
      <c r="M1215" s="68"/>
      <c r="N1215" s="68"/>
    </row>
    <row r="1216">
      <c r="A1216" s="248"/>
      <c r="B1216" s="249"/>
      <c r="C1216" s="249"/>
      <c r="D1216" s="250"/>
      <c r="E1216" s="249"/>
      <c r="F1216" s="249"/>
      <c r="G1216" s="251"/>
      <c r="H1216" s="249"/>
      <c r="I1216" s="252"/>
      <c r="J1216" s="253"/>
      <c r="K1216" s="42"/>
      <c r="L1216" s="42"/>
      <c r="M1216" s="68"/>
      <c r="N1216" s="68"/>
    </row>
    <row r="1217">
      <c r="A1217" s="248"/>
      <c r="B1217" s="249"/>
      <c r="C1217" s="249"/>
      <c r="D1217" s="250"/>
      <c r="E1217" s="249"/>
      <c r="F1217" s="249"/>
      <c r="G1217" s="251"/>
      <c r="H1217" s="249"/>
      <c r="I1217" s="252"/>
      <c r="J1217" s="253"/>
      <c r="K1217" s="42"/>
      <c r="L1217" s="42"/>
      <c r="M1217" s="68"/>
      <c r="N1217" s="68"/>
    </row>
    <row r="1218">
      <c r="A1218" s="248"/>
      <c r="B1218" s="249"/>
      <c r="C1218" s="249"/>
      <c r="D1218" s="250"/>
      <c r="E1218" s="249"/>
      <c r="F1218" s="249"/>
      <c r="G1218" s="251"/>
      <c r="H1218" s="249"/>
      <c r="I1218" s="252"/>
      <c r="J1218" s="253"/>
      <c r="K1218" s="42"/>
      <c r="L1218" s="42"/>
      <c r="M1218" s="68"/>
      <c r="N1218" s="68"/>
    </row>
    <row r="1219">
      <c r="A1219" s="248"/>
      <c r="B1219" s="249"/>
      <c r="C1219" s="249"/>
      <c r="D1219" s="250"/>
      <c r="E1219" s="249"/>
      <c r="F1219" s="249"/>
      <c r="G1219" s="251"/>
      <c r="H1219" s="249"/>
      <c r="I1219" s="252"/>
      <c r="J1219" s="253"/>
      <c r="K1219" s="42"/>
      <c r="L1219" s="42"/>
      <c r="M1219" s="68"/>
      <c r="N1219" s="68"/>
    </row>
    <row r="1220">
      <c r="A1220" s="248"/>
      <c r="B1220" s="249"/>
      <c r="C1220" s="249"/>
      <c r="D1220" s="250"/>
      <c r="E1220" s="249"/>
      <c r="F1220" s="249"/>
      <c r="G1220" s="251"/>
      <c r="H1220" s="249"/>
      <c r="I1220" s="252"/>
      <c r="J1220" s="253"/>
      <c r="K1220" s="42"/>
      <c r="L1220" s="42"/>
      <c r="M1220" s="68"/>
      <c r="N1220" s="68"/>
    </row>
    <row r="1221">
      <c r="A1221" s="248"/>
      <c r="B1221" s="249"/>
      <c r="C1221" s="249"/>
      <c r="D1221" s="250"/>
      <c r="E1221" s="249"/>
      <c r="F1221" s="249"/>
      <c r="G1221" s="251"/>
      <c r="H1221" s="249"/>
      <c r="I1221" s="252"/>
      <c r="J1221" s="253"/>
      <c r="K1221" s="42"/>
      <c r="L1221" s="42"/>
      <c r="M1221" s="68"/>
      <c r="N1221" s="68"/>
    </row>
    <row r="1222">
      <c r="A1222" s="248"/>
      <c r="B1222" s="249"/>
      <c r="C1222" s="249"/>
      <c r="D1222" s="250"/>
      <c r="E1222" s="249"/>
      <c r="F1222" s="249"/>
      <c r="G1222" s="251"/>
      <c r="H1222" s="249"/>
      <c r="I1222" s="252"/>
      <c r="J1222" s="253"/>
      <c r="K1222" s="42"/>
      <c r="L1222" s="42"/>
      <c r="M1222" s="68"/>
      <c r="N1222" s="68"/>
    </row>
    <row r="1223">
      <c r="A1223" s="248"/>
      <c r="B1223" s="249"/>
      <c r="C1223" s="249"/>
      <c r="D1223" s="250"/>
      <c r="E1223" s="249"/>
      <c r="F1223" s="249"/>
      <c r="G1223" s="251"/>
      <c r="H1223" s="249"/>
      <c r="I1223" s="252"/>
      <c r="J1223" s="253"/>
      <c r="K1223" s="42"/>
      <c r="L1223" s="42"/>
      <c r="M1223" s="68"/>
      <c r="N1223" s="68"/>
    </row>
    <row r="1224">
      <c r="A1224" s="248"/>
      <c r="B1224" s="249"/>
      <c r="C1224" s="249"/>
      <c r="D1224" s="250"/>
      <c r="E1224" s="249"/>
      <c r="F1224" s="249"/>
      <c r="G1224" s="251"/>
      <c r="H1224" s="249"/>
      <c r="I1224" s="252"/>
      <c r="J1224" s="253"/>
      <c r="K1224" s="42"/>
      <c r="L1224" s="42"/>
      <c r="M1224" s="68"/>
      <c r="N1224" s="68"/>
    </row>
    <row r="1225">
      <c r="A1225" s="248"/>
      <c r="B1225" s="249"/>
      <c r="C1225" s="249"/>
      <c r="D1225" s="250"/>
      <c r="E1225" s="249"/>
      <c r="F1225" s="249"/>
      <c r="G1225" s="251"/>
      <c r="H1225" s="249"/>
      <c r="I1225" s="252"/>
      <c r="J1225" s="253"/>
      <c r="K1225" s="42"/>
      <c r="L1225" s="42"/>
      <c r="M1225" s="68"/>
      <c r="N1225" s="68"/>
    </row>
    <row r="1226">
      <c r="A1226" s="248"/>
      <c r="B1226" s="249"/>
      <c r="C1226" s="249"/>
      <c r="D1226" s="250"/>
      <c r="E1226" s="249"/>
      <c r="F1226" s="249"/>
      <c r="G1226" s="251"/>
      <c r="H1226" s="249"/>
      <c r="I1226" s="252"/>
      <c r="J1226" s="253"/>
      <c r="K1226" s="42"/>
      <c r="L1226" s="42"/>
      <c r="M1226" s="68"/>
      <c r="N1226" s="68"/>
    </row>
    <row r="1227">
      <c r="A1227" s="248"/>
      <c r="B1227" s="249"/>
      <c r="C1227" s="249"/>
      <c r="D1227" s="250"/>
      <c r="E1227" s="249"/>
      <c r="F1227" s="249"/>
      <c r="G1227" s="251"/>
      <c r="H1227" s="249"/>
      <c r="I1227" s="252"/>
      <c r="J1227" s="253"/>
      <c r="K1227" s="42"/>
      <c r="L1227" s="42"/>
      <c r="M1227" s="68"/>
      <c r="N1227" s="68"/>
    </row>
    <row r="1228">
      <c r="A1228" s="248"/>
      <c r="B1228" s="249"/>
      <c r="C1228" s="249"/>
      <c r="D1228" s="250"/>
      <c r="E1228" s="249"/>
      <c r="F1228" s="249"/>
      <c r="G1228" s="251"/>
      <c r="H1228" s="249"/>
      <c r="I1228" s="252"/>
      <c r="J1228" s="253"/>
      <c r="K1228" s="42"/>
      <c r="L1228" s="42"/>
      <c r="M1228" s="68"/>
      <c r="N1228" s="68"/>
    </row>
    <row r="1229">
      <c r="A1229" s="248"/>
      <c r="B1229" s="249"/>
      <c r="C1229" s="249"/>
      <c r="D1229" s="250"/>
      <c r="E1229" s="249"/>
      <c r="F1229" s="249"/>
      <c r="G1229" s="251"/>
      <c r="H1229" s="249"/>
      <c r="I1229" s="252"/>
      <c r="J1229" s="253"/>
      <c r="K1229" s="42"/>
      <c r="L1229" s="42"/>
      <c r="M1229" s="68"/>
      <c r="N1229" s="68"/>
    </row>
    <row r="1230">
      <c r="A1230" s="248"/>
      <c r="B1230" s="249"/>
      <c r="C1230" s="249"/>
      <c r="D1230" s="250"/>
      <c r="E1230" s="249"/>
      <c r="F1230" s="249"/>
      <c r="G1230" s="251"/>
      <c r="H1230" s="249"/>
      <c r="I1230" s="252"/>
      <c r="J1230" s="253"/>
      <c r="K1230" s="42"/>
      <c r="L1230" s="42"/>
      <c r="M1230" s="68"/>
      <c r="N1230" s="68"/>
    </row>
    <row r="1231">
      <c r="A1231" s="248"/>
      <c r="B1231" s="249"/>
      <c r="C1231" s="249"/>
      <c r="D1231" s="250"/>
      <c r="E1231" s="249"/>
      <c r="F1231" s="249"/>
      <c r="G1231" s="251"/>
      <c r="H1231" s="249"/>
      <c r="I1231" s="252"/>
      <c r="J1231" s="253"/>
      <c r="K1231" s="42"/>
      <c r="L1231" s="42"/>
      <c r="M1231" s="68"/>
      <c r="N1231" s="68"/>
    </row>
    <row r="1232">
      <c r="A1232" s="248"/>
      <c r="B1232" s="249"/>
      <c r="C1232" s="249"/>
      <c r="D1232" s="250"/>
      <c r="E1232" s="249"/>
      <c r="F1232" s="249"/>
      <c r="G1232" s="251"/>
      <c r="H1232" s="249"/>
      <c r="I1232" s="252"/>
      <c r="J1232" s="253"/>
      <c r="K1232" s="42"/>
      <c r="L1232" s="42"/>
      <c r="M1232" s="68"/>
      <c r="N1232" s="68"/>
    </row>
    <row r="1233">
      <c r="A1233" s="248"/>
      <c r="B1233" s="249"/>
      <c r="C1233" s="249"/>
      <c r="D1233" s="250"/>
      <c r="E1233" s="249"/>
      <c r="F1233" s="249"/>
      <c r="G1233" s="251"/>
      <c r="H1233" s="249"/>
      <c r="I1233" s="252"/>
      <c r="J1233" s="253"/>
      <c r="K1233" s="42"/>
      <c r="L1233" s="42"/>
      <c r="M1233" s="68"/>
      <c r="N1233" s="68"/>
    </row>
    <row r="1234">
      <c r="A1234" s="248"/>
      <c r="B1234" s="249"/>
      <c r="C1234" s="249"/>
      <c r="D1234" s="250"/>
      <c r="E1234" s="249"/>
      <c r="F1234" s="249"/>
      <c r="G1234" s="251"/>
      <c r="H1234" s="249"/>
      <c r="I1234" s="252"/>
      <c r="J1234" s="253"/>
      <c r="K1234" s="42"/>
      <c r="L1234" s="42"/>
      <c r="M1234" s="68"/>
      <c r="N1234" s="68"/>
    </row>
    <row r="1235">
      <c r="A1235" s="248"/>
      <c r="B1235" s="249"/>
      <c r="C1235" s="249"/>
      <c r="D1235" s="250"/>
      <c r="E1235" s="249"/>
      <c r="F1235" s="249"/>
      <c r="G1235" s="251"/>
      <c r="H1235" s="249"/>
      <c r="I1235" s="252"/>
      <c r="J1235" s="253"/>
      <c r="K1235" s="42"/>
      <c r="L1235" s="42"/>
      <c r="M1235" s="68"/>
      <c r="N1235" s="68"/>
    </row>
    <row r="1236">
      <c r="A1236" s="248"/>
      <c r="B1236" s="249"/>
      <c r="C1236" s="249"/>
      <c r="D1236" s="250"/>
      <c r="E1236" s="249"/>
      <c r="F1236" s="249"/>
      <c r="G1236" s="251"/>
      <c r="H1236" s="249"/>
      <c r="I1236" s="252"/>
      <c r="J1236" s="253"/>
      <c r="K1236" s="42"/>
      <c r="L1236" s="42"/>
      <c r="M1236" s="68"/>
      <c r="N1236" s="68"/>
    </row>
    <row r="1237">
      <c r="A1237" s="248"/>
      <c r="B1237" s="249"/>
      <c r="C1237" s="249"/>
      <c r="D1237" s="250"/>
      <c r="E1237" s="249"/>
      <c r="F1237" s="249"/>
      <c r="G1237" s="251"/>
      <c r="H1237" s="249"/>
      <c r="I1237" s="252"/>
      <c r="J1237" s="253"/>
      <c r="K1237" s="42"/>
      <c r="L1237" s="42"/>
      <c r="M1237" s="68"/>
      <c r="N1237" s="68"/>
    </row>
    <row r="1238">
      <c r="A1238" s="248"/>
      <c r="B1238" s="249"/>
      <c r="C1238" s="249"/>
      <c r="D1238" s="250"/>
      <c r="E1238" s="249"/>
      <c r="F1238" s="249"/>
      <c r="G1238" s="251"/>
      <c r="H1238" s="249"/>
      <c r="I1238" s="252"/>
      <c r="J1238" s="253"/>
      <c r="K1238" s="42"/>
      <c r="L1238" s="42"/>
      <c r="M1238" s="68"/>
      <c r="N1238" s="68"/>
    </row>
    <row r="1239">
      <c r="A1239" s="248"/>
      <c r="B1239" s="249"/>
      <c r="C1239" s="249"/>
      <c r="D1239" s="250"/>
      <c r="E1239" s="249"/>
      <c r="F1239" s="249"/>
      <c r="G1239" s="251"/>
      <c r="H1239" s="249"/>
      <c r="I1239" s="252"/>
      <c r="J1239" s="253"/>
      <c r="K1239" s="42"/>
      <c r="L1239" s="42"/>
      <c r="M1239" s="68"/>
      <c r="N1239" s="68"/>
    </row>
    <row r="1240">
      <c r="A1240" s="248"/>
      <c r="B1240" s="249"/>
      <c r="C1240" s="249"/>
      <c r="D1240" s="250"/>
      <c r="E1240" s="249"/>
      <c r="F1240" s="249"/>
      <c r="G1240" s="251"/>
      <c r="H1240" s="249"/>
      <c r="I1240" s="252"/>
      <c r="J1240" s="253"/>
      <c r="K1240" s="42"/>
      <c r="L1240" s="42"/>
      <c r="M1240" s="68"/>
      <c r="N1240" s="68"/>
    </row>
    <row r="1241">
      <c r="A1241" s="248"/>
      <c r="B1241" s="249"/>
      <c r="C1241" s="249"/>
      <c r="D1241" s="250"/>
      <c r="E1241" s="249"/>
      <c r="F1241" s="249"/>
      <c r="G1241" s="251"/>
      <c r="H1241" s="249"/>
      <c r="I1241" s="252"/>
      <c r="J1241" s="253"/>
      <c r="K1241" s="42"/>
      <c r="L1241" s="42"/>
      <c r="M1241" s="68"/>
      <c r="N1241" s="68"/>
    </row>
    <row r="1242">
      <c r="A1242" s="248"/>
      <c r="B1242" s="249"/>
      <c r="C1242" s="249"/>
      <c r="D1242" s="250"/>
      <c r="E1242" s="249"/>
      <c r="F1242" s="249"/>
      <c r="G1242" s="251"/>
      <c r="H1242" s="249"/>
      <c r="I1242" s="252"/>
      <c r="J1242" s="253"/>
      <c r="K1242" s="42"/>
      <c r="L1242" s="42"/>
      <c r="M1242" s="68"/>
      <c r="N1242" s="68"/>
    </row>
    <row r="1243">
      <c r="A1243" s="248"/>
      <c r="B1243" s="249"/>
      <c r="C1243" s="249"/>
      <c r="D1243" s="250"/>
      <c r="E1243" s="249"/>
      <c r="F1243" s="249"/>
      <c r="G1243" s="251"/>
      <c r="H1243" s="249"/>
      <c r="I1243" s="252"/>
      <c r="J1243" s="253"/>
      <c r="K1243" s="42"/>
      <c r="L1243" s="42"/>
      <c r="M1243" s="68"/>
      <c r="N1243" s="68"/>
    </row>
    <row r="1244">
      <c r="A1244" s="248"/>
      <c r="B1244" s="249"/>
      <c r="C1244" s="249"/>
      <c r="D1244" s="250"/>
      <c r="E1244" s="249"/>
      <c r="F1244" s="249"/>
      <c r="G1244" s="251"/>
      <c r="H1244" s="249"/>
      <c r="I1244" s="252"/>
      <c r="J1244" s="253"/>
      <c r="K1244" s="42"/>
      <c r="L1244" s="42"/>
      <c r="M1244" s="68"/>
      <c r="N1244" s="68"/>
    </row>
    <row r="1245">
      <c r="A1245" s="248"/>
      <c r="B1245" s="249"/>
      <c r="C1245" s="249"/>
      <c r="D1245" s="250"/>
      <c r="E1245" s="249"/>
      <c r="F1245" s="249"/>
      <c r="G1245" s="251"/>
      <c r="H1245" s="249"/>
      <c r="I1245" s="252"/>
      <c r="J1245" s="253"/>
      <c r="K1245" s="42"/>
      <c r="L1245" s="42"/>
      <c r="M1245" s="68"/>
      <c r="N1245" s="68"/>
    </row>
    <row r="1246">
      <c r="A1246" s="248"/>
      <c r="B1246" s="249"/>
      <c r="C1246" s="249"/>
      <c r="D1246" s="250"/>
      <c r="E1246" s="249"/>
      <c r="F1246" s="249"/>
      <c r="G1246" s="251"/>
      <c r="H1246" s="249"/>
      <c r="I1246" s="252"/>
      <c r="J1246" s="253"/>
      <c r="K1246" s="42"/>
      <c r="L1246" s="42"/>
      <c r="M1246" s="68"/>
      <c r="N1246" s="68"/>
    </row>
    <row r="1247">
      <c r="A1247" s="248"/>
      <c r="B1247" s="249"/>
      <c r="C1247" s="249"/>
      <c r="D1247" s="250"/>
      <c r="E1247" s="249"/>
      <c r="F1247" s="249"/>
      <c r="G1247" s="251"/>
      <c r="H1247" s="249"/>
      <c r="I1247" s="252"/>
      <c r="J1247" s="253"/>
      <c r="K1247" s="42"/>
      <c r="L1247" s="42"/>
      <c r="M1247" s="68"/>
      <c r="N1247" s="68"/>
    </row>
    <row r="1248">
      <c r="A1248" s="248"/>
      <c r="B1248" s="249"/>
      <c r="C1248" s="249"/>
      <c r="D1248" s="250"/>
      <c r="E1248" s="249"/>
      <c r="F1248" s="249"/>
      <c r="G1248" s="251"/>
      <c r="H1248" s="249"/>
      <c r="I1248" s="252"/>
      <c r="J1248" s="253"/>
      <c r="K1248" s="42"/>
      <c r="L1248" s="42"/>
      <c r="M1248" s="68"/>
      <c r="N1248" s="68"/>
    </row>
    <row r="1249">
      <c r="A1249" s="248"/>
      <c r="B1249" s="249"/>
      <c r="C1249" s="249"/>
      <c r="D1249" s="250"/>
      <c r="E1249" s="249"/>
      <c r="F1249" s="249"/>
      <c r="G1249" s="251"/>
      <c r="H1249" s="249"/>
      <c r="I1249" s="252"/>
      <c r="J1249" s="253"/>
      <c r="K1249" s="42"/>
      <c r="L1249" s="42"/>
      <c r="M1249" s="68"/>
      <c r="N1249" s="68"/>
    </row>
    <row r="1250">
      <c r="A1250" s="248"/>
      <c r="B1250" s="249"/>
      <c r="C1250" s="249"/>
      <c r="D1250" s="250"/>
      <c r="E1250" s="249"/>
      <c r="F1250" s="249"/>
      <c r="G1250" s="251"/>
      <c r="H1250" s="249"/>
      <c r="I1250" s="252"/>
      <c r="J1250" s="253"/>
      <c r="K1250" s="42"/>
      <c r="L1250" s="42"/>
      <c r="M1250" s="68"/>
      <c r="N1250" s="68"/>
    </row>
    <row r="1251">
      <c r="A1251" s="248"/>
      <c r="B1251" s="249"/>
      <c r="C1251" s="249"/>
      <c r="D1251" s="250"/>
      <c r="E1251" s="249"/>
      <c r="F1251" s="249"/>
      <c r="G1251" s="251"/>
      <c r="H1251" s="249"/>
      <c r="I1251" s="252"/>
      <c r="J1251" s="253"/>
      <c r="K1251" s="42"/>
      <c r="L1251" s="42"/>
      <c r="M1251" s="68"/>
      <c r="N1251" s="68"/>
    </row>
    <row r="1252">
      <c r="A1252" s="248"/>
      <c r="B1252" s="249"/>
      <c r="C1252" s="249"/>
      <c r="D1252" s="250"/>
      <c r="E1252" s="249"/>
      <c r="F1252" s="249"/>
      <c r="G1252" s="251"/>
      <c r="H1252" s="249"/>
      <c r="I1252" s="252"/>
      <c r="J1252" s="253"/>
      <c r="K1252" s="42"/>
      <c r="L1252" s="42"/>
      <c r="M1252" s="68"/>
      <c r="N1252" s="68"/>
    </row>
    <row r="1253">
      <c r="A1253" s="248"/>
      <c r="B1253" s="249"/>
      <c r="C1253" s="249"/>
      <c r="D1253" s="250"/>
      <c r="E1253" s="249"/>
      <c r="F1253" s="249"/>
      <c r="G1253" s="251"/>
      <c r="H1253" s="249"/>
      <c r="I1253" s="252"/>
      <c r="J1253" s="253"/>
      <c r="K1253" s="42"/>
      <c r="L1253" s="42"/>
      <c r="M1253" s="68"/>
      <c r="N1253" s="68"/>
    </row>
    <row r="1254">
      <c r="A1254" s="248"/>
      <c r="B1254" s="249"/>
      <c r="C1254" s="249"/>
      <c r="D1254" s="250"/>
      <c r="E1254" s="249"/>
      <c r="F1254" s="249"/>
      <c r="G1254" s="251"/>
      <c r="H1254" s="249"/>
      <c r="I1254" s="252"/>
      <c r="J1254" s="253"/>
      <c r="K1254" s="42"/>
      <c r="L1254" s="42"/>
      <c r="M1254" s="68"/>
      <c r="N1254" s="68"/>
    </row>
    <row r="1255">
      <c r="A1255" s="248"/>
      <c r="B1255" s="249"/>
      <c r="C1255" s="249"/>
      <c r="D1255" s="250"/>
      <c r="E1255" s="249"/>
      <c r="F1255" s="249"/>
      <c r="G1255" s="251"/>
      <c r="H1255" s="249"/>
      <c r="I1255" s="252"/>
      <c r="J1255" s="253"/>
      <c r="K1255" s="42"/>
      <c r="L1255" s="42"/>
      <c r="M1255" s="68"/>
      <c r="N1255" s="68"/>
    </row>
    <row r="1256">
      <c r="A1256" s="248"/>
      <c r="B1256" s="249"/>
      <c r="C1256" s="249"/>
      <c r="D1256" s="250"/>
      <c r="E1256" s="249"/>
      <c r="F1256" s="249"/>
      <c r="G1256" s="251"/>
      <c r="H1256" s="249"/>
      <c r="I1256" s="252"/>
      <c r="J1256" s="253"/>
      <c r="K1256" s="42"/>
      <c r="L1256" s="42"/>
      <c r="M1256" s="68"/>
      <c r="N1256" s="68"/>
    </row>
    <row r="1257">
      <c r="A1257" s="248"/>
      <c r="B1257" s="249"/>
      <c r="C1257" s="249"/>
      <c r="D1257" s="250"/>
      <c r="E1257" s="249"/>
      <c r="F1257" s="249"/>
      <c r="G1257" s="251"/>
      <c r="H1257" s="249"/>
      <c r="I1257" s="252"/>
      <c r="J1257" s="253"/>
      <c r="K1257" s="42"/>
      <c r="L1257" s="42"/>
      <c r="M1257" s="68"/>
      <c r="N1257" s="68"/>
    </row>
    <row r="1258">
      <c r="A1258" s="248"/>
      <c r="B1258" s="249"/>
      <c r="C1258" s="249"/>
      <c r="D1258" s="250"/>
      <c r="E1258" s="249"/>
      <c r="F1258" s="249"/>
      <c r="G1258" s="251"/>
      <c r="H1258" s="249"/>
      <c r="I1258" s="252"/>
      <c r="J1258" s="253"/>
      <c r="K1258" s="42"/>
      <c r="L1258" s="42"/>
      <c r="M1258" s="68"/>
      <c r="N1258" s="68"/>
    </row>
    <row r="1259">
      <c r="A1259" s="248"/>
      <c r="B1259" s="249"/>
      <c r="C1259" s="249"/>
      <c r="D1259" s="250"/>
      <c r="E1259" s="249"/>
      <c r="F1259" s="249"/>
      <c r="G1259" s="251"/>
      <c r="H1259" s="249"/>
      <c r="I1259" s="252"/>
      <c r="J1259" s="253"/>
      <c r="K1259" s="42"/>
      <c r="L1259" s="42"/>
      <c r="M1259" s="68"/>
      <c r="N1259" s="68"/>
    </row>
    <row r="1260">
      <c r="A1260" s="248"/>
      <c r="B1260" s="249"/>
      <c r="C1260" s="249"/>
      <c r="D1260" s="250"/>
      <c r="E1260" s="249"/>
      <c r="F1260" s="249"/>
      <c r="G1260" s="251"/>
      <c r="H1260" s="249"/>
      <c r="I1260" s="252"/>
      <c r="J1260" s="253"/>
      <c r="K1260" s="42"/>
      <c r="L1260" s="42"/>
      <c r="M1260" s="68"/>
      <c r="N1260" s="68"/>
    </row>
    <row r="1261">
      <c r="A1261" s="248"/>
      <c r="B1261" s="249"/>
      <c r="C1261" s="249"/>
      <c r="D1261" s="250"/>
      <c r="E1261" s="249"/>
      <c r="F1261" s="249"/>
      <c r="G1261" s="251"/>
      <c r="H1261" s="249"/>
      <c r="I1261" s="252"/>
      <c r="J1261" s="253"/>
      <c r="K1261" s="42"/>
      <c r="L1261" s="42"/>
      <c r="M1261" s="68"/>
      <c r="N1261" s="68"/>
    </row>
    <row r="1262">
      <c r="A1262" s="248"/>
      <c r="B1262" s="249"/>
      <c r="C1262" s="249"/>
      <c r="D1262" s="250"/>
      <c r="E1262" s="249"/>
      <c r="F1262" s="249"/>
      <c r="G1262" s="251"/>
      <c r="H1262" s="249"/>
      <c r="I1262" s="252"/>
      <c r="J1262" s="253"/>
      <c r="K1262" s="42"/>
      <c r="L1262" s="42"/>
      <c r="M1262" s="68"/>
      <c r="N1262" s="68"/>
    </row>
    <row r="1263">
      <c r="A1263" s="248"/>
      <c r="B1263" s="249"/>
      <c r="C1263" s="249"/>
      <c r="D1263" s="250"/>
      <c r="E1263" s="249"/>
      <c r="F1263" s="249"/>
      <c r="G1263" s="251"/>
      <c r="H1263" s="249"/>
      <c r="I1263" s="252"/>
      <c r="J1263" s="253"/>
      <c r="K1263" s="42"/>
      <c r="L1263" s="42"/>
      <c r="M1263" s="68"/>
      <c r="N1263" s="68"/>
    </row>
    <row r="1264">
      <c r="A1264" s="248"/>
      <c r="B1264" s="249"/>
      <c r="C1264" s="249"/>
      <c r="D1264" s="250"/>
      <c r="E1264" s="249"/>
      <c r="F1264" s="249"/>
      <c r="G1264" s="251"/>
      <c r="H1264" s="249"/>
      <c r="I1264" s="252"/>
      <c r="J1264" s="253"/>
      <c r="K1264" s="42"/>
      <c r="L1264" s="42"/>
      <c r="M1264" s="68"/>
      <c r="N1264" s="68"/>
    </row>
    <row r="1265">
      <c r="A1265" s="248"/>
      <c r="B1265" s="249"/>
      <c r="C1265" s="249"/>
      <c r="D1265" s="250"/>
      <c r="E1265" s="249"/>
      <c r="F1265" s="249"/>
      <c r="G1265" s="251"/>
      <c r="H1265" s="249"/>
      <c r="I1265" s="252"/>
      <c r="J1265" s="253"/>
      <c r="K1265" s="42"/>
      <c r="L1265" s="42"/>
      <c r="M1265" s="68"/>
      <c r="N1265" s="68"/>
    </row>
    <row r="1266">
      <c r="A1266" s="248"/>
      <c r="B1266" s="249"/>
      <c r="C1266" s="249"/>
      <c r="D1266" s="250"/>
      <c r="E1266" s="249"/>
      <c r="F1266" s="249"/>
      <c r="G1266" s="251"/>
      <c r="H1266" s="249"/>
      <c r="I1266" s="252"/>
      <c r="J1266" s="253"/>
      <c r="K1266" s="42"/>
      <c r="L1266" s="42"/>
      <c r="M1266" s="68"/>
      <c r="N1266" s="68"/>
    </row>
    <row r="1267">
      <c r="A1267" s="248"/>
      <c r="B1267" s="249"/>
      <c r="C1267" s="249"/>
      <c r="D1267" s="250"/>
      <c r="E1267" s="249"/>
      <c r="F1267" s="249"/>
      <c r="G1267" s="251"/>
      <c r="H1267" s="249"/>
      <c r="I1267" s="252"/>
      <c r="J1267" s="253"/>
      <c r="K1267" s="42"/>
      <c r="L1267" s="42"/>
      <c r="M1267" s="68"/>
      <c r="N1267" s="68"/>
    </row>
    <row r="1268">
      <c r="A1268" s="248"/>
      <c r="B1268" s="249"/>
      <c r="C1268" s="249"/>
      <c r="D1268" s="250"/>
      <c r="E1268" s="249"/>
      <c r="F1268" s="249"/>
      <c r="G1268" s="251"/>
      <c r="H1268" s="249"/>
      <c r="I1268" s="252"/>
      <c r="J1268" s="253"/>
      <c r="K1268" s="42"/>
      <c r="L1268" s="42"/>
      <c r="M1268" s="68"/>
      <c r="N1268" s="68"/>
    </row>
    <row r="1269">
      <c r="A1269" s="248"/>
      <c r="B1269" s="249"/>
      <c r="C1269" s="249"/>
      <c r="D1269" s="250"/>
      <c r="E1269" s="249"/>
      <c r="F1269" s="249"/>
      <c r="G1269" s="251"/>
      <c r="H1269" s="249"/>
      <c r="I1269" s="252"/>
      <c r="J1269" s="253"/>
      <c r="K1269" s="42"/>
      <c r="L1269" s="42"/>
      <c r="M1269" s="68"/>
      <c r="N1269" s="68"/>
    </row>
    <row r="1270">
      <c r="A1270" s="248"/>
      <c r="B1270" s="249"/>
      <c r="C1270" s="249"/>
      <c r="D1270" s="250"/>
      <c r="E1270" s="249"/>
      <c r="F1270" s="249"/>
      <c r="G1270" s="251"/>
      <c r="H1270" s="249"/>
      <c r="I1270" s="252"/>
      <c r="J1270" s="253"/>
      <c r="K1270" s="42"/>
      <c r="L1270" s="42"/>
      <c r="M1270" s="68"/>
      <c r="N1270" s="68"/>
    </row>
    <row r="1271">
      <c r="A1271" s="248"/>
      <c r="B1271" s="249"/>
      <c r="C1271" s="249"/>
      <c r="D1271" s="250"/>
      <c r="E1271" s="249"/>
      <c r="F1271" s="249"/>
      <c r="G1271" s="251"/>
      <c r="H1271" s="249"/>
      <c r="I1271" s="252"/>
      <c r="J1271" s="253"/>
      <c r="K1271" s="42"/>
      <c r="L1271" s="42"/>
      <c r="M1271" s="68"/>
      <c r="N1271" s="68"/>
    </row>
    <row r="1272">
      <c r="A1272" s="248"/>
      <c r="B1272" s="249"/>
      <c r="C1272" s="249"/>
      <c r="D1272" s="250"/>
      <c r="E1272" s="249"/>
      <c r="F1272" s="249"/>
      <c r="G1272" s="251"/>
      <c r="H1272" s="249"/>
      <c r="I1272" s="252"/>
      <c r="J1272" s="253"/>
      <c r="K1272" s="42"/>
      <c r="L1272" s="42"/>
      <c r="M1272" s="68"/>
      <c r="N1272" s="68"/>
    </row>
    <row r="1273">
      <c r="A1273" s="248"/>
      <c r="B1273" s="249"/>
      <c r="C1273" s="249"/>
      <c r="D1273" s="250"/>
      <c r="E1273" s="249"/>
      <c r="F1273" s="249"/>
      <c r="G1273" s="251"/>
      <c r="H1273" s="249"/>
      <c r="I1273" s="252"/>
      <c r="J1273" s="253"/>
      <c r="K1273" s="42"/>
      <c r="L1273" s="42"/>
      <c r="M1273" s="68"/>
      <c r="N1273" s="68"/>
    </row>
    <row r="1274">
      <c r="A1274" s="248"/>
      <c r="B1274" s="249"/>
      <c r="C1274" s="249"/>
      <c r="D1274" s="250"/>
      <c r="E1274" s="249"/>
      <c r="F1274" s="249"/>
      <c r="G1274" s="251"/>
      <c r="H1274" s="249"/>
      <c r="I1274" s="252"/>
      <c r="J1274" s="253"/>
      <c r="K1274" s="42"/>
      <c r="L1274" s="42"/>
      <c r="M1274" s="68"/>
      <c r="N1274" s="68"/>
    </row>
    <row r="1275">
      <c r="A1275" s="248"/>
      <c r="B1275" s="249"/>
      <c r="C1275" s="249"/>
      <c r="D1275" s="250"/>
      <c r="E1275" s="249"/>
      <c r="F1275" s="249"/>
      <c r="G1275" s="251"/>
      <c r="H1275" s="249"/>
      <c r="I1275" s="252"/>
      <c r="J1275" s="253"/>
      <c r="K1275" s="42"/>
      <c r="L1275" s="42"/>
      <c r="M1275" s="68"/>
      <c r="N1275" s="68"/>
    </row>
    <row r="1276">
      <c r="A1276" s="248"/>
      <c r="B1276" s="249"/>
      <c r="C1276" s="249"/>
      <c r="D1276" s="250"/>
      <c r="E1276" s="249"/>
      <c r="F1276" s="249"/>
      <c r="G1276" s="251"/>
      <c r="H1276" s="249"/>
      <c r="I1276" s="252"/>
      <c r="J1276" s="253"/>
      <c r="K1276" s="42"/>
      <c r="L1276" s="42"/>
      <c r="M1276" s="68"/>
      <c r="N1276" s="68"/>
    </row>
    <row r="1277">
      <c r="A1277" s="248"/>
      <c r="B1277" s="249"/>
      <c r="C1277" s="249"/>
      <c r="D1277" s="250"/>
      <c r="E1277" s="249"/>
      <c r="F1277" s="249"/>
      <c r="G1277" s="251"/>
      <c r="H1277" s="249"/>
      <c r="I1277" s="252"/>
      <c r="J1277" s="253"/>
      <c r="K1277" s="42"/>
      <c r="L1277" s="42"/>
      <c r="M1277" s="68"/>
      <c r="N1277" s="68"/>
    </row>
    <row r="1278">
      <c r="A1278" s="248"/>
      <c r="B1278" s="249"/>
      <c r="C1278" s="249"/>
      <c r="D1278" s="250"/>
      <c r="E1278" s="249"/>
      <c r="F1278" s="249"/>
      <c r="G1278" s="251"/>
      <c r="H1278" s="249"/>
      <c r="I1278" s="252"/>
      <c r="J1278" s="253"/>
      <c r="K1278" s="42"/>
      <c r="L1278" s="42"/>
      <c r="M1278" s="68"/>
      <c r="N1278" s="68"/>
    </row>
    <row r="1279">
      <c r="A1279" s="248"/>
      <c r="B1279" s="249"/>
      <c r="C1279" s="249"/>
      <c r="D1279" s="250"/>
      <c r="E1279" s="249"/>
      <c r="F1279" s="249"/>
      <c r="G1279" s="251"/>
      <c r="H1279" s="249"/>
      <c r="I1279" s="252"/>
      <c r="J1279" s="253"/>
      <c r="K1279" s="42"/>
      <c r="L1279" s="42"/>
      <c r="M1279" s="68"/>
      <c r="N1279" s="68"/>
    </row>
    <row r="1280">
      <c r="A1280" s="248"/>
      <c r="B1280" s="249"/>
      <c r="C1280" s="249"/>
      <c r="D1280" s="250"/>
      <c r="E1280" s="249"/>
      <c r="F1280" s="249"/>
      <c r="G1280" s="251"/>
      <c r="H1280" s="249"/>
      <c r="I1280" s="252"/>
      <c r="J1280" s="253"/>
      <c r="K1280" s="42"/>
      <c r="L1280" s="42"/>
      <c r="M1280" s="68"/>
      <c r="N1280" s="68"/>
    </row>
    <row r="1281">
      <c r="A1281" s="248"/>
      <c r="B1281" s="249"/>
      <c r="C1281" s="249"/>
      <c r="D1281" s="250"/>
      <c r="E1281" s="249"/>
      <c r="F1281" s="249"/>
      <c r="G1281" s="251"/>
      <c r="H1281" s="249"/>
      <c r="I1281" s="252"/>
      <c r="J1281" s="253"/>
      <c r="K1281" s="42"/>
      <c r="L1281" s="42"/>
      <c r="M1281" s="68"/>
      <c r="N1281" s="68"/>
    </row>
    <row r="1282">
      <c r="A1282" s="248"/>
      <c r="B1282" s="249"/>
      <c r="C1282" s="249"/>
      <c r="D1282" s="250"/>
      <c r="E1282" s="249"/>
      <c r="F1282" s="249"/>
      <c r="G1282" s="251"/>
      <c r="H1282" s="249"/>
      <c r="I1282" s="252"/>
      <c r="J1282" s="253"/>
      <c r="K1282" s="42"/>
      <c r="L1282" s="42"/>
      <c r="M1282" s="68"/>
      <c r="N1282" s="68"/>
    </row>
    <row r="1283">
      <c r="A1283" s="248"/>
      <c r="B1283" s="249"/>
      <c r="C1283" s="249"/>
      <c r="D1283" s="250"/>
      <c r="E1283" s="249"/>
      <c r="F1283" s="249"/>
      <c r="G1283" s="251"/>
      <c r="H1283" s="249"/>
      <c r="I1283" s="252"/>
      <c r="J1283" s="253"/>
      <c r="K1283" s="42"/>
      <c r="L1283" s="42"/>
      <c r="M1283" s="68"/>
      <c r="N1283" s="68"/>
    </row>
    <row r="1284">
      <c r="A1284" s="248"/>
      <c r="B1284" s="249"/>
      <c r="C1284" s="249"/>
      <c r="D1284" s="250"/>
      <c r="E1284" s="249"/>
      <c r="F1284" s="249"/>
      <c r="G1284" s="251"/>
      <c r="H1284" s="249"/>
      <c r="I1284" s="252"/>
      <c r="J1284" s="253"/>
      <c r="K1284" s="42"/>
      <c r="L1284" s="42"/>
      <c r="M1284" s="68"/>
      <c r="N1284" s="68"/>
    </row>
    <row r="1285">
      <c r="A1285" s="248"/>
      <c r="B1285" s="249"/>
      <c r="C1285" s="249"/>
      <c r="D1285" s="250"/>
      <c r="E1285" s="249"/>
      <c r="F1285" s="249"/>
      <c r="G1285" s="251"/>
      <c r="H1285" s="249"/>
      <c r="I1285" s="252"/>
      <c r="J1285" s="253"/>
      <c r="K1285" s="42"/>
      <c r="L1285" s="42"/>
      <c r="M1285" s="68"/>
      <c r="N1285" s="68"/>
    </row>
    <row r="1286">
      <c r="A1286" s="248"/>
      <c r="B1286" s="249"/>
      <c r="C1286" s="249"/>
      <c r="D1286" s="250"/>
      <c r="E1286" s="249"/>
      <c r="F1286" s="249"/>
      <c r="G1286" s="251"/>
      <c r="H1286" s="249"/>
      <c r="I1286" s="252"/>
      <c r="J1286" s="253"/>
      <c r="K1286" s="42"/>
      <c r="L1286" s="42"/>
      <c r="M1286" s="68"/>
      <c r="N1286" s="68"/>
    </row>
    <row r="1287">
      <c r="A1287" s="248"/>
      <c r="B1287" s="249"/>
      <c r="C1287" s="249"/>
      <c r="D1287" s="250"/>
      <c r="E1287" s="249"/>
      <c r="F1287" s="249"/>
      <c r="G1287" s="251"/>
      <c r="H1287" s="249"/>
      <c r="I1287" s="252"/>
      <c r="J1287" s="253"/>
      <c r="K1287" s="42"/>
      <c r="L1287" s="42"/>
      <c r="M1287" s="68"/>
      <c r="N1287" s="68"/>
    </row>
    <row r="1288">
      <c r="A1288" s="248"/>
      <c r="B1288" s="249"/>
      <c r="C1288" s="249"/>
      <c r="D1288" s="250"/>
      <c r="E1288" s="249"/>
      <c r="F1288" s="249"/>
      <c r="G1288" s="251"/>
      <c r="H1288" s="249"/>
      <c r="I1288" s="252"/>
      <c r="J1288" s="253"/>
      <c r="K1288" s="42"/>
      <c r="L1288" s="42"/>
      <c r="M1288" s="68"/>
      <c r="N1288" s="68"/>
    </row>
    <row r="1289">
      <c r="A1289" s="248"/>
      <c r="B1289" s="249"/>
      <c r="C1289" s="249"/>
      <c r="D1289" s="250"/>
      <c r="E1289" s="249"/>
      <c r="F1289" s="249"/>
      <c r="G1289" s="251"/>
      <c r="H1289" s="249"/>
      <c r="I1289" s="252"/>
      <c r="J1289" s="253"/>
      <c r="K1289" s="42"/>
      <c r="L1289" s="42"/>
      <c r="M1289" s="68"/>
      <c r="N1289" s="68"/>
    </row>
    <row r="1290">
      <c r="A1290" s="248"/>
      <c r="B1290" s="249"/>
      <c r="C1290" s="249"/>
      <c r="D1290" s="250"/>
      <c r="E1290" s="249"/>
      <c r="F1290" s="249"/>
      <c r="G1290" s="251"/>
      <c r="H1290" s="249"/>
      <c r="I1290" s="252"/>
      <c r="J1290" s="253"/>
      <c r="K1290" s="42"/>
      <c r="L1290" s="42"/>
      <c r="M1290" s="68"/>
      <c r="N1290" s="68"/>
    </row>
    <row r="1291">
      <c r="A1291" s="248"/>
      <c r="B1291" s="249"/>
      <c r="C1291" s="249"/>
      <c r="D1291" s="250"/>
      <c r="E1291" s="249"/>
      <c r="F1291" s="249"/>
      <c r="G1291" s="251"/>
      <c r="H1291" s="249"/>
      <c r="I1291" s="252"/>
      <c r="J1291" s="253"/>
      <c r="K1291" s="42"/>
      <c r="L1291" s="42"/>
      <c r="M1291" s="68"/>
      <c r="N1291" s="68"/>
    </row>
    <row r="1292">
      <c r="A1292" s="248"/>
      <c r="B1292" s="249"/>
      <c r="C1292" s="249"/>
      <c r="D1292" s="250"/>
      <c r="E1292" s="249"/>
      <c r="F1292" s="249"/>
      <c r="G1292" s="251"/>
      <c r="H1292" s="249"/>
      <c r="I1292" s="252"/>
      <c r="J1292" s="253"/>
      <c r="K1292" s="42"/>
      <c r="L1292" s="42"/>
      <c r="M1292" s="68"/>
      <c r="N1292" s="68"/>
    </row>
    <row r="1293">
      <c r="A1293" s="248"/>
      <c r="B1293" s="249"/>
      <c r="C1293" s="249"/>
      <c r="D1293" s="250"/>
      <c r="E1293" s="249"/>
      <c r="F1293" s="249"/>
      <c r="G1293" s="251"/>
      <c r="H1293" s="249"/>
      <c r="I1293" s="252"/>
      <c r="J1293" s="253"/>
      <c r="K1293" s="42"/>
      <c r="L1293" s="42"/>
      <c r="M1293" s="68"/>
      <c r="N1293" s="68"/>
    </row>
    <row r="1294">
      <c r="A1294" s="248"/>
      <c r="B1294" s="249"/>
      <c r="C1294" s="249"/>
      <c r="D1294" s="250"/>
      <c r="E1294" s="249"/>
      <c r="F1294" s="249"/>
      <c r="G1294" s="251"/>
      <c r="H1294" s="249"/>
      <c r="I1294" s="252"/>
      <c r="J1294" s="253"/>
      <c r="K1294" s="42"/>
      <c r="L1294" s="42"/>
      <c r="M1294" s="68"/>
      <c r="N1294" s="68"/>
    </row>
    <row r="1295">
      <c r="A1295" s="248"/>
      <c r="B1295" s="249"/>
      <c r="C1295" s="249"/>
      <c r="D1295" s="250"/>
      <c r="E1295" s="249"/>
      <c r="F1295" s="249"/>
      <c r="G1295" s="251"/>
      <c r="H1295" s="249"/>
      <c r="I1295" s="252"/>
      <c r="J1295" s="253"/>
      <c r="K1295" s="42"/>
      <c r="L1295" s="42"/>
      <c r="M1295" s="68"/>
      <c r="N1295" s="68"/>
    </row>
    <row r="1296">
      <c r="A1296" s="248"/>
      <c r="B1296" s="249"/>
      <c r="C1296" s="249"/>
      <c r="D1296" s="250"/>
      <c r="E1296" s="249"/>
      <c r="F1296" s="249"/>
      <c r="G1296" s="251"/>
      <c r="H1296" s="249"/>
      <c r="I1296" s="252"/>
      <c r="J1296" s="253"/>
      <c r="K1296" s="42"/>
      <c r="L1296" s="42"/>
      <c r="M1296" s="68"/>
      <c r="N1296" s="68"/>
    </row>
    <row r="1297">
      <c r="A1297" s="248"/>
      <c r="B1297" s="249"/>
      <c r="C1297" s="249"/>
      <c r="D1297" s="250"/>
      <c r="E1297" s="249"/>
      <c r="F1297" s="249"/>
      <c r="G1297" s="251"/>
      <c r="H1297" s="249"/>
      <c r="I1297" s="252"/>
      <c r="J1297" s="253"/>
      <c r="K1297" s="42"/>
      <c r="L1297" s="42"/>
      <c r="M1297" s="68"/>
      <c r="N1297" s="68"/>
    </row>
    <row r="1298">
      <c r="A1298" s="248"/>
      <c r="B1298" s="249"/>
      <c r="C1298" s="249"/>
      <c r="D1298" s="250"/>
      <c r="E1298" s="249"/>
      <c r="F1298" s="249"/>
      <c r="G1298" s="251"/>
      <c r="H1298" s="249"/>
      <c r="I1298" s="252"/>
      <c r="J1298" s="253"/>
      <c r="K1298" s="42"/>
      <c r="L1298" s="42"/>
      <c r="M1298" s="68"/>
      <c r="N1298" s="68"/>
    </row>
    <row r="1299">
      <c r="A1299" s="248"/>
      <c r="B1299" s="249"/>
      <c r="C1299" s="249"/>
      <c r="D1299" s="250"/>
      <c r="E1299" s="249"/>
      <c r="F1299" s="249"/>
      <c r="G1299" s="251"/>
      <c r="H1299" s="249"/>
      <c r="I1299" s="252"/>
      <c r="J1299" s="253"/>
      <c r="K1299" s="42"/>
      <c r="L1299" s="42"/>
      <c r="M1299" s="68"/>
      <c r="N1299" s="68"/>
    </row>
    <row r="1300">
      <c r="A1300" s="248"/>
      <c r="B1300" s="249"/>
      <c r="C1300" s="249"/>
      <c r="D1300" s="250"/>
      <c r="E1300" s="249"/>
      <c r="F1300" s="249"/>
      <c r="G1300" s="251"/>
      <c r="H1300" s="249"/>
      <c r="I1300" s="252"/>
      <c r="J1300" s="253"/>
      <c r="K1300" s="42"/>
      <c r="L1300" s="42"/>
      <c r="M1300" s="68"/>
      <c r="N1300" s="68"/>
    </row>
    <row r="1301">
      <c r="A1301" s="248"/>
      <c r="B1301" s="249"/>
      <c r="C1301" s="249"/>
      <c r="D1301" s="250"/>
      <c r="E1301" s="249"/>
      <c r="F1301" s="249"/>
      <c r="G1301" s="251"/>
      <c r="H1301" s="249"/>
      <c r="I1301" s="252"/>
      <c r="J1301" s="253"/>
      <c r="K1301" s="42"/>
      <c r="L1301" s="42"/>
      <c r="M1301" s="68"/>
      <c r="N1301" s="68"/>
    </row>
    <row r="1302">
      <c r="A1302" s="248"/>
      <c r="B1302" s="249"/>
      <c r="C1302" s="249"/>
      <c r="D1302" s="250"/>
      <c r="E1302" s="249"/>
      <c r="F1302" s="249"/>
      <c r="G1302" s="251"/>
      <c r="H1302" s="249"/>
      <c r="I1302" s="252"/>
      <c r="J1302" s="253"/>
      <c r="K1302" s="42"/>
      <c r="L1302" s="42"/>
      <c r="M1302" s="68"/>
      <c r="N1302" s="68"/>
    </row>
    <row r="1303">
      <c r="A1303" s="248"/>
      <c r="B1303" s="249"/>
      <c r="C1303" s="249"/>
      <c r="D1303" s="250"/>
      <c r="E1303" s="249"/>
      <c r="F1303" s="249"/>
      <c r="G1303" s="251"/>
      <c r="H1303" s="249"/>
      <c r="I1303" s="252"/>
      <c r="J1303" s="253"/>
      <c r="K1303" s="42"/>
      <c r="L1303" s="42"/>
      <c r="M1303" s="68"/>
      <c r="N1303" s="68"/>
    </row>
    <row r="1304">
      <c r="A1304" s="248"/>
      <c r="B1304" s="249"/>
      <c r="C1304" s="249"/>
      <c r="D1304" s="250"/>
      <c r="E1304" s="249"/>
      <c r="F1304" s="249"/>
      <c r="G1304" s="251"/>
      <c r="H1304" s="249"/>
      <c r="I1304" s="252"/>
      <c r="J1304" s="253"/>
      <c r="K1304" s="42"/>
      <c r="L1304" s="42"/>
      <c r="M1304" s="68"/>
      <c r="N1304" s="68"/>
    </row>
    <row r="1305">
      <c r="A1305" s="248"/>
      <c r="B1305" s="249"/>
      <c r="C1305" s="249"/>
      <c r="D1305" s="250"/>
      <c r="E1305" s="249"/>
      <c r="F1305" s="249"/>
      <c r="G1305" s="251"/>
      <c r="H1305" s="249"/>
      <c r="I1305" s="252"/>
      <c r="J1305" s="253"/>
      <c r="K1305" s="42"/>
      <c r="L1305" s="42"/>
      <c r="M1305" s="68"/>
      <c r="N1305" s="68"/>
    </row>
    <row r="1306">
      <c r="A1306" s="248"/>
      <c r="B1306" s="249"/>
      <c r="C1306" s="249"/>
      <c r="D1306" s="250"/>
      <c r="E1306" s="249"/>
      <c r="F1306" s="249"/>
      <c r="G1306" s="251"/>
      <c r="H1306" s="249"/>
      <c r="I1306" s="252"/>
      <c r="J1306" s="253"/>
      <c r="K1306" s="42"/>
      <c r="L1306" s="42"/>
      <c r="M1306" s="68"/>
      <c r="N1306" s="68"/>
    </row>
    <row r="1307">
      <c r="A1307" s="248"/>
      <c r="B1307" s="249"/>
      <c r="C1307" s="249"/>
      <c r="D1307" s="250"/>
      <c r="E1307" s="249"/>
      <c r="F1307" s="249"/>
      <c r="G1307" s="251"/>
      <c r="H1307" s="249"/>
      <c r="I1307" s="252"/>
      <c r="J1307" s="253"/>
      <c r="K1307" s="42"/>
      <c r="L1307" s="42"/>
      <c r="M1307" s="68"/>
      <c r="N1307" s="68"/>
    </row>
  </sheetData>
  <autoFilter ref="$A$1:$N$5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25"/>
    <col customWidth="1" min="2" max="2" width="14.13"/>
    <col customWidth="1" min="3" max="3" width="17.38"/>
    <col customWidth="1" min="5" max="5" width="23.75"/>
    <col customWidth="1" min="6" max="6" width="26.5"/>
    <col customWidth="1" min="7" max="7" width="16.25"/>
    <col customWidth="1" min="8" max="13" width="26.5"/>
    <col customWidth="1" min="14" max="14" width="20.75"/>
    <col customWidth="1" min="15" max="15" width="20.88"/>
    <col customWidth="1" min="17" max="17" width="17.0"/>
    <col customWidth="1" min="18" max="18" width="19.38"/>
  </cols>
  <sheetData>
    <row r="1" ht="50.25" customHeight="1">
      <c r="A1" s="4" t="s">
        <v>2</v>
      </c>
      <c r="B1" s="8" t="s">
        <v>7</v>
      </c>
      <c r="C1" s="8" t="s">
        <v>9</v>
      </c>
      <c r="D1" s="8" t="s">
        <v>10</v>
      </c>
      <c r="E1" s="9" t="s">
        <v>12</v>
      </c>
      <c r="F1" s="11" t="s">
        <v>15</v>
      </c>
      <c r="G1" s="8" t="s">
        <v>16</v>
      </c>
      <c r="H1" s="11" t="s">
        <v>18</v>
      </c>
      <c r="I1" s="11" t="s">
        <v>19</v>
      </c>
      <c r="J1" s="11" t="s">
        <v>21</v>
      </c>
      <c r="K1" s="11" t="s">
        <v>22</v>
      </c>
      <c r="L1" s="11" t="s">
        <v>25</v>
      </c>
      <c r="M1" s="11" t="s">
        <v>27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20">
        <v>46227.0</v>
      </c>
      <c r="B2" s="22" t="s">
        <v>46</v>
      </c>
      <c r="C2" s="34">
        <f>IFERROR(__xludf.DUMMYFUNCTION("IF(OR(B2="""",A2=""""),"""",IFERROR(LET(data,GOOGLEFINANCE(""NSE:""&amp;UPPER(TRIM(B2)),""close"",A2-10,A2,""DAILY""),INDEX(data,ROWS(data),2)),""Not Available""))"),84.93)</f>
        <v>84.93</v>
      </c>
      <c r="D2" s="34">
        <f>IFERROR(__xludf.DUMMYFUNCTION("IF(B2="""","""",IFERROR(GOOGLEFINANCE(""NSE:""&amp;UPPER(TRIM(B2)),""price""),""Not Available""))"),83.16)</f>
        <v>83.16</v>
      </c>
      <c r="E2" s="46">
        <f t="shared" ref="E2:E253" si="1">IFERROR((D2-C2)/C2,"")</f>
        <v>-0.02084069233</v>
      </c>
      <c r="F2" s="48"/>
      <c r="G2" s="34">
        <f t="shared" ref="G2:G253" si="2">IF(A2="","",TODAY()-A2)</f>
        <v>62</v>
      </c>
      <c r="H2" s="48"/>
      <c r="I2" s="48"/>
      <c r="J2" s="48"/>
      <c r="K2" s="48"/>
      <c r="L2" s="48"/>
      <c r="M2" s="48"/>
      <c r="N2" s="34"/>
      <c r="O2" s="34"/>
      <c r="P2" s="34"/>
      <c r="Q2" s="34"/>
      <c r="R2" s="34"/>
      <c r="S2" s="34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57">
        <v>46227.0</v>
      </c>
      <c r="B3" s="59" t="s">
        <v>60</v>
      </c>
      <c r="C3" s="13">
        <f>IFERROR(__xludf.DUMMYFUNCTION("IF(OR(B3="""",A3=""""),"""",IFERROR(LET(data,GOOGLEFINANCE(""NSE:""&amp;UPPER(TRIM(B3)),""close"",A3-10,A3,""DAILY""),INDEX(data,ROWS(data),2)),""Not Available""))"),1162.7)</f>
        <v>1162.7</v>
      </c>
      <c r="D3" s="13">
        <f>IFERROR(__xludf.DUMMYFUNCTION("IF(B3="""","""",IFERROR(GOOGLEFINANCE(""NSE:""&amp;UPPER(TRIM(B3)),""price""),""Not Available""))"),1069.9)</f>
        <v>1069.9</v>
      </c>
      <c r="E3" s="64">
        <f t="shared" si="1"/>
        <v>-0.07981422551</v>
      </c>
      <c r="F3" s="66"/>
      <c r="G3" s="13">
        <f t="shared" si="2"/>
        <v>62</v>
      </c>
      <c r="H3" s="66"/>
      <c r="I3" s="66"/>
      <c r="J3" s="66"/>
      <c r="K3" s="66"/>
      <c r="L3" s="66"/>
      <c r="M3" s="66"/>
      <c r="N3" s="13"/>
      <c r="O3" s="13"/>
      <c r="P3" s="13"/>
      <c r="Q3" s="13"/>
      <c r="R3" s="13"/>
      <c r="S3" s="13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</row>
    <row r="4">
      <c r="A4" s="57">
        <v>46227.0</v>
      </c>
      <c r="B4" s="59" t="s">
        <v>61</v>
      </c>
      <c r="C4" s="13">
        <f>IFERROR(__xludf.DUMMYFUNCTION("IF(OR(B4="""",A4=""""),"""",IFERROR(LET(data,GOOGLEFINANCE(""NSE:""&amp;UPPER(TRIM(B4)),""close"",A4-10,A4,""DAILY""),INDEX(data,ROWS(data),2)),""Not Available""))"),2007.5)</f>
        <v>2007.5</v>
      </c>
      <c r="D4" s="13">
        <f>IFERROR(__xludf.DUMMYFUNCTION("IF(B4="""","""",IFERROR(GOOGLEFINANCE(""NSE:""&amp;UPPER(TRIM(B4)),""price""),""Not Available""))"),2000.0)</f>
        <v>2000</v>
      </c>
      <c r="E4" s="64">
        <f t="shared" si="1"/>
        <v>-0.003735990037</v>
      </c>
      <c r="F4" s="66"/>
      <c r="G4" s="13">
        <f t="shared" si="2"/>
        <v>62</v>
      </c>
      <c r="H4" s="66"/>
      <c r="I4" s="66"/>
      <c r="J4" s="66"/>
      <c r="K4" s="66"/>
      <c r="L4" s="66"/>
      <c r="M4" s="66"/>
      <c r="N4" s="77"/>
      <c r="O4" s="77"/>
      <c r="P4" s="77"/>
      <c r="Q4" s="77"/>
      <c r="R4" s="77"/>
      <c r="S4" s="77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57">
        <v>46227.0</v>
      </c>
      <c r="B5" s="59" t="s">
        <v>63</v>
      </c>
      <c r="C5" s="13">
        <f>IFERROR(__xludf.DUMMYFUNCTION("IF(OR(B5="""",A5=""""),"""",IFERROR(LET(data,GOOGLEFINANCE(""NSE:""&amp;UPPER(TRIM(B5)),""close"",A5-10,A5,""DAILY""),INDEX(data,ROWS(data),2)),""Not Available""))"),979.85)</f>
        <v>979.85</v>
      </c>
      <c r="D5" s="13">
        <f>IFERROR(__xludf.DUMMYFUNCTION("IF(B5="""","""",IFERROR(GOOGLEFINANCE(""NSE:""&amp;UPPER(TRIM(B5)),""price""),""Not Available""))"),1451.6)</f>
        <v>1451.6</v>
      </c>
      <c r="E5" s="64">
        <f t="shared" si="1"/>
        <v>0.4814512425</v>
      </c>
      <c r="F5" s="66"/>
      <c r="G5" s="13">
        <f t="shared" si="2"/>
        <v>62</v>
      </c>
      <c r="H5" s="66"/>
      <c r="I5" s="66"/>
      <c r="J5" s="66"/>
      <c r="K5" s="66"/>
      <c r="L5" s="66"/>
      <c r="M5" s="66"/>
      <c r="N5" s="77"/>
      <c r="O5" s="77"/>
      <c r="P5" s="77"/>
      <c r="Q5" s="77"/>
      <c r="R5" s="77"/>
      <c r="S5" s="77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57">
        <v>46227.0</v>
      </c>
      <c r="B6" s="59" t="s">
        <v>66</v>
      </c>
      <c r="C6" s="13">
        <f>IFERROR(__xludf.DUMMYFUNCTION("IF(OR(B6="""",A6=""""),"""",IFERROR(LET(data,GOOGLEFINANCE(""NSE:""&amp;UPPER(TRIM(B6)),""close"",A6-10,A6,""DAILY""),INDEX(data,ROWS(data),2)),""Not Available""))"),356.5)</f>
        <v>356.5</v>
      </c>
      <c r="D6" s="13">
        <f>IFERROR(__xludf.DUMMYFUNCTION("IF(B6="""","""",IFERROR(GOOGLEFINANCE(""NSE:""&amp;UPPER(TRIM(B6)),""price""),""Not Available""))"),338.95)</f>
        <v>338.95</v>
      </c>
      <c r="E6" s="64">
        <f t="shared" si="1"/>
        <v>-0.0492286115</v>
      </c>
      <c r="F6" s="66"/>
      <c r="G6" s="13">
        <f t="shared" si="2"/>
        <v>62</v>
      </c>
      <c r="H6" s="66"/>
      <c r="I6" s="66"/>
      <c r="J6" s="66"/>
      <c r="K6" s="66"/>
      <c r="L6" s="66"/>
      <c r="M6" s="66"/>
      <c r="N6" s="77"/>
      <c r="O6" s="77"/>
      <c r="P6" s="77"/>
      <c r="Q6" s="77"/>
      <c r="R6" s="77"/>
      <c r="S6" s="77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57">
        <v>46227.0</v>
      </c>
      <c r="B7" s="59" t="s">
        <v>69</v>
      </c>
      <c r="C7" s="13">
        <f>IFERROR(__xludf.DUMMYFUNCTION("IF(OR(B7="""",A7=""""),"""",IFERROR(LET(data,GOOGLEFINANCE(""NSE:""&amp;UPPER(TRIM(B7)),""close"",A7-10,A7,""DAILY""),INDEX(data,ROWS(data),2)),""Not Available""))"),4.7)</f>
        <v>4.7</v>
      </c>
      <c r="D7" s="13">
        <f>IFERROR(__xludf.DUMMYFUNCTION("IF(B7="""","""",IFERROR(GOOGLEFINANCE(""NSE:""&amp;UPPER(TRIM(B7)),""price""),""Not Available""))"),6.42)</f>
        <v>6.42</v>
      </c>
      <c r="E7" s="64">
        <f t="shared" si="1"/>
        <v>0.3659574468</v>
      </c>
      <c r="F7" s="66"/>
      <c r="G7" s="13">
        <f t="shared" si="2"/>
        <v>62</v>
      </c>
      <c r="H7" s="66"/>
      <c r="I7" s="66"/>
      <c r="J7" s="66"/>
      <c r="K7" s="66"/>
      <c r="L7" s="66"/>
      <c r="M7" s="66"/>
      <c r="N7" s="77"/>
      <c r="O7" s="77"/>
      <c r="P7" s="77"/>
      <c r="Q7" s="77"/>
      <c r="R7" s="77"/>
      <c r="S7" s="77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85">
        <v>46226.0</v>
      </c>
      <c r="B8" s="86" t="s">
        <v>70</v>
      </c>
      <c r="C8" s="69">
        <f>IFERROR(__xludf.DUMMYFUNCTION("IF(OR(B8="""",A8=""""),"""",IFERROR(LET(data,GOOGLEFINANCE(""NSE:""&amp;UPPER(TRIM(B8)),""close"",A8-10,A8,""DAILY""),INDEX(data,ROWS(data),2)),""Not Available""))"),979.0)</f>
        <v>979</v>
      </c>
      <c r="D8" s="69">
        <f>IFERROR(__xludf.DUMMYFUNCTION("IF(B8="""","""",IFERROR(GOOGLEFINANCE(""NSE:""&amp;UPPER(TRIM(B8)),""price""),""Not Available""))"),1238.9)</f>
        <v>1238.9</v>
      </c>
      <c r="E8" s="87">
        <f t="shared" si="1"/>
        <v>0.2654749745</v>
      </c>
      <c r="F8" s="88"/>
      <c r="G8" s="69">
        <f t="shared" si="2"/>
        <v>63</v>
      </c>
      <c r="H8" s="88"/>
      <c r="I8" s="88"/>
      <c r="J8" s="88"/>
      <c r="K8" s="88"/>
      <c r="L8" s="88"/>
      <c r="M8" s="88"/>
      <c r="N8" s="89"/>
      <c r="O8" s="89"/>
      <c r="P8" s="89"/>
      <c r="Q8" s="89"/>
      <c r="R8" s="89"/>
      <c r="S8" s="89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</row>
    <row r="9">
      <c r="A9" s="57">
        <v>46226.0</v>
      </c>
      <c r="B9" s="59" t="s">
        <v>46</v>
      </c>
      <c r="C9" s="13">
        <f>IFERROR(__xludf.DUMMYFUNCTION("IF(OR(B9="""",A9=""""),"""",IFERROR(LET(data,GOOGLEFINANCE(""NSE:""&amp;UPPER(TRIM(B9)),""close"",A9-10,A9,""DAILY""),INDEX(data,ROWS(data),2)),""Not Available""))"),87.17)</f>
        <v>87.17</v>
      </c>
      <c r="D9" s="13">
        <f>IFERROR(__xludf.DUMMYFUNCTION("IF(B9="""","""",IFERROR(GOOGLEFINANCE(""NSE:""&amp;UPPER(TRIM(B9)),""price""),""Not Available""))"),83.16)</f>
        <v>83.16</v>
      </c>
      <c r="E9" s="64">
        <f t="shared" si="1"/>
        <v>-0.04600206493</v>
      </c>
      <c r="F9" s="66"/>
      <c r="G9" s="13">
        <f t="shared" si="2"/>
        <v>63</v>
      </c>
      <c r="H9" s="66"/>
      <c r="I9" s="66"/>
      <c r="J9" s="66"/>
      <c r="K9" s="66"/>
      <c r="L9" s="66"/>
      <c r="M9" s="66"/>
      <c r="N9" s="77"/>
      <c r="O9" s="77"/>
      <c r="P9" s="77"/>
      <c r="Q9" s="77"/>
      <c r="R9" s="77"/>
      <c r="S9" s="77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57">
        <v>46226.0</v>
      </c>
      <c r="B10" s="59" t="s">
        <v>75</v>
      </c>
      <c r="C10" s="13">
        <f>IFERROR(__xludf.DUMMYFUNCTION("IF(OR(B10="""",A10=""""),"""",IFERROR(LET(data,GOOGLEFINANCE(""NSE:""&amp;UPPER(TRIM(B10)),""close"",A10-10,A10,""DAILY""),INDEX(data,ROWS(data),2)),""Not Available""))"),568.75)</f>
        <v>568.75</v>
      </c>
      <c r="D10" s="13">
        <f>IFERROR(__xludf.DUMMYFUNCTION("IF(B10="""","""",IFERROR(GOOGLEFINANCE(""NSE:""&amp;UPPER(TRIM(B10)),""price""),""Not Available""))"),620.3)</f>
        <v>620.3</v>
      </c>
      <c r="E10" s="64">
        <f t="shared" si="1"/>
        <v>0.09063736264</v>
      </c>
      <c r="F10" s="66"/>
      <c r="G10" s="13">
        <f t="shared" si="2"/>
        <v>63</v>
      </c>
      <c r="H10" s="66"/>
      <c r="I10" s="66"/>
      <c r="J10" s="66"/>
      <c r="K10" s="66"/>
      <c r="L10" s="66"/>
      <c r="M10" s="66"/>
      <c r="N10" s="77"/>
      <c r="O10" s="77"/>
      <c r="P10" s="77"/>
      <c r="Q10" s="77"/>
      <c r="R10" s="77"/>
      <c r="S10" s="77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</row>
    <row r="11">
      <c r="A11" s="57">
        <v>46226.0</v>
      </c>
      <c r="B11" s="59" t="s">
        <v>63</v>
      </c>
      <c r="C11" s="13">
        <f>IFERROR(__xludf.DUMMYFUNCTION("IF(OR(B11="""",A11=""""),"""",IFERROR(LET(data,GOOGLEFINANCE(""NSE:""&amp;UPPER(TRIM(B11)),""close"",A11-10,A11,""DAILY""),INDEX(data,ROWS(data),2)),""Not Available""))"),942.8)</f>
        <v>942.8</v>
      </c>
      <c r="D11" s="13">
        <f>IFERROR(__xludf.DUMMYFUNCTION("IF(B11="""","""",IFERROR(GOOGLEFINANCE(""NSE:""&amp;UPPER(TRIM(B11)),""price""),""Not Available""))"),1451.6)</f>
        <v>1451.6</v>
      </c>
      <c r="E11" s="64">
        <f t="shared" si="1"/>
        <v>0.5396690709</v>
      </c>
      <c r="F11" s="66"/>
      <c r="G11" s="13">
        <f t="shared" si="2"/>
        <v>63</v>
      </c>
      <c r="H11" s="66"/>
      <c r="I11" s="66"/>
      <c r="J11" s="66"/>
      <c r="K11" s="66"/>
      <c r="L11" s="66"/>
      <c r="M11" s="66"/>
      <c r="N11" s="77"/>
      <c r="O11" s="77"/>
      <c r="P11" s="77"/>
      <c r="Q11" s="77"/>
      <c r="R11" s="77"/>
      <c r="S11" s="77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57">
        <v>46226.0</v>
      </c>
      <c r="B12" s="59" t="s">
        <v>81</v>
      </c>
      <c r="C12" s="13">
        <f>IFERROR(__xludf.DUMMYFUNCTION("IF(OR(B12="""",A12=""""),"""",IFERROR(LET(data,GOOGLEFINANCE(""NSE:""&amp;UPPER(TRIM(B12)),""close"",A12-10,A12,""DAILY""),INDEX(data,ROWS(data),2)),""Not Available""))"),34.04)</f>
        <v>34.04</v>
      </c>
      <c r="D12" s="13">
        <f>IFERROR(__xludf.DUMMYFUNCTION("IF(B12="""","""",IFERROR(GOOGLEFINANCE(""NSE:""&amp;UPPER(TRIM(B12)),""price""),""Not Available""))"),48.55)</f>
        <v>48.55</v>
      </c>
      <c r="E12" s="64">
        <f t="shared" si="1"/>
        <v>0.4262632197</v>
      </c>
      <c r="F12" s="66"/>
      <c r="G12" s="13">
        <f t="shared" si="2"/>
        <v>63</v>
      </c>
      <c r="H12" s="66"/>
      <c r="I12" s="66"/>
      <c r="J12" s="66"/>
      <c r="K12" s="66"/>
      <c r="L12" s="66"/>
      <c r="M12" s="66"/>
      <c r="N12" s="77"/>
      <c r="O12" s="77"/>
      <c r="P12" s="77"/>
      <c r="Q12" s="77"/>
      <c r="R12" s="77"/>
      <c r="S12" s="77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57">
        <v>46226.0</v>
      </c>
      <c r="B13" s="59" t="s">
        <v>66</v>
      </c>
      <c r="C13" s="13">
        <f>IFERROR(__xludf.DUMMYFUNCTION("IF(OR(B13="""",A13=""""),"""",IFERROR(LET(data,GOOGLEFINANCE(""NSE:""&amp;UPPER(TRIM(B13)),""close"",A13-10,A13,""DAILY""),INDEX(data,ROWS(data),2)),""Not Available""))"),370.35)</f>
        <v>370.35</v>
      </c>
      <c r="D13" s="13">
        <f>IFERROR(__xludf.DUMMYFUNCTION("IF(B13="""","""",IFERROR(GOOGLEFINANCE(""NSE:""&amp;UPPER(TRIM(B13)),""price""),""Not Available""))"),338.95)</f>
        <v>338.95</v>
      </c>
      <c r="E13" s="64">
        <f t="shared" si="1"/>
        <v>-0.08478466316</v>
      </c>
      <c r="F13" s="66"/>
      <c r="G13" s="13">
        <f t="shared" si="2"/>
        <v>63</v>
      </c>
      <c r="H13" s="66"/>
      <c r="I13" s="66"/>
      <c r="J13" s="66"/>
      <c r="K13" s="66"/>
      <c r="L13" s="66"/>
      <c r="M13" s="66"/>
      <c r="N13" s="13"/>
      <c r="O13" s="13"/>
      <c r="P13" s="13"/>
      <c r="Q13" s="13"/>
      <c r="R13" s="13"/>
      <c r="S13" s="13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>
      <c r="A14" s="57">
        <v>46226.0</v>
      </c>
      <c r="B14" s="59" t="s">
        <v>84</v>
      </c>
      <c r="C14" s="13">
        <f>IFERROR(__xludf.DUMMYFUNCTION("IF(OR(B14="""",A14=""""),"""",IFERROR(LET(data,GOOGLEFINANCE(""NSE:""&amp;UPPER(TRIM(B14)),""close"",A14-10,A14,""DAILY""),INDEX(data,ROWS(data),2)),""Not Available""))"),97.49)</f>
        <v>97.49</v>
      </c>
      <c r="D14" s="13">
        <f>IFERROR(__xludf.DUMMYFUNCTION("IF(B14="""","""",IFERROR(GOOGLEFINANCE(""NSE:""&amp;UPPER(TRIM(B14)),""price""),""Not Available""))"),94.0)</f>
        <v>94</v>
      </c>
      <c r="E14" s="64">
        <f t="shared" si="1"/>
        <v>-0.03579854344</v>
      </c>
      <c r="F14" s="66"/>
      <c r="G14" s="13">
        <f t="shared" si="2"/>
        <v>63</v>
      </c>
      <c r="H14" s="66"/>
      <c r="I14" s="66"/>
      <c r="J14" s="66"/>
      <c r="K14" s="66"/>
      <c r="L14" s="66"/>
      <c r="M14" s="66"/>
      <c r="N14" s="13"/>
      <c r="O14" s="13"/>
      <c r="P14" s="13"/>
      <c r="Q14" s="13"/>
      <c r="R14" s="13"/>
      <c r="S14" s="13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>
      <c r="A15" s="57">
        <v>46226.0</v>
      </c>
      <c r="B15" s="59" t="s">
        <v>69</v>
      </c>
      <c r="C15" s="13">
        <f>IFERROR(__xludf.DUMMYFUNCTION("IF(OR(B15="""",A15=""""),"""",IFERROR(LET(data,GOOGLEFINANCE(""NSE:""&amp;UPPER(TRIM(B15)),""close"",A15-10,A15,""DAILY""),INDEX(data,ROWS(data),2)),""Not Available""))"),4.72)</f>
        <v>4.72</v>
      </c>
      <c r="D15" s="13">
        <f>IFERROR(__xludf.DUMMYFUNCTION("IF(B15="""","""",IFERROR(GOOGLEFINANCE(""NSE:""&amp;UPPER(TRIM(B15)),""price""),""Not Available""))"),6.42)</f>
        <v>6.42</v>
      </c>
      <c r="E15" s="64">
        <f t="shared" si="1"/>
        <v>0.3601694915</v>
      </c>
      <c r="F15" s="66"/>
      <c r="G15" s="13">
        <f t="shared" si="2"/>
        <v>63</v>
      </c>
      <c r="H15" s="66"/>
      <c r="I15" s="66"/>
      <c r="J15" s="66"/>
      <c r="K15" s="66"/>
      <c r="L15" s="66"/>
      <c r="M15" s="66"/>
      <c r="N15" s="77"/>
      <c r="O15" s="7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20">
        <v>46225.0</v>
      </c>
      <c r="B16" s="22" t="s">
        <v>46</v>
      </c>
      <c r="C16" s="34">
        <f>IFERROR(__xludf.DUMMYFUNCTION("IF(OR(B16="""",A16=""""),"""",IFERROR(LET(data,GOOGLEFINANCE(""NSE:""&amp;UPPER(TRIM(B16)),""close"",A16-10,A16,""DAILY""),INDEX(data,ROWS(data),2)),""Not Available""))"),88.25)</f>
        <v>88.25</v>
      </c>
      <c r="D16" s="34">
        <f>IFERROR(__xludf.DUMMYFUNCTION("IF(B16="""","""",IFERROR(GOOGLEFINANCE(""NSE:""&amp;UPPER(TRIM(B16)),""price""),""Not Available""))"),83.16)</f>
        <v>83.16</v>
      </c>
      <c r="E16" s="46">
        <f t="shared" si="1"/>
        <v>-0.05767705382</v>
      </c>
      <c r="F16" s="48"/>
      <c r="G16" s="34">
        <f t="shared" si="2"/>
        <v>64</v>
      </c>
      <c r="H16" s="48"/>
      <c r="I16" s="48"/>
      <c r="J16" s="48"/>
      <c r="K16" s="48"/>
      <c r="L16" s="48"/>
      <c r="M16" s="48"/>
      <c r="N16" s="93"/>
      <c r="O16" s="93"/>
      <c r="P16" s="34"/>
      <c r="Q16" s="34"/>
      <c r="R16" s="34"/>
      <c r="S16" s="3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57">
        <v>46225.0</v>
      </c>
      <c r="B17" s="59" t="s">
        <v>89</v>
      </c>
      <c r="C17" s="13">
        <f>IFERROR(__xludf.DUMMYFUNCTION("IF(OR(B17="""",A17=""""),"""",IFERROR(LET(data,GOOGLEFINANCE(""NSE:""&amp;UPPER(TRIM(B17)),""close"",A17-10,A17,""DAILY""),INDEX(data,ROWS(data),2)),""Not Available""))"),1635.2)</f>
        <v>1635.2</v>
      </c>
      <c r="D17" s="13">
        <f>IFERROR(__xludf.DUMMYFUNCTION("IF(B17="""","""",IFERROR(GOOGLEFINANCE(""NSE:""&amp;UPPER(TRIM(B17)),""price""),""Not Available""))"),1497.7)</f>
        <v>1497.7</v>
      </c>
      <c r="E17" s="64">
        <f t="shared" si="1"/>
        <v>-0.08408757339</v>
      </c>
      <c r="F17" s="66"/>
      <c r="G17" s="13">
        <f t="shared" si="2"/>
        <v>64</v>
      </c>
      <c r="H17" s="66"/>
      <c r="I17" s="66"/>
      <c r="J17" s="66"/>
      <c r="K17" s="66"/>
      <c r="L17" s="66"/>
      <c r="M17" s="66"/>
      <c r="N17" s="77"/>
      <c r="O17" s="77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57">
        <v>46225.0</v>
      </c>
      <c r="B18" s="59" t="s">
        <v>60</v>
      </c>
      <c r="C18" s="13">
        <f>IFERROR(__xludf.DUMMYFUNCTION("IF(OR(B18="""",A18=""""),"""",IFERROR(LET(data,GOOGLEFINANCE(""NSE:""&amp;UPPER(TRIM(B18)),""close"",A18-10,A18,""DAILY""),INDEX(data,ROWS(data),2)),""Not Available""))"),1138.8)</f>
        <v>1138.8</v>
      </c>
      <c r="D18" s="13">
        <f>IFERROR(__xludf.DUMMYFUNCTION("IF(B18="""","""",IFERROR(GOOGLEFINANCE(""NSE:""&amp;UPPER(TRIM(B18)),""price""),""Not Available""))"),1069.9)</f>
        <v>1069.9</v>
      </c>
      <c r="E18" s="64">
        <f t="shared" si="1"/>
        <v>-0.06050228311</v>
      </c>
      <c r="F18" s="66"/>
      <c r="G18" s="13">
        <f t="shared" si="2"/>
        <v>64</v>
      </c>
      <c r="H18" s="66"/>
      <c r="I18" s="66"/>
      <c r="J18" s="66"/>
      <c r="K18" s="66"/>
      <c r="L18" s="66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57">
        <v>46225.0</v>
      </c>
      <c r="B19" s="59" t="s">
        <v>63</v>
      </c>
      <c r="C19" s="13">
        <f>IFERROR(__xludf.DUMMYFUNCTION("IF(OR(B19="""",A19=""""),"""",IFERROR(LET(data,GOOGLEFINANCE(""NSE:""&amp;UPPER(TRIM(B19)),""close"",A19-10,A19,""DAILY""),INDEX(data,ROWS(data),2)),""Not Available""))"),923.6)</f>
        <v>923.6</v>
      </c>
      <c r="D19" s="13">
        <f>IFERROR(__xludf.DUMMYFUNCTION("IF(B19="""","""",IFERROR(GOOGLEFINANCE(""NSE:""&amp;UPPER(TRIM(B19)),""price""),""Not Available""))"),1451.6)</f>
        <v>1451.6</v>
      </c>
      <c r="E19" s="64">
        <f t="shared" si="1"/>
        <v>0.5716760502</v>
      </c>
      <c r="F19" s="66"/>
      <c r="G19" s="13">
        <f t="shared" si="2"/>
        <v>64</v>
      </c>
      <c r="H19" s="66"/>
      <c r="I19" s="66"/>
      <c r="J19" s="66"/>
      <c r="K19" s="66"/>
      <c r="L19" s="66"/>
      <c r="M19" s="66"/>
      <c r="N19" s="13"/>
      <c r="O19" s="13"/>
      <c r="P19" s="13"/>
      <c r="Q19" s="13"/>
      <c r="R19" s="13"/>
      <c r="S19" s="13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</row>
    <row r="20">
      <c r="A20" s="57">
        <v>46225.0</v>
      </c>
      <c r="B20" s="59" t="s">
        <v>81</v>
      </c>
      <c r="C20" s="13">
        <f>IFERROR(__xludf.DUMMYFUNCTION("IF(OR(B20="""",A20=""""),"""",IFERROR(LET(data,GOOGLEFINANCE(""NSE:""&amp;UPPER(TRIM(B20)),""close"",A20-10,A20,""DAILY""),INDEX(data,ROWS(data),2)),""Not Available""))"),37.15)</f>
        <v>37.15</v>
      </c>
      <c r="D20" s="13">
        <f>IFERROR(__xludf.DUMMYFUNCTION("IF(B20="""","""",IFERROR(GOOGLEFINANCE(""NSE:""&amp;UPPER(TRIM(B20)),""price""),""Not Available""))"),48.55)</f>
        <v>48.55</v>
      </c>
      <c r="E20" s="64">
        <f t="shared" si="1"/>
        <v>0.3068640646</v>
      </c>
      <c r="F20" s="66"/>
      <c r="G20" s="13">
        <f t="shared" si="2"/>
        <v>64</v>
      </c>
      <c r="H20" s="66"/>
      <c r="I20" s="66"/>
      <c r="J20" s="66"/>
      <c r="K20" s="66"/>
      <c r="L20" s="66"/>
      <c r="M20" s="66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57">
        <v>46225.0</v>
      </c>
      <c r="B21" s="59" t="s">
        <v>66</v>
      </c>
      <c r="C21" s="13">
        <f>IFERROR(__xludf.DUMMYFUNCTION("IF(OR(B21="""",A21=""""),"""",IFERROR(LET(data,GOOGLEFINANCE(""NSE:""&amp;UPPER(TRIM(B21)),""close"",A21-10,A21,""DAILY""),INDEX(data,ROWS(data),2)),""Not Available""))"),378.15)</f>
        <v>378.15</v>
      </c>
      <c r="D21" s="13">
        <f>IFERROR(__xludf.DUMMYFUNCTION("IF(B21="""","""",IFERROR(GOOGLEFINANCE(""NSE:""&amp;UPPER(TRIM(B21)),""price""),""Not Available""))"),338.95)</f>
        <v>338.95</v>
      </c>
      <c r="E21" s="64">
        <f t="shared" si="1"/>
        <v>-0.1036625678</v>
      </c>
      <c r="F21" s="66"/>
      <c r="G21" s="13">
        <f t="shared" si="2"/>
        <v>64</v>
      </c>
      <c r="H21" s="66"/>
      <c r="I21" s="66"/>
      <c r="J21" s="66"/>
      <c r="K21" s="66"/>
      <c r="L21" s="66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57">
        <v>46225.0</v>
      </c>
      <c r="B22" s="59" t="s">
        <v>93</v>
      </c>
      <c r="C22" s="13">
        <f>IFERROR(__xludf.DUMMYFUNCTION("IF(OR(B22="""",A22=""""),"""",IFERROR(LET(data,GOOGLEFINANCE(""NSE:""&amp;UPPER(TRIM(B22)),""close"",A22-10,A22,""DAILY""),INDEX(data,ROWS(data),2)),""Not Available""))"),322.1)</f>
        <v>322.1</v>
      </c>
      <c r="D22" s="13">
        <f>IFERROR(__xludf.DUMMYFUNCTION("IF(B22="""","""",IFERROR(GOOGLEFINANCE(""NSE:""&amp;UPPER(TRIM(B22)),""price""),""Not Available""))"),338.05)</f>
        <v>338.05</v>
      </c>
      <c r="E22" s="64">
        <f t="shared" si="1"/>
        <v>0.04951878299</v>
      </c>
      <c r="F22" s="66"/>
      <c r="G22" s="13">
        <f t="shared" si="2"/>
        <v>64</v>
      </c>
      <c r="H22" s="66"/>
      <c r="I22" s="66"/>
      <c r="J22" s="66"/>
      <c r="K22" s="66"/>
      <c r="L22" s="66"/>
      <c r="M22" s="6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>
      <c r="A23" s="57">
        <v>46225.0</v>
      </c>
      <c r="B23" s="59" t="s">
        <v>95</v>
      </c>
      <c r="C23" s="13">
        <f>IFERROR(__xludf.DUMMYFUNCTION("IF(OR(B23="""",A23=""""),"""",IFERROR(LET(data,GOOGLEFINANCE(""NSE:""&amp;UPPER(TRIM(B23)),""close"",A23-10,A23,""DAILY""),INDEX(data,ROWS(data),2)),""Not Available""))"),4394.4)</f>
        <v>4394.4</v>
      </c>
      <c r="D23" s="13">
        <f>IFERROR(__xludf.DUMMYFUNCTION("IF(B23="""","""",IFERROR(GOOGLEFINANCE(""NSE:""&amp;UPPER(TRIM(B23)),""price""),""Not Available""))"),4544.4)</f>
        <v>4544.4</v>
      </c>
      <c r="E23" s="64">
        <f t="shared" si="1"/>
        <v>0.03413435281</v>
      </c>
      <c r="F23" s="66"/>
      <c r="G23" s="13">
        <f t="shared" si="2"/>
        <v>64</v>
      </c>
      <c r="H23" s="66"/>
      <c r="I23" s="66"/>
      <c r="J23" s="66"/>
      <c r="K23" s="66"/>
      <c r="L23" s="66"/>
      <c r="M23" s="66"/>
      <c r="N23" s="13"/>
      <c r="O23" s="13"/>
      <c r="P23" s="13"/>
      <c r="Q23" s="13"/>
      <c r="R23" s="13"/>
      <c r="S23" s="13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</row>
    <row r="24">
      <c r="A24" s="57">
        <v>46225.0</v>
      </c>
      <c r="B24" s="59" t="s">
        <v>69</v>
      </c>
      <c r="C24" s="13">
        <f>IFERROR(__xludf.DUMMYFUNCTION("IF(OR(B24="""",A24=""""),"""",IFERROR(LET(data,GOOGLEFINANCE(""NSE:""&amp;UPPER(TRIM(B24)),""close"",A24-10,A24,""DAILY""),INDEX(data,ROWS(data),2)),""Not Available""))"),4.75)</f>
        <v>4.75</v>
      </c>
      <c r="D24" s="13">
        <f>IFERROR(__xludf.DUMMYFUNCTION("IF(B24="""","""",IFERROR(GOOGLEFINANCE(""NSE:""&amp;UPPER(TRIM(B24)),""price""),""Not Available""))"),6.42)</f>
        <v>6.42</v>
      </c>
      <c r="E24" s="64">
        <f t="shared" si="1"/>
        <v>0.3515789474</v>
      </c>
      <c r="F24" s="66"/>
      <c r="G24" s="13">
        <f t="shared" si="2"/>
        <v>64</v>
      </c>
      <c r="H24" s="66"/>
      <c r="I24" s="66"/>
      <c r="J24" s="66"/>
      <c r="K24" s="66"/>
      <c r="L24" s="66"/>
      <c r="M24" s="6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101">
        <v>46224.0</v>
      </c>
      <c r="B25" s="102" t="s">
        <v>69</v>
      </c>
      <c r="C25" s="104">
        <f>IFERROR(__xludf.DUMMYFUNCTION("IF(OR(B25="""",A25=""""),"""",IFERROR(LET(data,GOOGLEFINANCE(""NSE:""&amp;UPPER(TRIM(B25)),""close"",A25-10,A25,""DAILY""),INDEX(data,ROWS(data),2)),""Not Available""))"),4.77)</f>
        <v>4.77</v>
      </c>
      <c r="D25" s="104">
        <f>IFERROR(__xludf.DUMMYFUNCTION("IF(B25="""","""",IFERROR(GOOGLEFINANCE(""NSE:""&amp;UPPER(TRIM(B25)),""price""),""Not Available""))"),6.42)</f>
        <v>6.42</v>
      </c>
      <c r="E25" s="107">
        <f t="shared" si="1"/>
        <v>0.3459119497</v>
      </c>
      <c r="F25" s="108"/>
      <c r="G25" s="104">
        <f t="shared" si="2"/>
        <v>65</v>
      </c>
      <c r="H25" s="108"/>
      <c r="I25" s="108"/>
      <c r="J25" s="108"/>
      <c r="K25" s="108"/>
      <c r="L25" s="108"/>
      <c r="M25" s="108"/>
      <c r="N25" s="104"/>
      <c r="O25" s="104"/>
      <c r="P25" s="104"/>
      <c r="Q25" s="104"/>
      <c r="R25" s="104"/>
      <c r="S25" s="104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111">
        <v>46223.0</v>
      </c>
      <c r="B26" s="112" t="s">
        <v>99</v>
      </c>
      <c r="C26" s="113">
        <f>IFERROR(__xludf.DUMMYFUNCTION("IF(OR(B26="""",A26=""""),"""",IFERROR(LET(data,GOOGLEFINANCE(""NSE:""&amp;UPPER(TRIM(B26)),""close"",A26-10,A26,""DAILY""),INDEX(data,ROWS(data),2)),""Not Available""))"),234.8)</f>
        <v>234.8</v>
      </c>
      <c r="D26" s="113">
        <f>IFERROR(__xludf.DUMMYFUNCTION("IF(B26="""","""",IFERROR(GOOGLEFINANCE(""NSE:""&amp;UPPER(TRIM(B26)),""price""),""Not Available""))"),220.15)</f>
        <v>220.15</v>
      </c>
      <c r="E26" s="114">
        <f t="shared" si="1"/>
        <v>-0.06239352641</v>
      </c>
      <c r="F26" s="115"/>
      <c r="G26" s="113">
        <f t="shared" si="2"/>
        <v>66</v>
      </c>
      <c r="H26" s="115"/>
      <c r="I26" s="115"/>
      <c r="J26" s="115"/>
      <c r="K26" s="115"/>
      <c r="L26" s="115"/>
      <c r="M26" s="115"/>
      <c r="N26" s="113"/>
      <c r="O26" s="113"/>
      <c r="P26" s="113"/>
      <c r="Q26" s="113"/>
      <c r="R26" s="113"/>
      <c r="S26" s="1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57">
        <v>46223.0</v>
      </c>
      <c r="B27" s="59" t="s">
        <v>100</v>
      </c>
      <c r="C27" s="13">
        <f>IFERROR(__xludf.DUMMYFUNCTION("IF(OR(B27="""",A27=""""),"""",IFERROR(LET(data,GOOGLEFINANCE(""NSE:""&amp;UPPER(TRIM(B27)),""close"",A27-10,A27,""DAILY""),INDEX(data,ROWS(data),2)),""Not Available""))"),168.49)</f>
        <v>168.49</v>
      </c>
      <c r="D27" s="13">
        <f>IFERROR(__xludf.DUMMYFUNCTION("IF(B27="""","""",IFERROR(GOOGLEFINANCE(""NSE:""&amp;UPPER(TRIM(B27)),""price""),""Not Available""))"),129.47)</f>
        <v>129.47</v>
      </c>
      <c r="E27" s="64">
        <f t="shared" si="1"/>
        <v>-0.2315864443</v>
      </c>
      <c r="F27" s="66"/>
      <c r="G27" s="13">
        <f t="shared" si="2"/>
        <v>66</v>
      </c>
      <c r="H27" s="66"/>
      <c r="I27" s="66"/>
      <c r="J27" s="66"/>
      <c r="K27" s="66"/>
      <c r="L27" s="66"/>
      <c r="M27" s="66"/>
      <c r="N27" s="13"/>
      <c r="O27" s="13"/>
      <c r="P27" s="13"/>
      <c r="Q27" s="13"/>
      <c r="R27" s="13"/>
      <c r="S27" s="13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>
      <c r="A28" s="57">
        <v>46223.0</v>
      </c>
      <c r="B28" s="59" t="s">
        <v>103</v>
      </c>
      <c r="C28" s="13">
        <f>IFERROR(__xludf.DUMMYFUNCTION("IF(OR(B28="""",A28=""""),"""",IFERROR(LET(data,GOOGLEFINANCE(""NSE:""&amp;UPPER(TRIM(B28)),""close"",A28-10,A28,""DAILY""),INDEX(data,ROWS(data),2)),""Not Available""))"),9253.5)</f>
        <v>9253.5</v>
      </c>
      <c r="D28" s="13">
        <f>IFERROR(__xludf.DUMMYFUNCTION("IF(B28="""","""",IFERROR(GOOGLEFINANCE(""NSE:""&amp;UPPER(TRIM(B28)),""price""),""Not Available""))"),8000.0)</f>
        <v>8000</v>
      </c>
      <c r="E28" s="64">
        <f t="shared" si="1"/>
        <v>-0.1354622575</v>
      </c>
      <c r="F28" s="66"/>
      <c r="G28" s="13">
        <f t="shared" si="2"/>
        <v>66</v>
      </c>
      <c r="H28" s="66"/>
      <c r="I28" s="66"/>
      <c r="J28" s="66"/>
      <c r="K28" s="66"/>
      <c r="L28" s="66"/>
      <c r="M28" s="6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57">
        <v>46223.0</v>
      </c>
      <c r="B29" s="59" t="s">
        <v>105</v>
      </c>
      <c r="C29" s="13">
        <f>IFERROR(__xludf.DUMMYFUNCTION("IF(OR(B29="""",A29=""""),"""",IFERROR(LET(data,GOOGLEFINANCE(""NSE:""&amp;UPPER(TRIM(B29)),""close"",A29-10,A29,""DAILY""),INDEX(data,ROWS(data),2)),""Not Available""))"),594.3)</f>
        <v>594.3</v>
      </c>
      <c r="D29" s="13">
        <f>IFERROR(__xludf.DUMMYFUNCTION("IF(B29="""","""",IFERROR(GOOGLEFINANCE(""NSE:""&amp;UPPER(TRIM(B29)),""price""),""Not Available""))"),248.5)</f>
        <v>248.5</v>
      </c>
      <c r="E29" s="64">
        <f t="shared" si="1"/>
        <v>-0.581861013</v>
      </c>
      <c r="F29" s="66"/>
      <c r="G29" s="13">
        <f t="shared" si="2"/>
        <v>66</v>
      </c>
      <c r="H29" s="66"/>
      <c r="I29" s="66"/>
      <c r="J29" s="66"/>
      <c r="K29" s="66"/>
      <c r="L29" s="66"/>
      <c r="M29" s="66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57">
        <v>46223.0</v>
      </c>
      <c r="B30" s="59" t="s">
        <v>108</v>
      </c>
      <c r="C30" s="13">
        <f>IFERROR(__xludf.DUMMYFUNCTION("IF(OR(B30="""",A30=""""),"""",IFERROR(LET(data,GOOGLEFINANCE(""NSE:""&amp;UPPER(TRIM(B30)),""close"",A30-10,A30,""DAILY""),INDEX(data,ROWS(data),2)),""Not Available""))"),249.79)</f>
        <v>249.79</v>
      </c>
      <c r="D30" s="13">
        <f>IFERROR(__xludf.DUMMYFUNCTION("IF(B30="""","""",IFERROR(GOOGLEFINANCE(""NSE:""&amp;UPPER(TRIM(B30)),""price""),""Not Available""))"),245.4)</f>
        <v>245.4</v>
      </c>
      <c r="E30" s="64">
        <f t="shared" si="1"/>
        <v>-0.0175747628</v>
      </c>
      <c r="F30" s="66"/>
      <c r="G30" s="13">
        <f t="shared" si="2"/>
        <v>66</v>
      </c>
      <c r="H30" s="66"/>
      <c r="I30" s="66"/>
      <c r="J30" s="66"/>
      <c r="K30" s="66"/>
      <c r="L30" s="66"/>
      <c r="M30" s="66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57">
        <v>46223.0</v>
      </c>
      <c r="B31" s="59" t="s">
        <v>109</v>
      </c>
      <c r="C31" s="13">
        <f>IFERROR(__xludf.DUMMYFUNCTION("IF(OR(B31="""",A31=""""),"""",IFERROR(LET(data,GOOGLEFINANCE(""NSE:""&amp;UPPER(TRIM(B31)),""close"",A31-10,A31,""DAILY""),INDEX(data,ROWS(data),2)),""Not Available""))"),311.62)</f>
        <v>311.62</v>
      </c>
      <c r="D31" s="13">
        <f>IFERROR(__xludf.DUMMYFUNCTION("IF(B31="""","""",IFERROR(GOOGLEFINANCE(""NSE:""&amp;UPPER(TRIM(B31)),""price""),""Not Available""))"),268.1)</f>
        <v>268.1</v>
      </c>
      <c r="E31" s="64">
        <f t="shared" si="1"/>
        <v>-0.1396572749</v>
      </c>
      <c r="F31" s="66"/>
      <c r="G31" s="13">
        <f t="shared" si="2"/>
        <v>66</v>
      </c>
      <c r="H31" s="66"/>
      <c r="I31" s="66"/>
      <c r="J31" s="66"/>
      <c r="K31" s="66"/>
      <c r="L31" s="66"/>
      <c r="M31" s="66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57">
        <v>46223.0</v>
      </c>
      <c r="B32" s="59" t="s">
        <v>112</v>
      </c>
      <c r="C32" s="13">
        <f>IFERROR(__xludf.DUMMYFUNCTION("IF(OR(B32="""",A32=""""),"""",IFERROR(LET(data,GOOGLEFINANCE(""NSE:""&amp;UPPER(TRIM(B32)),""close"",A32-10,A32,""DAILY""),INDEX(data,ROWS(data),2)),""Not Available""))"),747.35)</f>
        <v>747.35</v>
      </c>
      <c r="D32" s="13">
        <f>IFERROR(__xludf.DUMMYFUNCTION("IF(B32="""","""",IFERROR(GOOGLEFINANCE(""NSE:""&amp;UPPER(TRIM(B32)),""price""),""Not Available""))"),676.05)</f>
        <v>676.05</v>
      </c>
      <c r="E32" s="64">
        <f t="shared" si="1"/>
        <v>-0.09540375995</v>
      </c>
      <c r="F32" s="66"/>
      <c r="G32" s="13">
        <f t="shared" si="2"/>
        <v>66</v>
      </c>
      <c r="H32" s="66"/>
      <c r="I32" s="66"/>
      <c r="J32" s="66"/>
      <c r="K32" s="66"/>
      <c r="L32" s="66"/>
      <c r="M32" s="66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57">
        <v>46223.0</v>
      </c>
      <c r="B33" s="59" t="s">
        <v>113</v>
      </c>
      <c r="C33" s="13">
        <f>IFERROR(__xludf.DUMMYFUNCTION("IF(OR(B33="""",A33=""""),"""",IFERROR(LET(data,GOOGLEFINANCE(""NSE:""&amp;UPPER(TRIM(B33)),""close"",A33-10,A33,""DAILY""),INDEX(data,ROWS(data),2)),""Not Available""))"),1242.2)</f>
        <v>1242.2</v>
      </c>
      <c r="D33" s="13">
        <f>IFERROR(__xludf.DUMMYFUNCTION("IF(B33="""","""",IFERROR(GOOGLEFINANCE(""NSE:""&amp;UPPER(TRIM(B33)),""price""),""Not Available""))"),1227.1)</f>
        <v>1227.1</v>
      </c>
      <c r="E33" s="64">
        <f t="shared" si="1"/>
        <v>-0.01215585252</v>
      </c>
      <c r="F33" s="66"/>
      <c r="G33" s="13">
        <f t="shared" si="2"/>
        <v>66</v>
      </c>
      <c r="H33" s="66"/>
      <c r="I33" s="66"/>
      <c r="J33" s="66"/>
      <c r="K33" s="66"/>
      <c r="L33" s="66"/>
      <c r="M33" s="6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57">
        <v>46223.0</v>
      </c>
      <c r="B34" s="59" t="s">
        <v>116</v>
      </c>
      <c r="C34" s="13">
        <f>IFERROR(__xludf.DUMMYFUNCTION("IF(OR(B34="""",A34=""""),"""",IFERROR(LET(data,GOOGLEFINANCE(""NSE:""&amp;UPPER(TRIM(B34)),""close"",A34-10,A34,""DAILY""),INDEX(data,ROWS(data),2)),""Not Available""))"),421.2)</f>
        <v>421.2</v>
      </c>
      <c r="D34" s="13">
        <f>IFERROR(__xludf.DUMMYFUNCTION("IF(B34="""","""",IFERROR(GOOGLEFINANCE(""NSE:""&amp;UPPER(TRIM(B34)),""price""),""Not Available""))"),366.0)</f>
        <v>366</v>
      </c>
      <c r="E34" s="64">
        <f t="shared" si="1"/>
        <v>-0.1310541311</v>
      </c>
      <c r="F34" s="66"/>
      <c r="G34" s="13">
        <f t="shared" si="2"/>
        <v>66</v>
      </c>
      <c r="H34" s="66"/>
      <c r="I34" s="66"/>
      <c r="J34" s="66"/>
      <c r="K34" s="66"/>
      <c r="L34" s="66"/>
      <c r="M34" s="6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57">
        <v>46223.0</v>
      </c>
      <c r="B35" s="59" t="s">
        <v>118</v>
      </c>
      <c r="C35" s="13">
        <f>IFERROR(__xludf.DUMMYFUNCTION("IF(OR(B35="""",A35=""""),"""",IFERROR(LET(data,GOOGLEFINANCE(""NSE:""&amp;UPPER(TRIM(B35)),""close"",A35-10,A35,""DAILY""),INDEX(data,ROWS(data),2)),""Not Available""))"),980.15)</f>
        <v>980.15</v>
      </c>
      <c r="D35" s="13">
        <f>IFERROR(__xludf.DUMMYFUNCTION("IF(B35="""","""",IFERROR(GOOGLEFINANCE(""NSE:""&amp;UPPER(TRIM(B35)),""price""),""Not Available""))"),1027.8)</f>
        <v>1027.8</v>
      </c>
      <c r="E35" s="64">
        <f t="shared" si="1"/>
        <v>0.04861500791</v>
      </c>
      <c r="F35" s="66"/>
      <c r="G35" s="13">
        <f t="shared" si="2"/>
        <v>66</v>
      </c>
      <c r="H35" s="66"/>
      <c r="I35" s="66"/>
      <c r="J35" s="66"/>
      <c r="K35" s="66"/>
      <c r="L35" s="66"/>
      <c r="M35" s="66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57">
        <v>46223.0</v>
      </c>
      <c r="B36" s="59" t="s">
        <v>121</v>
      </c>
      <c r="C36" s="13">
        <f>IFERROR(__xludf.DUMMYFUNCTION("IF(OR(B36="""",A36=""""),"""",IFERROR(LET(data,GOOGLEFINANCE(""NSE:""&amp;UPPER(TRIM(B36)),""close"",A36-10,A36,""DAILY""),INDEX(data,ROWS(data),2)),""Not Available""))"),170.92)</f>
        <v>170.92</v>
      </c>
      <c r="D36" s="13">
        <f>IFERROR(__xludf.DUMMYFUNCTION("IF(B36="""","""",IFERROR(GOOGLEFINANCE(""NSE:""&amp;UPPER(TRIM(B36)),""price""),""Not Available""))"),164.44)</f>
        <v>164.44</v>
      </c>
      <c r="E36" s="64">
        <f t="shared" si="1"/>
        <v>-0.03791247367</v>
      </c>
      <c r="F36" s="66"/>
      <c r="G36" s="13">
        <f t="shared" si="2"/>
        <v>66</v>
      </c>
      <c r="H36" s="66"/>
      <c r="I36" s="66"/>
      <c r="J36" s="66"/>
      <c r="K36" s="66"/>
      <c r="L36" s="66"/>
      <c r="M36" s="66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57">
        <v>46223.0</v>
      </c>
      <c r="B37" s="59" t="s">
        <v>122</v>
      </c>
      <c r="C37" s="13">
        <f>IFERROR(__xludf.DUMMYFUNCTION("IF(OR(B37="""",A37=""""),"""",IFERROR(LET(data,GOOGLEFINANCE(""NSE:""&amp;UPPER(TRIM(B37)),""close"",A37-10,A37,""DAILY""),INDEX(data,ROWS(data),2)),""Not Available""))"),146.47)</f>
        <v>146.47</v>
      </c>
      <c r="D37" s="13">
        <f>IFERROR(__xludf.DUMMYFUNCTION("IF(B37="""","""",IFERROR(GOOGLEFINANCE(""NSE:""&amp;UPPER(TRIM(B37)),""price""),""Not Available""))"),127.8)</f>
        <v>127.8</v>
      </c>
      <c r="E37" s="64">
        <f t="shared" si="1"/>
        <v>-0.1274663754</v>
      </c>
      <c r="F37" s="66"/>
      <c r="G37" s="13">
        <f t="shared" si="2"/>
        <v>66</v>
      </c>
      <c r="H37" s="66"/>
      <c r="I37" s="66"/>
      <c r="J37" s="66"/>
      <c r="K37" s="66"/>
      <c r="L37" s="66"/>
      <c r="M37" s="66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139">
        <v>46219.0</v>
      </c>
      <c r="B38" s="141" t="s">
        <v>99</v>
      </c>
      <c r="C38" s="142">
        <f>IFERROR(__xludf.DUMMYFUNCTION("IF(OR(B38="""",A38=""""),"""",IFERROR(LET(data,GOOGLEFINANCE(""NSE:""&amp;UPPER(TRIM(B38)),""close"",A38-10,A38,""DAILY""),INDEX(data,ROWS(data),2)),""Not Available""))"),241.19)</f>
        <v>241.19</v>
      </c>
      <c r="D38" s="142">
        <f>IFERROR(__xludf.DUMMYFUNCTION("IF(B38="""","""",IFERROR(GOOGLEFINANCE(""NSE:""&amp;UPPER(TRIM(B38)),""price""),""Not Available""))"),220.15)</f>
        <v>220.15</v>
      </c>
      <c r="E38" s="144">
        <f t="shared" si="1"/>
        <v>-0.08723413077</v>
      </c>
      <c r="F38" s="145"/>
      <c r="G38" s="142">
        <f t="shared" si="2"/>
        <v>70</v>
      </c>
      <c r="H38" s="145"/>
      <c r="I38" s="145"/>
      <c r="J38" s="145"/>
      <c r="K38" s="145"/>
      <c r="L38" s="145"/>
      <c r="M38" s="145"/>
      <c r="N38" s="142"/>
      <c r="O38" s="142"/>
      <c r="P38" s="142"/>
      <c r="Q38" s="142"/>
      <c r="R38" s="142"/>
      <c r="S38" s="14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57">
        <v>46219.0</v>
      </c>
      <c r="B39" s="59" t="s">
        <v>126</v>
      </c>
      <c r="C39" s="13">
        <f>IFERROR(__xludf.DUMMYFUNCTION("IF(OR(B39="""",A39=""""),"""",IFERROR(LET(data,GOOGLEFINANCE(""NSE:""&amp;UPPER(TRIM(B39)),""close"",A39-10,A39,""DAILY""),INDEX(data,ROWS(data),2)),""Not Available""))"),372.9)</f>
        <v>372.9</v>
      </c>
      <c r="D39" s="13">
        <f>IFERROR(__xludf.DUMMYFUNCTION("IF(B39="""","""",IFERROR(GOOGLEFINANCE(""NSE:""&amp;UPPER(TRIM(B39)),""price""),""Not Available""))"),352.5)</f>
        <v>352.5</v>
      </c>
      <c r="E39" s="64">
        <f t="shared" si="1"/>
        <v>-0.05470635559</v>
      </c>
      <c r="F39" s="66"/>
      <c r="G39" s="13">
        <f t="shared" si="2"/>
        <v>70</v>
      </c>
      <c r="H39" s="66"/>
      <c r="I39" s="66"/>
      <c r="J39" s="66"/>
      <c r="K39" s="66"/>
      <c r="L39" s="66"/>
      <c r="M39" s="66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57">
        <v>46219.0</v>
      </c>
      <c r="B40" s="59" t="s">
        <v>104</v>
      </c>
      <c r="C40" s="13">
        <f>IFERROR(__xludf.DUMMYFUNCTION("IF(OR(B40="""",A40=""""),"""",IFERROR(LET(data,GOOGLEFINANCE(""NSE:""&amp;UPPER(TRIM(B40)),""close"",A40-10,A40,""DAILY""),INDEX(data,ROWS(data),2)),""Not Available""))"),435.4)</f>
        <v>435.4</v>
      </c>
      <c r="D40" s="13">
        <f>IFERROR(__xludf.DUMMYFUNCTION("IF(B40="""","""",IFERROR(GOOGLEFINANCE(""NSE:""&amp;UPPER(TRIM(B40)),""price""),""Not Available""))"),417.2)</f>
        <v>417.2</v>
      </c>
      <c r="E40" s="64">
        <f t="shared" si="1"/>
        <v>-0.04180064309</v>
      </c>
      <c r="F40" s="66"/>
      <c r="G40" s="13">
        <f t="shared" si="2"/>
        <v>70</v>
      </c>
      <c r="H40" s="66"/>
      <c r="I40" s="66"/>
      <c r="J40" s="66"/>
      <c r="K40" s="66"/>
      <c r="L40" s="66"/>
      <c r="M40" s="66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57">
        <v>46219.0</v>
      </c>
      <c r="B41" s="59" t="s">
        <v>129</v>
      </c>
      <c r="C41" s="13">
        <f>IFERROR(__xludf.DUMMYFUNCTION("IF(OR(B41="""",A41=""""),"""",IFERROR(LET(data,GOOGLEFINANCE(""NSE:""&amp;UPPER(TRIM(B41)),""close"",A41-10,A41,""DAILY""),INDEX(data,ROWS(data),2)),""Not Available""))"),1741.7)</f>
        <v>1741.7</v>
      </c>
      <c r="D41" s="13">
        <f>IFERROR(__xludf.DUMMYFUNCTION("IF(B41="""","""",IFERROR(GOOGLEFINANCE(""NSE:""&amp;UPPER(TRIM(B41)),""price""),""Not Available""))"),1525.0)</f>
        <v>1525</v>
      </c>
      <c r="E41" s="64">
        <f t="shared" si="1"/>
        <v>-0.1244186714</v>
      </c>
      <c r="F41" s="66"/>
      <c r="G41" s="13">
        <f t="shared" si="2"/>
        <v>70</v>
      </c>
      <c r="H41" s="66"/>
      <c r="I41" s="66"/>
      <c r="J41" s="66"/>
      <c r="K41" s="66"/>
      <c r="L41" s="66"/>
      <c r="M41" s="66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57">
        <v>46219.0</v>
      </c>
      <c r="B42" s="59" t="s">
        <v>130</v>
      </c>
      <c r="C42" s="13">
        <f>IFERROR(__xludf.DUMMYFUNCTION("IF(OR(B42="""",A42=""""),"""",IFERROR(LET(data,GOOGLEFINANCE(""NSE:""&amp;UPPER(TRIM(B42)),""close"",A42-10,A42,""DAILY""),INDEX(data,ROWS(data),2)),""Not Available""))"),605.2)</f>
        <v>605.2</v>
      </c>
      <c r="D42" s="13">
        <f>IFERROR(__xludf.DUMMYFUNCTION("IF(B42="""","""",IFERROR(GOOGLEFINANCE(""NSE:""&amp;UPPER(TRIM(B42)),""price""),""Not Available""))"),809.6)</f>
        <v>809.6</v>
      </c>
      <c r="E42" s="64">
        <f t="shared" si="1"/>
        <v>0.3377395902</v>
      </c>
      <c r="F42" s="66"/>
      <c r="G42" s="13">
        <f t="shared" si="2"/>
        <v>70</v>
      </c>
      <c r="H42" s="66"/>
      <c r="I42" s="66"/>
      <c r="J42" s="66"/>
      <c r="K42" s="66"/>
      <c r="L42" s="66"/>
      <c r="M42" s="66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57">
        <v>46219.0</v>
      </c>
      <c r="B43" s="59" t="s">
        <v>133</v>
      </c>
      <c r="C43" s="13">
        <f>IFERROR(__xludf.DUMMYFUNCTION("IF(OR(B43="""",A43=""""),"""",IFERROR(LET(data,GOOGLEFINANCE(""NSE:""&amp;UPPER(TRIM(B43)),""close"",A43-10,A43,""DAILY""),INDEX(data,ROWS(data),2)),""Not Available""))"),287.0)</f>
        <v>287</v>
      </c>
      <c r="D43" s="13">
        <f>IFERROR(__xludf.DUMMYFUNCTION("IF(B43="""","""",IFERROR(GOOGLEFINANCE(""NSE:""&amp;UPPER(TRIM(B43)),""price""),""Not Available""))"),257.55)</f>
        <v>257.55</v>
      </c>
      <c r="E43" s="64">
        <f t="shared" si="1"/>
        <v>-0.1026132404</v>
      </c>
      <c r="F43" s="66"/>
      <c r="G43" s="13">
        <f t="shared" si="2"/>
        <v>70</v>
      </c>
      <c r="H43" s="66"/>
      <c r="I43" s="66"/>
      <c r="J43" s="66"/>
      <c r="K43" s="66"/>
      <c r="L43" s="66"/>
      <c r="M43" s="6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57">
        <v>46219.0</v>
      </c>
      <c r="B44" s="59" t="s">
        <v>134</v>
      </c>
      <c r="C44" s="13">
        <f>IFERROR(__xludf.DUMMYFUNCTION("IF(OR(B44="""",A44=""""),"""",IFERROR(LET(data,GOOGLEFINANCE(""NSE:""&amp;UPPER(TRIM(B44)),""close"",A44-10,A44,""DAILY""),INDEX(data,ROWS(data),2)),""Not Available""))"),295.0)</f>
        <v>295</v>
      </c>
      <c r="D44" s="13">
        <f>IFERROR(__xludf.DUMMYFUNCTION("IF(B44="""","""",IFERROR(GOOGLEFINANCE(""NSE:""&amp;UPPER(TRIM(B44)),""price""),""Not Available""))"),358.75)</f>
        <v>358.75</v>
      </c>
      <c r="E44" s="64">
        <f t="shared" si="1"/>
        <v>0.2161016949</v>
      </c>
      <c r="F44" s="66"/>
      <c r="G44" s="13">
        <f t="shared" si="2"/>
        <v>70</v>
      </c>
      <c r="H44" s="66"/>
      <c r="I44" s="66"/>
      <c r="J44" s="66"/>
      <c r="K44" s="66"/>
      <c r="L44" s="66"/>
      <c r="M44" s="66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57">
        <v>46219.0</v>
      </c>
      <c r="B45" s="59" t="s">
        <v>100</v>
      </c>
      <c r="C45" s="13">
        <f>IFERROR(__xludf.DUMMYFUNCTION("IF(OR(B45="""",A45=""""),"""",IFERROR(LET(data,GOOGLEFINANCE(""NSE:""&amp;UPPER(TRIM(B45)),""close"",A45-10,A45,""DAILY""),INDEX(data,ROWS(data),2)),""Not Available""))"),158.24)</f>
        <v>158.24</v>
      </c>
      <c r="D45" s="13">
        <f>IFERROR(__xludf.DUMMYFUNCTION("IF(B45="""","""",IFERROR(GOOGLEFINANCE(""NSE:""&amp;UPPER(TRIM(B45)),""price""),""Not Available""))"),129.47)</f>
        <v>129.47</v>
      </c>
      <c r="E45" s="64">
        <f t="shared" si="1"/>
        <v>-0.1818124368</v>
      </c>
      <c r="F45" s="66"/>
      <c r="G45" s="13">
        <f t="shared" si="2"/>
        <v>70</v>
      </c>
      <c r="H45" s="66"/>
      <c r="I45" s="66"/>
      <c r="J45" s="66"/>
      <c r="K45" s="66"/>
      <c r="L45" s="66"/>
      <c r="M45" s="66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57">
        <v>46219.0</v>
      </c>
      <c r="B46" s="59" t="s">
        <v>105</v>
      </c>
      <c r="C46" s="13">
        <f>IFERROR(__xludf.DUMMYFUNCTION("IF(OR(B46="""",A46=""""),"""",IFERROR(LET(data,GOOGLEFINANCE(""NSE:""&amp;UPPER(TRIM(B46)),""close"",A46-10,A46,""DAILY""),INDEX(data,ROWS(data),2)),""Not Available""))"),608.45)</f>
        <v>608.45</v>
      </c>
      <c r="D46" s="13">
        <f>IFERROR(__xludf.DUMMYFUNCTION("IF(B46="""","""",IFERROR(GOOGLEFINANCE(""NSE:""&amp;UPPER(TRIM(B46)),""price""),""Not Available""))"),248.5)</f>
        <v>248.5</v>
      </c>
      <c r="E46" s="64">
        <f t="shared" si="1"/>
        <v>-0.5915851754</v>
      </c>
      <c r="F46" s="66"/>
      <c r="G46" s="13">
        <f t="shared" si="2"/>
        <v>70</v>
      </c>
      <c r="H46" s="66"/>
      <c r="I46" s="66"/>
      <c r="J46" s="66"/>
      <c r="K46" s="66"/>
      <c r="L46" s="66"/>
      <c r="M46" s="66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57">
        <v>46219.0</v>
      </c>
      <c r="B47" s="59" t="s">
        <v>109</v>
      </c>
      <c r="C47" s="13">
        <f>IFERROR(__xludf.DUMMYFUNCTION("IF(OR(B47="""",A47=""""),"""",IFERROR(LET(data,GOOGLEFINANCE(""NSE:""&amp;UPPER(TRIM(B47)),""close"",A47-10,A47,""DAILY""),INDEX(data,ROWS(data),2)),""Not Available""))"),310.8)</f>
        <v>310.8</v>
      </c>
      <c r="D47" s="13">
        <f>IFERROR(__xludf.DUMMYFUNCTION("IF(B47="""","""",IFERROR(GOOGLEFINANCE(""NSE:""&amp;UPPER(TRIM(B47)),""price""),""Not Available""))"),268.1)</f>
        <v>268.1</v>
      </c>
      <c r="E47" s="64">
        <f t="shared" si="1"/>
        <v>-0.1373873874</v>
      </c>
      <c r="F47" s="66"/>
      <c r="G47" s="13">
        <f t="shared" si="2"/>
        <v>70</v>
      </c>
      <c r="H47" s="66"/>
      <c r="I47" s="66"/>
      <c r="J47" s="66"/>
      <c r="K47" s="66"/>
      <c r="L47" s="66"/>
      <c r="M47" s="66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57">
        <v>46219.0</v>
      </c>
      <c r="B48" s="59" t="s">
        <v>112</v>
      </c>
      <c r="C48" s="13">
        <f>IFERROR(__xludf.DUMMYFUNCTION("IF(OR(B48="""",A48=""""),"""",IFERROR(LET(data,GOOGLEFINANCE(""NSE:""&amp;UPPER(TRIM(B48)),""close"",A48-10,A48,""DAILY""),INDEX(data,ROWS(data),2)),""Not Available""))"),793.35)</f>
        <v>793.35</v>
      </c>
      <c r="D48" s="13">
        <f>IFERROR(__xludf.DUMMYFUNCTION("IF(B48="""","""",IFERROR(GOOGLEFINANCE(""NSE:""&amp;UPPER(TRIM(B48)),""price""),""Not Available""))"),676.05)</f>
        <v>676.05</v>
      </c>
      <c r="E48" s="64">
        <f t="shared" si="1"/>
        <v>-0.1478540367</v>
      </c>
      <c r="F48" s="66"/>
      <c r="G48" s="13">
        <f t="shared" si="2"/>
        <v>70</v>
      </c>
      <c r="H48" s="66"/>
      <c r="I48" s="66"/>
      <c r="J48" s="66"/>
      <c r="K48" s="66"/>
      <c r="L48" s="66"/>
      <c r="M48" s="66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57">
        <v>46219.0</v>
      </c>
      <c r="B49" s="59" t="s">
        <v>113</v>
      </c>
      <c r="C49" s="13">
        <f>IFERROR(__xludf.DUMMYFUNCTION("IF(OR(B49="""",A49=""""),"""",IFERROR(LET(data,GOOGLEFINANCE(""NSE:""&amp;UPPER(TRIM(B49)),""close"",A49-10,A49,""DAILY""),INDEX(data,ROWS(data),2)),""Not Available""))"),1241.8)</f>
        <v>1241.8</v>
      </c>
      <c r="D49" s="13">
        <f>IFERROR(__xludf.DUMMYFUNCTION("IF(B49="""","""",IFERROR(GOOGLEFINANCE(""NSE:""&amp;UPPER(TRIM(B49)),""price""),""Not Available""))"),1227.1)</f>
        <v>1227.1</v>
      </c>
      <c r="E49" s="64">
        <f t="shared" si="1"/>
        <v>-0.01183765502</v>
      </c>
      <c r="F49" s="66"/>
      <c r="G49" s="13">
        <f t="shared" si="2"/>
        <v>70</v>
      </c>
      <c r="H49" s="66"/>
      <c r="I49" s="66"/>
      <c r="J49" s="66"/>
      <c r="K49" s="66"/>
      <c r="L49" s="66"/>
      <c r="M49" s="66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57">
        <v>46219.0</v>
      </c>
      <c r="B50" s="59" t="s">
        <v>116</v>
      </c>
      <c r="C50" s="13">
        <f>IFERROR(__xludf.DUMMYFUNCTION("IF(OR(B50="""",A50=""""),"""",IFERROR(LET(data,GOOGLEFINANCE(""NSE:""&amp;UPPER(TRIM(B50)),""close"",A50-10,A50,""DAILY""),INDEX(data,ROWS(data),2)),""Not Available""))"),394.25)</f>
        <v>394.25</v>
      </c>
      <c r="D50" s="13">
        <f>IFERROR(__xludf.DUMMYFUNCTION("IF(B50="""","""",IFERROR(GOOGLEFINANCE(""NSE:""&amp;UPPER(TRIM(B50)),""price""),""Not Available""))"),366.0)</f>
        <v>366</v>
      </c>
      <c r="E50" s="64">
        <f t="shared" si="1"/>
        <v>-0.07165504122</v>
      </c>
      <c r="F50" s="66"/>
      <c r="G50" s="13">
        <f t="shared" si="2"/>
        <v>70</v>
      </c>
      <c r="H50" s="66"/>
      <c r="I50" s="66"/>
      <c r="J50" s="66"/>
      <c r="K50" s="66"/>
      <c r="L50" s="66"/>
      <c r="M50" s="66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57">
        <v>46219.0</v>
      </c>
      <c r="B51" s="59" t="s">
        <v>118</v>
      </c>
      <c r="C51" s="13">
        <f>IFERROR(__xludf.DUMMYFUNCTION("IF(OR(B51="""",A51=""""),"""",IFERROR(LET(data,GOOGLEFINANCE(""NSE:""&amp;UPPER(TRIM(B51)),""close"",A51-10,A51,""DAILY""),INDEX(data,ROWS(data),2)),""Not Available""))"),986.35)</f>
        <v>986.35</v>
      </c>
      <c r="D51" s="13">
        <f>IFERROR(__xludf.DUMMYFUNCTION("IF(B51="""","""",IFERROR(GOOGLEFINANCE(""NSE:""&amp;UPPER(TRIM(B51)),""price""),""Not Available""))"),1027.8)</f>
        <v>1027.8</v>
      </c>
      <c r="E51" s="64">
        <f t="shared" si="1"/>
        <v>0.04202362245</v>
      </c>
      <c r="F51" s="66"/>
      <c r="G51" s="13">
        <f t="shared" si="2"/>
        <v>70</v>
      </c>
      <c r="H51" s="66"/>
      <c r="I51" s="66"/>
      <c r="J51" s="66"/>
      <c r="K51" s="66"/>
      <c r="L51" s="66"/>
      <c r="M51" s="66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>
      <c r="A52" s="57">
        <v>46219.0</v>
      </c>
      <c r="B52" s="59" t="s">
        <v>142</v>
      </c>
      <c r="C52" s="13">
        <f>IFERROR(__xludf.DUMMYFUNCTION("IF(OR(B52="""",A52=""""),"""",IFERROR(LET(data,GOOGLEFINANCE(""NSE:""&amp;UPPER(TRIM(B52)),""close"",A52-10,A52,""DAILY""),INDEX(data,ROWS(data),2)),""Not Available""))"),1480.7)</f>
        <v>1480.7</v>
      </c>
      <c r="D52" s="13">
        <f>IFERROR(__xludf.DUMMYFUNCTION("IF(B52="""","""",IFERROR(GOOGLEFINANCE(""NSE:""&amp;UPPER(TRIM(B52)),""price""),""Not Available""))"),1655.8)</f>
        <v>1655.8</v>
      </c>
      <c r="E52" s="64">
        <f t="shared" si="1"/>
        <v>0.1182548794</v>
      </c>
      <c r="F52" s="66"/>
      <c r="G52" s="13">
        <f t="shared" si="2"/>
        <v>70</v>
      </c>
      <c r="H52" s="66"/>
      <c r="I52" s="66"/>
      <c r="J52" s="66"/>
      <c r="K52" s="66"/>
      <c r="L52" s="66"/>
      <c r="M52" s="66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>
      <c r="A53" s="57">
        <v>46219.0</v>
      </c>
      <c r="B53" s="59" t="s">
        <v>144</v>
      </c>
      <c r="C53" s="13">
        <f>IFERROR(__xludf.DUMMYFUNCTION("IF(OR(B53="""",A53=""""),"""",IFERROR(LET(data,GOOGLEFINANCE(""NSE:""&amp;UPPER(TRIM(B53)),""close"",A53-10,A53,""DAILY""),INDEX(data,ROWS(data),2)),""Not Available""))"),297.2)</f>
        <v>297.2</v>
      </c>
      <c r="D53" s="13">
        <f>IFERROR(__xludf.DUMMYFUNCTION("IF(B53="""","""",IFERROR(GOOGLEFINANCE(""NSE:""&amp;UPPER(TRIM(B53)),""price""),""Not Available""))"),346.4)</f>
        <v>346.4</v>
      </c>
      <c r="E53" s="64">
        <f t="shared" si="1"/>
        <v>0.1655450875</v>
      </c>
      <c r="F53" s="66"/>
      <c r="G53" s="13">
        <f t="shared" si="2"/>
        <v>70</v>
      </c>
      <c r="H53" s="66"/>
      <c r="I53" s="66"/>
      <c r="J53" s="66"/>
      <c r="K53" s="66"/>
      <c r="L53" s="66"/>
      <c r="M53" s="66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>
      <c r="A54" s="139">
        <v>46216.0</v>
      </c>
      <c r="B54" s="141" t="s">
        <v>146</v>
      </c>
      <c r="C54" s="142">
        <f>IFERROR(__xludf.DUMMYFUNCTION("IF(OR(B54="""",A54=""""),"""",IFERROR(LET(data,GOOGLEFINANCE(""NSE:""&amp;UPPER(TRIM(B54)),""close"",A54-10,A54,""DAILY""),INDEX(data,ROWS(data),2)),""Not Available""))"),244.69)</f>
        <v>244.69</v>
      </c>
      <c r="D54" s="142">
        <f>IFERROR(__xludf.DUMMYFUNCTION("IF(B54="""","""",IFERROR(GOOGLEFINANCE(""NSE:""&amp;UPPER(TRIM(B54)),""price""),""Not Available""))"),242.61)</f>
        <v>242.61</v>
      </c>
      <c r="E54" s="144">
        <f t="shared" si="1"/>
        <v>-0.008500551719</v>
      </c>
      <c r="F54" s="145"/>
      <c r="G54" s="142">
        <f t="shared" si="2"/>
        <v>73</v>
      </c>
      <c r="H54" s="145"/>
      <c r="I54" s="145"/>
      <c r="J54" s="145"/>
      <c r="K54" s="145"/>
      <c r="L54" s="145"/>
      <c r="M54" s="145"/>
      <c r="N54" s="142"/>
      <c r="O54" s="142"/>
      <c r="P54" s="142"/>
      <c r="Q54" s="142"/>
      <c r="R54" s="142"/>
      <c r="S54" s="142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>
      <c r="A55" s="57">
        <v>46216.0</v>
      </c>
      <c r="B55" s="59" t="s">
        <v>148</v>
      </c>
      <c r="C55" s="13">
        <f>IFERROR(__xludf.DUMMYFUNCTION("IF(OR(B55="""",A55=""""),"""",IFERROR(LET(data,GOOGLEFINANCE(""NSE:""&amp;UPPER(TRIM(B55)),""close"",A55-10,A55,""DAILY""),INDEX(data,ROWS(data),2)),""Not Available""))"),1452.8)</f>
        <v>1452.8</v>
      </c>
      <c r="D55" s="13">
        <f>IFERROR(__xludf.DUMMYFUNCTION("IF(B55="""","""",IFERROR(GOOGLEFINANCE(""NSE:""&amp;UPPER(TRIM(B55)),""price""),""Not Available""))"),1639.5)</f>
        <v>1639.5</v>
      </c>
      <c r="E55" s="64">
        <f t="shared" si="1"/>
        <v>0.1285104626</v>
      </c>
      <c r="F55" s="66"/>
      <c r="G55" s="13">
        <f t="shared" si="2"/>
        <v>73</v>
      </c>
      <c r="H55" s="66"/>
      <c r="I55" s="66"/>
      <c r="J55" s="66"/>
      <c r="K55" s="66"/>
      <c r="L55" s="66"/>
      <c r="M55" s="66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>
      <c r="A56" s="57">
        <v>46216.0</v>
      </c>
      <c r="B56" s="59" t="s">
        <v>150</v>
      </c>
      <c r="C56" s="13">
        <f>IFERROR(__xludf.DUMMYFUNCTION("IF(OR(B56="""",A56=""""),"""",IFERROR(LET(data,GOOGLEFINANCE(""NSE:""&amp;UPPER(TRIM(B56)),""close"",A56-10,A56,""DAILY""),INDEX(data,ROWS(data),2)),""Not Available""))"),683.85)</f>
        <v>683.85</v>
      </c>
      <c r="D56" s="13">
        <f>IFERROR(__xludf.DUMMYFUNCTION("IF(B56="""","""",IFERROR(GOOGLEFINANCE(""NSE:""&amp;UPPER(TRIM(B56)),""price""),""Not Available""))"),816.15)</f>
        <v>816.15</v>
      </c>
      <c r="E56" s="64">
        <f t="shared" si="1"/>
        <v>0.1934634788</v>
      </c>
      <c r="F56" s="66"/>
      <c r="G56" s="13">
        <f t="shared" si="2"/>
        <v>73</v>
      </c>
      <c r="H56" s="66"/>
      <c r="I56" s="66"/>
      <c r="J56" s="66"/>
      <c r="K56" s="66"/>
      <c r="L56" s="66"/>
      <c r="M56" s="66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>
      <c r="A57" s="57">
        <v>46216.0</v>
      </c>
      <c r="B57" s="59" t="s">
        <v>152</v>
      </c>
      <c r="C57" s="13">
        <f>IFERROR(__xludf.DUMMYFUNCTION("IF(OR(B57="""",A57=""""),"""",IFERROR(LET(data,GOOGLEFINANCE(""NSE:""&amp;UPPER(TRIM(B57)),""close"",A57-10,A57,""DAILY""),INDEX(data,ROWS(data),2)),""Not Available""))"),140.85)</f>
        <v>140.85</v>
      </c>
      <c r="D57" s="13">
        <f>IFERROR(__xludf.DUMMYFUNCTION("IF(B57="""","""",IFERROR(GOOGLEFINANCE(""NSE:""&amp;UPPER(TRIM(B57)),""price""),""Not Available""))"),124.57)</f>
        <v>124.57</v>
      </c>
      <c r="E57" s="64">
        <f t="shared" si="1"/>
        <v>-0.1155839546</v>
      </c>
      <c r="F57" s="66"/>
      <c r="G57" s="13">
        <f t="shared" si="2"/>
        <v>73</v>
      </c>
      <c r="H57" s="66"/>
      <c r="I57" s="66"/>
      <c r="J57" s="66"/>
      <c r="K57" s="66"/>
      <c r="L57" s="66"/>
      <c r="M57" s="66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>
      <c r="A58" s="57">
        <v>46216.0</v>
      </c>
      <c r="B58" s="59" t="s">
        <v>154</v>
      </c>
      <c r="C58" s="13">
        <f>IFERROR(__xludf.DUMMYFUNCTION("IF(OR(B58="""",A58=""""),"""",IFERROR(LET(data,GOOGLEFINANCE(""NSE:""&amp;UPPER(TRIM(B58)),""close"",A58-10,A58,""DAILY""),INDEX(data,ROWS(data),2)),""Not Available""))"),214.89)</f>
        <v>214.89</v>
      </c>
      <c r="D58" s="13">
        <f>IFERROR(__xludf.DUMMYFUNCTION("IF(B58="""","""",IFERROR(GOOGLEFINANCE(""NSE:""&amp;UPPER(TRIM(B58)),""price""),""Not Available""))"),152.01)</f>
        <v>152.01</v>
      </c>
      <c r="E58" s="64">
        <f t="shared" si="1"/>
        <v>-0.2926148262</v>
      </c>
      <c r="F58" s="66"/>
      <c r="G58" s="13">
        <f t="shared" si="2"/>
        <v>73</v>
      </c>
      <c r="H58" s="66"/>
      <c r="I58" s="66"/>
      <c r="J58" s="66"/>
      <c r="K58" s="66"/>
      <c r="L58" s="66"/>
      <c r="M58" s="66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>
      <c r="A59" s="57">
        <v>46216.0</v>
      </c>
      <c r="B59" s="59" t="s">
        <v>158</v>
      </c>
      <c r="C59" s="13">
        <f>IFERROR(__xludf.DUMMYFUNCTION("IF(OR(B59="""",A59=""""),"""",IFERROR(LET(data,GOOGLEFINANCE(""NSE:""&amp;UPPER(TRIM(B59)),""close"",A59-10,A59,""DAILY""),INDEX(data,ROWS(data),2)),""Not Available""))"),1444.5)</f>
        <v>1444.5</v>
      </c>
      <c r="D59" s="13">
        <f>IFERROR(__xludf.DUMMYFUNCTION("IF(B59="""","""",IFERROR(GOOGLEFINANCE(""NSE:""&amp;UPPER(TRIM(B59)),""price""),""Not Available""))"),1324.0)</f>
        <v>1324</v>
      </c>
      <c r="E59" s="64">
        <f t="shared" si="1"/>
        <v>-0.08341986847</v>
      </c>
      <c r="F59" s="66"/>
      <c r="G59" s="13">
        <f t="shared" si="2"/>
        <v>73</v>
      </c>
      <c r="H59" s="66"/>
      <c r="I59" s="66"/>
      <c r="J59" s="66"/>
      <c r="K59" s="66"/>
      <c r="L59" s="66"/>
      <c r="M59" s="66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>
      <c r="A60" s="57">
        <v>46216.0</v>
      </c>
      <c r="B60" s="59" t="s">
        <v>161</v>
      </c>
      <c r="C60" s="13">
        <f>IFERROR(__xludf.DUMMYFUNCTION("IF(OR(B60="""",A60=""""),"""",IFERROR(LET(data,GOOGLEFINANCE(""NSE:""&amp;UPPER(TRIM(B60)),""close"",A60-10,A60,""DAILY""),INDEX(data,ROWS(data),2)),""Not Available""))"),704.4)</f>
        <v>704.4</v>
      </c>
      <c r="D60" s="13">
        <f>IFERROR(__xludf.DUMMYFUNCTION("IF(B60="""","""",IFERROR(GOOGLEFINANCE(""NSE:""&amp;UPPER(TRIM(B60)),""price""),""Not Available""))"),682.75)</f>
        <v>682.75</v>
      </c>
      <c r="E60" s="64">
        <f t="shared" si="1"/>
        <v>-0.03073537763</v>
      </c>
      <c r="F60" s="66"/>
      <c r="G60" s="13">
        <f t="shared" si="2"/>
        <v>73</v>
      </c>
      <c r="H60" s="66"/>
      <c r="I60" s="66"/>
      <c r="J60" s="66"/>
      <c r="K60" s="66"/>
      <c r="L60" s="66"/>
      <c r="M60" s="66"/>
      <c r="N60" s="13"/>
      <c r="O60" s="13"/>
      <c r="P60" s="13"/>
      <c r="Q60" s="13"/>
      <c r="R60" s="13"/>
      <c r="S60" s="13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</row>
    <row r="61">
      <c r="A61" s="57">
        <v>46216.0</v>
      </c>
      <c r="B61" s="59" t="s">
        <v>163</v>
      </c>
      <c r="C61" s="13">
        <f>IFERROR(__xludf.DUMMYFUNCTION("IF(OR(B61="""",A61=""""),"""",IFERROR(LET(data,GOOGLEFINANCE(""NSE:""&amp;UPPER(TRIM(B61)),""close"",A61-10,A61,""DAILY""),INDEX(data,ROWS(data),2)),""Not Available""))"),309.1)</f>
        <v>309.1</v>
      </c>
      <c r="D61" s="13">
        <f>IFERROR(__xludf.DUMMYFUNCTION("IF(B61="""","""",IFERROR(GOOGLEFINANCE(""NSE:""&amp;UPPER(TRIM(B61)),""price""),""Not Available""))"),233.74)</f>
        <v>233.74</v>
      </c>
      <c r="E61" s="64">
        <f t="shared" si="1"/>
        <v>-0.243804594</v>
      </c>
      <c r="F61" s="66"/>
      <c r="G61" s="13">
        <f t="shared" si="2"/>
        <v>73</v>
      </c>
      <c r="H61" s="66"/>
      <c r="I61" s="66"/>
      <c r="J61" s="66"/>
      <c r="K61" s="66"/>
      <c r="L61" s="66"/>
      <c r="M61" s="66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>
      <c r="A62" s="57">
        <v>46216.0</v>
      </c>
      <c r="B62" s="59" t="s">
        <v>164</v>
      </c>
      <c r="C62" s="13">
        <f>IFERROR(__xludf.DUMMYFUNCTION("IF(OR(B62="""",A62=""""),"""",IFERROR(LET(data,GOOGLEFINANCE(""NSE:""&amp;UPPER(TRIM(B62)),""close"",A62-10,A62,""DAILY""),INDEX(data,ROWS(data),2)),""Not Available""))"),590.5)</f>
        <v>590.5</v>
      </c>
      <c r="D62" s="13">
        <f>IFERROR(__xludf.DUMMYFUNCTION("IF(B62="""","""",IFERROR(GOOGLEFINANCE(""NSE:""&amp;UPPER(TRIM(B62)),""price""),""Not Available""))"),494.45)</f>
        <v>494.45</v>
      </c>
      <c r="E62" s="64">
        <f t="shared" si="1"/>
        <v>-0.1626587638</v>
      </c>
      <c r="F62" s="66"/>
      <c r="G62" s="13">
        <f t="shared" si="2"/>
        <v>73</v>
      </c>
      <c r="H62" s="66"/>
      <c r="I62" s="66"/>
      <c r="J62" s="66"/>
      <c r="K62" s="66"/>
      <c r="L62" s="66"/>
      <c r="M62" s="66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57">
        <v>46216.0</v>
      </c>
      <c r="B63" s="59" t="s">
        <v>167</v>
      </c>
      <c r="C63" s="13">
        <f>IFERROR(__xludf.DUMMYFUNCTION("IF(OR(B63="""",A63=""""),"""",IFERROR(LET(data,GOOGLEFINANCE(""NSE:""&amp;UPPER(TRIM(B63)),""close"",A63-10,A63,""DAILY""),INDEX(data,ROWS(data),2)),""Not Available""))"),480.8)</f>
        <v>480.8</v>
      </c>
      <c r="D63" s="13">
        <f>IFERROR(__xludf.DUMMYFUNCTION("IF(B63="""","""",IFERROR(GOOGLEFINANCE(""NSE:""&amp;UPPER(TRIM(B63)),""price""),""Not Available""))"),470.7)</f>
        <v>470.7</v>
      </c>
      <c r="E63" s="64">
        <f t="shared" si="1"/>
        <v>-0.02100665557</v>
      </c>
      <c r="F63" s="66"/>
      <c r="G63" s="13">
        <f t="shared" si="2"/>
        <v>73</v>
      </c>
      <c r="H63" s="66"/>
      <c r="I63" s="66"/>
      <c r="J63" s="66"/>
      <c r="K63" s="66"/>
      <c r="L63" s="66"/>
      <c r="M63" s="66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57">
        <v>46216.0</v>
      </c>
      <c r="B64" s="59" t="s">
        <v>168</v>
      </c>
      <c r="C64" s="13">
        <f>IFERROR(__xludf.DUMMYFUNCTION("IF(OR(B64="""",A64=""""),"""",IFERROR(LET(data,GOOGLEFINANCE(""NSE:""&amp;UPPER(TRIM(B64)),""close"",A64-10,A64,""DAILY""),INDEX(data,ROWS(data),2)),""Not Available""))"),1517.6)</f>
        <v>1517.6</v>
      </c>
      <c r="D64" s="13">
        <f>IFERROR(__xludf.DUMMYFUNCTION("IF(B64="""","""",IFERROR(GOOGLEFINANCE(""NSE:""&amp;UPPER(TRIM(B64)),""price""),""Not Available""))"),1239.5)</f>
        <v>1239.5</v>
      </c>
      <c r="E64" s="64">
        <f t="shared" si="1"/>
        <v>-0.1832498682</v>
      </c>
      <c r="F64" s="66"/>
      <c r="G64" s="13">
        <f t="shared" si="2"/>
        <v>73</v>
      </c>
      <c r="H64" s="66"/>
      <c r="I64" s="66"/>
      <c r="J64" s="66"/>
      <c r="K64" s="66"/>
      <c r="L64" s="66"/>
      <c r="M64" s="66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57">
        <v>46210.0</v>
      </c>
      <c r="B65" s="59" t="s">
        <v>171</v>
      </c>
      <c r="C65" s="13">
        <f>IFERROR(__xludf.DUMMYFUNCTION("IF(OR(B65="""",A65=""""),"""",IFERROR(LET(data,GOOGLEFINANCE(""NSE:""&amp;UPPER(TRIM(B65)),""close"",A65-10,A65,""DAILY""),INDEX(data,ROWS(data),2)),""Not Available""))"),53.07)</f>
        <v>53.07</v>
      </c>
      <c r="D65" s="13">
        <f>IFERROR(__xludf.DUMMYFUNCTION("IF(B65="""","""",IFERROR(GOOGLEFINANCE(""NSE:""&amp;UPPER(TRIM(B65)),""price""),""Not Available""))"),50.0)</f>
        <v>50</v>
      </c>
      <c r="E65" s="64">
        <f t="shared" si="1"/>
        <v>-0.05784812512</v>
      </c>
      <c r="F65" s="66"/>
      <c r="G65" s="13">
        <f t="shared" si="2"/>
        <v>79</v>
      </c>
      <c r="H65" s="66"/>
      <c r="I65" s="66"/>
      <c r="J65" s="66"/>
      <c r="K65" s="66"/>
      <c r="L65" s="66"/>
      <c r="M65" s="66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57">
        <v>46210.0</v>
      </c>
      <c r="B66" s="59" t="s">
        <v>172</v>
      </c>
      <c r="C66" s="13">
        <f>IFERROR(__xludf.DUMMYFUNCTION("IF(OR(B66="""",A66=""""),"""",IFERROR(LET(data,GOOGLEFINANCE(""NSE:""&amp;UPPER(TRIM(B66)),""close"",A66-10,A66,""DAILY""),INDEX(data,ROWS(data),2)),""Not Available""))"),362.0)</f>
        <v>362</v>
      </c>
      <c r="D66" s="13">
        <f>IFERROR(__xludf.DUMMYFUNCTION("IF(B66="""","""",IFERROR(GOOGLEFINANCE(""NSE:""&amp;UPPER(TRIM(B66)),""price""),""Not Available""))"),398.0)</f>
        <v>398</v>
      </c>
      <c r="E66" s="64">
        <f t="shared" si="1"/>
        <v>0.09944751381</v>
      </c>
      <c r="F66" s="66"/>
      <c r="G66" s="13">
        <f t="shared" si="2"/>
        <v>79</v>
      </c>
      <c r="H66" s="66"/>
      <c r="I66" s="66"/>
      <c r="J66" s="66"/>
      <c r="K66" s="66"/>
      <c r="L66" s="66"/>
      <c r="M66" s="66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57">
        <v>46206.0</v>
      </c>
      <c r="B67" s="59" t="s">
        <v>175</v>
      </c>
      <c r="C67" s="13">
        <f>IFERROR(__xludf.DUMMYFUNCTION("IF(OR(B67="""",A67=""""),"""",IFERROR(LET(data,GOOGLEFINANCE(""NSE:""&amp;UPPER(TRIM(B67)),""close"",A67-10,A67,""DAILY""),INDEX(data,ROWS(data),2)),""Not Available""))"),222.23)</f>
        <v>222.23</v>
      </c>
      <c r="D67" s="13">
        <f>IFERROR(__xludf.DUMMYFUNCTION("IF(B67="""","""",IFERROR(GOOGLEFINANCE(""NSE:""&amp;UPPER(TRIM(B67)),""price""),""Not Available""))"),159.21)</f>
        <v>159.21</v>
      </c>
      <c r="E67" s="64">
        <f t="shared" si="1"/>
        <v>-0.2835800747</v>
      </c>
      <c r="F67" s="66"/>
      <c r="G67" s="13">
        <f t="shared" si="2"/>
        <v>83</v>
      </c>
      <c r="H67" s="66"/>
      <c r="I67" s="66"/>
      <c r="J67" s="66"/>
      <c r="K67" s="66"/>
      <c r="L67" s="66"/>
      <c r="M67" s="66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57">
        <v>46206.0</v>
      </c>
      <c r="B68" s="59" t="s">
        <v>176</v>
      </c>
      <c r="C68" s="13">
        <f>IFERROR(__xludf.DUMMYFUNCTION("IF(OR(B68="""",A68=""""),"""",IFERROR(LET(data,GOOGLEFINANCE(""NSE:""&amp;UPPER(TRIM(B68)),""close"",A68-10,A68,""DAILY""),INDEX(data,ROWS(data),2)),""Not Available""))"),139.15)</f>
        <v>139.15</v>
      </c>
      <c r="D68" s="13">
        <f>IFERROR(__xludf.DUMMYFUNCTION("IF(B68="""","""",IFERROR(GOOGLEFINANCE(""NSE:""&amp;UPPER(TRIM(B68)),""price""),""Not Available""))"),142.05)</f>
        <v>142.05</v>
      </c>
      <c r="E68" s="64">
        <f t="shared" si="1"/>
        <v>0.02084081926</v>
      </c>
      <c r="F68" s="66"/>
      <c r="G68" s="13">
        <f t="shared" si="2"/>
        <v>83</v>
      </c>
      <c r="H68" s="66"/>
      <c r="I68" s="66"/>
      <c r="J68" s="66"/>
      <c r="K68" s="66"/>
      <c r="L68" s="66"/>
      <c r="M68" s="66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57">
        <v>46206.0</v>
      </c>
      <c r="B69" s="59" t="s">
        <v>179</v>
      </c>
      <c r="C69" s="13">
        <f>IFERROR(__xludf.DUMMYFUNCTION("IF(OR(B69="""",A69=""""),"""",IFERROR(LET(data,GOOGLEFINANCE(""NSE:""&amp;UPPER(TRIM(B69)),""close"",A69-10,A69,""DAILY""),INDEX(data,ROWS(data),2)),""Not Available""))"),703.15)</f>
        <v>703.15</v>
      </c>
      <c r="D69" s="13">
        <f>IFERROR(__xludf.DUMMYFUNCTION("IF(B69="""","""",IFERROR(GOOGLEFINANCE(""NSE:""&amp;UPPER(TRIM(B69)),""price""),""Not Available""))"),681.2)</f>
        <v>681.2</v>
      </c>
      <c r="E69" s="64">
        <f t="shared" si="1"/>
        <v>-0.03121666785</v>
      </c>
      <c r="F69" s="66"/>
      <c r="G69" s="13">
        <f t="shared" si="2"/>
        <v>83</v>
      </c>
      <c r="H69" s="66"/>
      <c r="I69" s="66"/>
      <c r="J69" s="66"/>
      <c r="K69" s="66"/>
      <c r="L69" s="66"/>
      <c r="M69" s="66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57">
        <v>46206.0</v>
      </c>
      <c r="B70" s="59" t="s">
        <v>180</v>
      </c>
      <c r="C70" s="13">
        <f>IFERROR(__xludf.DUMMYFUNCTION("IF(OR(B70="""",A70=""""),"""",IFERROR(LET(data,GOOGLEFINANCE(""NSE:""&amp;UPPER(TRIM(B70)),""close"",A70-10,A70,""DAILY""),INDEX(data,ROWS(data),2)),""Not Available""))"),2047.6)</f>
        <v>2047.6</v>
      </c>
      <c r="D70" s="13">
        <f>IFERROR(__xludf.DUMMYFUNCTION("IF(B70="""","""",IFERROR(GOOGLEFINANCE(""NSE:""&amp;UPPER(TRIM(B70)),""price""),""Not Available""))"),1976.4)</f>
        <v>1976.4</v>
      </c>
      <c r="E70" s="64">
        <f t="shared" si="1"/>
        <v>-0.03477241649</v>
      </c>
      <c r="F70" s="66"/>
      <c r="G70" s="13">
        <f t="shared" si="2"/>
        <v>83</v>
      </c>
      <c r="H70" s="66"/>
      <c r="I70" s="66"/>
      <c r="J70" s="66"/>
      <c r="K70" s="66"/>
      <c r="L70" s="66"/>
      <c r="M70" s="66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57">
        <v>46206.0</v>
      </c>
      <c r="B71" s="59" t="s">
        <v>183</v>
      </c>
      <c r="C71" s="13">
        <f>IFERROR(__xludf.DUMMYFUNCTION("IF(OR(B71="""",A71=""""),"""",IFERROR(LET(data,GOOGLEFINANCE(""NSE:""&amp;UPPER(TRIM(B71)),""close"",A71-10,A71,""DAILY""),INDEX(data,ROWS(data),2)),""Not Available""))"),798.32)</f>
        <v>798.32</v>
      </c>
      <c r="D71" s="13">
        <f>IFERROR(__xludf.DUMMYFUNCTION("IF(B71="""","""",IFERROR(GOOGLEFINANCE(""NSE:""&amp;UPPER(TRIM(B71)),""price""),""Not Available""))"),1059.6)</f>
        <v>1059.6</v>
      </c>
      <c r="E71" s="64">
        <f t="shared" si="1"/>
        <v>0.3272873033</v>
      </c>
      <c r="F71" s="66"/>
      <c r="G71" s="13">
        <f t="shared" si="2"/>
        <v>83</v>
      </c>
      <c r="H71" s="66"/>
      <c r="I71" s="66"/>
      <c r="J71" s="66"/>
      <c r="K71" s="66"/>
      <c r="L71" s="66"/>
      <c r="M71" s="66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57">
        <v>46206.0</v>
      </c>
      <c r="B72" s="59" t="s">
        <v>184</v>
      </c>
      <c r="C72" s="13">
        <f>IFERROR(__xludf.DUMMYFUNCTION("IF(OR(B72="""",A72=""""),"""",IFERROR(LET(data,GOOGLEFINANCE(""NSE:""&amp;UPPER(TRIM(B72)),""close"",A72-10,A72,""DAILY""),INDEX(data,ROWS(data),2)),""Not Available""))"),1522.1)</f>
        <v>1522.1</v>
      </c>
      <c r="D72" s="13">
        <f>IFERROR(__xludf.DUMMYFUNCTION("IF(B72="""","""",IFERROR(GOOGLEFINANCE(""NSE:""&amp;UPPER(TRIM(B72)),""price""),""Not Available""))"),1697.4)</f>
        <v>1697.4</v>
      </c>
      <c r="E72" s="64">
        <f t="shared" si="1"/>
        <v>0.1151698312</v>
      </c>
      <c r="F72" s="66"/>
      <c r="G72" s="13">
        <f t="shared" si="2"/>
        <v>83</v>
      </c>
      <c r="H72" s="66"/>
      <c r="I72" s="66"/>
      <c r="J72" s="66"/>
      <c r="K72" s="66"/>
      <c r="L72" s="66"/>
      <c r="M72" s="66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57">
        <v>46205.0</v>
      </c>
      <c r="B73" s="59" t="s">
        <v>187</v>
      </c>
      <c r="C73" s="13">
        <f>IFERROR(__xludf.DUMMYFUNCTION("IF(OR(B73="""",A73=""""),"""",IFERROR(LET(data,GOOGLEFINANCE(""NSE:""&amp;UPPER(TRIM(B73)),""close"",A73-10,A73,""DAILY""),INDEX(data,ROWS(data),2)),""Not Available""))"),672.95)</f>
        <v>672.95</v>
      </c>
      <c r="D73" s="13">
        <f>IFERROR(__xludf.DUMMYFUNCTION("IF(B73="""","""",IFERROR(GOOGLEFINANCE(""NSE:""&amp;UPPER(TRIM(B73)),""price""),""Not Available""))"),696.55)</f>
        <v>696.55</v>
      </c>
      <c r="E73" s="64">
        <f t="shared" si="1"/>
        <v>0.03506947024</v>
      </c>
      <c r="F73" s="66"/>
      <c r="G73" s="13">
        <f t="shared" si="2"/>
        <v>84</v>
      </c>
      <c r="H73" s="66"/>
      <c r="I73" s="66"/>
      <c r="J73" s="66"/>
      <c r="K73" s="66"/>
      <c r="L73" s="66"/>
      <c r="M73" s="66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>
      <c r="A74" s="57">
        <v>46205.0</v>
      </c>
      <c r="B74" s="59" t="s">
        <v>188</v>
      </c>
      <c r="C74" s="13">
        <f>IFERROR(__xludf.DUMMYFUNCTION("IF(OR(B74="""",A74=""""),"""",IFERROR(LET(data,GOOGLEFINANCE(""NSE:""&amp;UPPER(TRIM(B74)),""close"",A74-10,A74,""DAILY""),INDEX(data,ROWS(data),2)),""Not Available""))"),209.04)</f>
        <v>209.04</v>
      </c>
      <c r="D74" s="13">
        <f>IFERROR(__xludf.DUMMYFUNCTION("IF(B74="""","""",IFERROR(GOOGLEFINANCE(""NSE:""&amp;UPPER(TRIM(B74)),""price""),""Not Available""))"),163.7)</f>
        <v>163.7</v>
      </c>
      <c r="E74" s="64">
        <f t="shared" si="1"/>
        <v>-0.2168962878</v>
      </c>
      <c r="F74" s="66"/>
      <c r="G74" s="13">
        <f t="shared" si="2"/>
        <v>84</v>
      </c>
      <c r="H74" s="66"/>
      <c r="I74" s="66"/>
      <c r="J74" s="66"/>
      <c r="K74" s="66"/>
      <c r="L74" s="66"/>
      <c r="M74" s="66"/>
      <c r="N74" s="13"/>
      <c r="O74" s="13"/>
      <c r="P74" s="13"/>
      <c r="Q74" s="13"/>
      <c r="R74" s="13"/>
      <c r="S74" s="13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>
      <c r="A75" s="57">
        <v>46205.0</v>
      </c>
      <c r="B75" s="59" t="s">
        <v>191</v>
      </c>
      <c r="C75" s="13">
        <f>IFERROR(__xludf.DUMMYFUNCTION("IF(OR(B75="""",A75=""""),"""",IFERROR(LET(data,GOOGLEFINANCE(""NSE:""&amp;UPPER(TRIM(B75)),""close"",A75-10,A75,""DAILY""),INDEX(data,ROWS(data),2)),""Not Available""))"),1719.4)</f>
        <v>1719.4</v>
      </c>
      <c r="D75" s="13">
        <f>IFERROR(__xludf.DUMMYFUNCTION("IF(B75="""","""",IFERROR(GOOGLEFINANCE(""NSE:""&amp;UPPER(TRIM(B75)),""price""),""Not Available""))"),1995.8)</f>
        <v>1995.8</v>
      </c>
      <c r="E75" s="64">
        <f t="shared" si="1"/>
        <v>0.1607537513</v>
      </c>
      <c r="F75" s="66"/>
      <c r="G75" s="13">
        <f t="shared" si="2"/>
        <v>84</v>
      </c>
      <c r="H75" s="66"/>
      <c r="I75" s="66"/>
      <c r="J75" s="66"/>
      <c r="K75" s="66"/>
      <c r="L75" s="66"/>
      <c r="M75" s="66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>
      <c r="A76" s="57">
        <v>46205.0</v>
      </c>
      <c r="B76" s="59" t="s">
        <v>192</v>
      </c>
      <c r="C76" s="13">
        <f>IFERROR(__xludf.DUMMYFUNCTION("IF(OR(B76="""",A76=""""),"""",IFERROR(LET(data,GOOGLEFINANCE(""NSE:""&amp;UPPER(TRIM(B76)),""close"",A76-10,A76,""DAILY""),INDEX(data,ROWS(data),2)),""Not Available""))"),151.48)</f>
        <v>151.48</v>
      </c>
      <c r="D76" s="13">
        <f>IFERROR(__xludf.DUMMYFUNCTION("IF(B76="""","""",IFERROR(GOOGLEFINANCE(""NSE:""&amp;UPPER(TRIM(B76)),""price""),""Not Available""))"),118.21)</f>
        <v>118.21</v>
      </c>
      <c r="E76" s="64">
        <f t="shared" si="1"/>
        <v>-0.2196329548</v>
      </c>
      <c r="F76" s="66"/>
      <c r="G76" s="13">
        <f t="shared" si="2"/>
        <v>84</v>
      </c>
      <c r="H76" s="66"/>
      <c r="I76" s="66"/>
      <c r="J76" s="66"/>
      <c r="K76" s="66"/>
      <c r="L76" s="66"/>
      <c r="M76" s="66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>
      <c r="A77" s="57">
        <v>46205.0</v>
      </c>
      <c r="B77" s="59" t="s">
        <v>194</v>
      </c>
      <c r="C77" s="13">
        <f>IFERROR(__xludf.DUMMYFUNCTION("IF(OR(B77="""",A77=""""),"""",IFERROR(LET(data,GOOGLEFINANCE(""NSE:""&amp;UPPER(TRIM(B77)),""close"",A77-10,A77,""DAILY""),INDEX(data,ROWS(data),2)),""Not Available""))"),248.06)</f>
        <v>248.06</v>
      </c>
      <c r="D77" s="13">
        <f>IFERROR(__xludf.DUMMYFUNCTION("IF(B77="""","""",IFERROR(GOOGLEFINANCE(""NSE:""&amp;UPPER(TRIM(B77)),""price""),""Not Available""))"),379.15)</f>
        <v>379.15</v>
      </c>
      <c r="E77" s="64">
        <f t="shared" si="1"/>
        <v>0.5284608562</v>
      </c>
      <c r="F77" s="66"/>
      <c r="G77" s="13">
        <f t="shared" si="2"/>
        <v>84</v>
      </c>
      <c r="H77" s="66"/>
      <c r="I77" s="66"/>
      <c r="J77" s="66"/>
      <c r="K77" s="66"/>
      <c r="L77" s="66"/>
      <c r="M77" s="66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>
      <c r="A78" s="57">
        <v>46205.0</v>
      </c>
      <c r="B78" s="59" t="s">
        <v>183</v>
      </c>
      <c r="C78" s="13">
        <f>IFERROR(__xludf.DUMMYFUNCTION("IF(OR(B78="""",A78=""""),"""",IFERROR(LET(data,GOOGLEFINANCE(""NSE:""&amp;UPPER(TRIM(B78)),""close"",A78-10,A78,""DAILY""),INDEX(data,ROWS(data),2)),""Not Available""))"),724.5)</f>
        <v>724.5</v>
      </c>
      <c r="D78" s="13">
        <f>IFERROR(__xludf.DUMMYFUNCTION("IF(B78="""","""",IFERROR(GOOGLEFINANCE(""NSE:""&amp;UPPER(TRIM(B78)),""price""),""Not Available""))"),1059.6)</f>
        <v>1059.6</v>
      </c>
      <c r="E78" s="64">
        <f t="shared" si="1"/>
        <v>0.4625258799</v>
      </c>
      <c r="F78" s="66"/>
      <c r="G78" s="13">
        <f t="shared" si="2"/>
        <v>84</v>
      </c>
      <c r="H78" s="66"/>
      <c r="I78" s="66"/>
      <c r="J78" s="66"/>
      <c r="K78" s="66"/>
      <c r="L78" s="66"/>
      <c r="M78" s="66"/>
      <c r="N78" s="13"/>
      <c r="O78" s="13"/>
      <c r="P78" s="13"/>
      <c r="Q78" s="13"/>
      <c r="R78" s="13"/>
      <c r="S78" s="13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>
      <c r="A79" s="57">
        <v>46205.0</v>
      </c>
      <c r="B79" s="59" t="s">
        <v>197</v>
      </c>
      <c r="C79" s="13">
        <f>IFERROR(__xludf.DUMMYFUNCTION("IF(OR(B79="""",A79=""""),"""",IFERROR(LET(data,GOOGLEFINANCE(""NSE:""&amp;UPPER(TRIM(B79)),""close"",A79-10,A79,""DAILY""),INDEX(data,ROWS(data),2)),""Not Available""))"),1894.8)</f>
        <v>1894.8</v>
      </c>
      <c r="D79" s="13">
        <f>IFERROR(__xludf.DUMMYFUNCTION("IF(B79="""","""",IFERROR(GOOGLEFINANCE(""NSE:""&amp;UPPER(TRIM(B79)),""price""),""Not Available""))"),2149.0)</f>
        <v>2149</v>
      </c>
      <c r="E79" s="64">
        <f t="shared" si="1"/>
        <v>0.1341566392</v>
      </c>
      <c r="F79" s="66"/>
      <c r="G79" s="13">
        <f t="shared" si="2"/>
        <v>84</v>
      </c>
      <c r="H79" s="66"/>
      <c r="I79" s="66"/>
      <c r="J79" s="66"/>
      <c r="K79" s="66"/>
      <c r="L79" s="66"/>
      <c r="M79" s="66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>
      <c r="A80" s="57">
        <v>46203.0</v>
      </c>
      <c r="B80" s="59" t="s">
        <v>198</v>
      </c>
      <c r="C80" s="13">
        <f>IFERROR(__xludf.DUMMYFUNCTION("IF(OR(B80="""",A80=""""),"""",IFERROR(LET(data,GOOGLEFINANCE(""NSE:""&amp;UPPER(TRIM(B80)),""close"",A80-10,A80,""DAILY""),INDEX(data,ROWS(data),2)),""Not Available""))"),17.45)</f>
        <v>17.45</v>
      </c>
      <c r="D80" s="13">
        <f>IFERROR(__xludf.DUMMYFUNCTION("IF(B80="""","""",IFERROR(GOOGLEFINANCE(""NSE:""&amp;UPPER(TRIM(B80)),""price""),""Not Available""))"),14.1)</f>
        <v>14.1</v>
      </c>
      <c r="E80" s="64">
        <f t="shared" si="1"/>
        <v>-0.1919770774</v>
      </c>
      <c r="F80" s="66"/>
      <c r="G80" s="13">
        <f t="shared" si="2"/>
        <v>86</v>
      </c>
      <c r="H80" s="66"/>
      <c r="I80" s="66"/>
      <c r="J80" s="66"/>
      <c r="K80" s="66"/>
      <c r="L80" s="66"/>
      <c r="M80" s="66"/>
      <c r="N80" s="13"/>
      <c r="O80" s="13"/>
      <c r="P80" s="13"/>
      <c r="Q80" s="13"/>
      <c r="R80" s="13"/>
      <c r="S80" s="13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>
      <c r="A81" s="57">
        <v>46203.0</v>
      </c>
      <c r="B81" s="59" t="s">
        <v>200</v>
      </c>
      <c r="C81" s="13">
        <f>IFERROR(__xludf.DUMMYFUNCTION("IF(OR(B81="""",A81=""""),"""",IFERROR(LET(data,GOOGLEFINANCE(""NSE:""&amp;UPPER(TRIM(B81)),""close"",A81-10,A81,""DAILY""),INDEX(data,ROWS(data),2)),""Not Available""))"),424.2)</f>
        <v>424.2</v>
      </c>
      <c r="D81" s="13">
        <f>IFERROR(__xludf.DUMMYFUNCTION("IF(B81="""","""",IFERROR(GOOGLEFINANCE(""NSE:""&amp;UPPER(TRIM(B81)),""price""),""Not Available""))"),428.85)</f>
        <v>428.85</v>
      </c>
      <c r="E81" s="64">
        <f t="shared" si="1"/>
        <v>0.01096181047</v>
      </c>
      <c r="F81" s="66"/>
      <c r="G81" s="13">
        <f t="shared" si="2"/>
        <v>86</v>
      </c>
      <c r="H81" s="66"/>
      <c r="I81" s="66"/>
      <c r="J81" s="66"/>
      <c r="K81" s="66"/>
      <c r="L81" s="66"/>
      <c r="M81" s="66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>
      <c r="A82" s="57">
        <v>46203.0</v>
      </c>
      <c r="B82" s="59" t="s">
        <v>203</v>
      </c>
      <c r="C82" s="13">
        <f>IFERROR(__xludf.DUMMYFUNCTION("IF(OR(B82="""",A82=""""),"""",IFERROR(LET(data,GOOGLEFINANCE(""NSE:""&amp;UPPER(TRIM(B82)),""close"",A82-10,A82,""DAILY""),INDEX(data,ROWS(data),2)),""Not Available""))"),323.58)</f>
        <v>323.58</v>
      </c>
      <c r="D82" s="13">
        <f>IFERROR(__xludf.DUMMYFUNCTION("IF(B82="""","""",IFERROR(GOOGLEFINANCE(""NSE:""&amp;UPPER(TRIM(B82)),""price""),""Not Available""))"),268.0)</f>
        <v>268</v>
      </c>
      <c r="E82" s="64">
        <f t="shared" si="1"/>
        <v>-0.1717658693</v>
      </c>
      <c r="F82" s="66"/>
      <c r="G82" s="13">
        <f t="shared" si="2"/>
        <v>86</v>
      </c>
      <c r="H82" s="66"/>
      <c r="I82" s="66"/>
      <c r="J82" s="66"/>
      <c r="K82" s="66"/>
      <c r="L82" s="66"/>
      <c r="M82" s="6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>
      <c r="A83" s="57">
        <v>46203.0</v>
      </c>
      <c r="B83" s="59" t="s">
        <v>204</v>
      </c>
      <c r="C83" s="13">
        <f>IFERROR(__xludf.DUMMYFUNCTION("IF(OR(B83="""",A83=""""),"""",IFERROR(LET(data,GOOGLEFINANCE(""NSE:""&amp;UPPER(TRIM(B83)),""close"",A83-10,A83,""DAILY""),INDEX(data,ROWS(data),2)),""Not Available""))"),64.07)</f>
        <v>64.07</v>
      </c>
      <c r="D83" s="13">
        <f>IFERROR(__xludf.DUMMYFUNCTION("IF(B83="""","""",IFERROR(GOOGLEFINANCE(""NSE:""&amp;UPPER(TRIM(B83)),""price""),""Not Available""))"),77.21)</f>
        <v>77.21</v>
      </c>
      <c r="E83" s="64">
        <f t="shared" si="1"/>
        <v>0.2050881848</v>
      </c>
      <c r="F83" s="66"/>
      <c r="G83" s="13">
        <f t="shared" si="2"/>
        <v>86</v>
      </c>
      <c r="H83" s="66"/>
      <c r="I83" s="66"/>
      <c r="J83" s="66"/>
      <c r="K83" s="66"/>
      <c r="L83" s="66"/>
      <c r="M83" s="6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>
      <c r="A84" s="57">
        <v>46202.0</v>
      </c>
      <c r="B84" s="59" t="s">
        <v>206</v>
      </c>
      <c r="C84" s="13">
        <f>IFERROR(__xludf.DUMMYFUNCTION("IF(OR(B84="""",A84=""""),"""",IFERROR(LET(data,GOOGLEFINANCE(""NSE:""&amp;UPPER(TRIM(B84)),""close"",A84-10,A84,""DAILY""),INDEX(data,ROWS(data),2)),""Not Available""))"),1777.1)</f>
        <v>1777.1</v>
      </c>
      <c r="D84" s="13">
        <f>IFERROR(__xludf.DUMMYFUNCTION("IF(B84="""","""",IFERROR(GOOGLEFINANCE(""NSE:""&amp;UPPER(TRIM(B84)),""price""),""Not Available""))"),1749.2)</f>
        <v>1749.2</v>
      </c>
      <c r="E84" s="64">
        <f t="shared" si="1"/>
        <v>-0.01569973552</v>
      </c>
      <c r="F84" s="66"/>
      <c r="G84" s="13">
        <f t="shared" si="2"/>
        <v>87</v>
      </c>
      <c r="H84" s="66"/>
      <c r="I84" s="66"/>
      <c r="J84" s="66"/>
      <c r="K84" s="66"/>
      <c r="L84" s="66"/>
      <c r="M84" s="66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>
      <c r="A85" s="57">
        <v>46202.0</v>
      </c>
      <c r="B85" s="59" t="s">
        <v>209</v>
      </c>
      <c r="C85" s="13">
        <f>IFERROR(__xludf.DUMMYFUNCTION("IF(OR(B85="""",A85=""""),"""",IFERROR(LET(data,GOOGLEFINANCE(""NSE:""&amp;UPPER(TRIM(B85)),""close"",A85-10,A85,""DAILY""),INDEX(data,ROWS(data),2)),""Not Available""))"),473.1)</f>
        <v>473.1</v>
      </c>
      <c r="D85" s="13">
        <f>IFERROR(__xludf.DUMMYFUNCTION("IF(B85="""","""",IFERROR(GOOGLEFINANCE(""NSE:""&amp;UPPER(TRIM(B85)),""price""),""Not Available""))"),435.0)</f>
        <v>435</v>
      </c>
      <c r="E85" s="64">
        <f t="shared" si="1"/>
        <v>-0.08053265694</v>
      </c>
      <c r="F85" s="66"/>
      <c r="G85" s="13">
        <f t="shared" si="2"/>
        <v>87</v>
      </c>
      <c r="H85" s="66"/>
      <c r="I85" s="66"/>
      <c r="J85" s="66"/>
      <c r="K85" s="66"/>
      <c r="L85" s="66"/>
      <c r="M85" s="66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>
      <c r="A86" s="57">
        <v>46202.0</v>
      </c>
      <c r="B86" s="59" t="s">
        <v>211</v>
      </c>
      <c r="C86" s="13">
        <f>IFERROR(__xludf.DUMMYFUNCTION("IF(OR(B86="""",A86=""""),"""",IFERROR(LET(data,GOOGLEFINANCE(""NSE:""&amp;UPPER(TRIM(B86)),""close"",A86-10,A86,""DAILY""),INDEX(data,ROWS(data),2)),""Not Available""))"),273.64)</f>
        <v>273.64</v>
      </c>
      <c r="D86" s="13">
        <f>IFERROR(__xludf.DUMMYFUNCTION("IF(B86="""","""",IFERROR(GOOGLEFINANCE(""NSE:""&amp;UPPER(TRIM(B86)),""price""),""Not Available""))"),236.0)</f>
        <v>236</v>
      </c>
      <c r="E86" s="64">
        <f t="shared" si="1"/>
        <v>-0.1375529893</v>
      </c>
      <c r="F86" s="66"/>
      <c r="G86" s="13">
        <f t="shared" si="2"/>
        <v>87</v>
      </c>
      <c r="H86" s="66"/>
      <c r="I86" s="66"/>
      <c r="J86" s="66"/>
      <c r="K86" s="66"/>
      <c r="L86" s="66"/>
      <c r="M86" s="66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>
      <c r="A87" s="57">
        <v>46202.0</v>
      </c>
      <c r="B87" s="59" t="s">
        <v>213</v>
      </c>
      <c r="C87" s="13">
        <f>IFERROR(__xludf.DUMMYFUNCTION("IF(OR(B87="""",A87=""""),"""",IFERROR(LET(data,GOOGLEFINANCE(""NSE:""&amp;UPPER(TRIM(B87)),""close"",A87-10,A87,""DAILY""),INDEX(data,ROWS(data),2)),""Not Available""))"),118.66)</f>
        <v>118.66</v>
      </c>
      <c r="D87" s="13">
        <f>IFERROR(__xludf.DUMMYFUNCTION("IF(B87="""","""",IFERROR(GOOGLEFINANCE(""NSE:""&amp;UPPER(TRIM(B87)),""price""),""Not Available""))"),98.02)</f>
        <v>98.02</v>
      </c>
      <c r="E87" s="64">
        <f t="shared" si="1"/>
        <v>-0.1739423563</v>
      </c>
      <c r="F87" s="66"/>
      <c r="G87" s="13">
        <f t="shared" si="2"/>
        <v>87</v>
      </c>
      <c r="H87" s="66"/>
      <c r="I87" s="66"/>
      <c r="J87" s="66"/>
      <c r="K87" s="66"/>
      <c r="L87" s="66"/>
      <c r="M87" s="66"/>
      <c r="N87" s="13"/>
      <c r="O87" s="13"/>
      <c r="P87" s="13"/>
      <c r="Q87" s="13"/>
      <c r="R87" s="13"/>
      <c r="S87" s="13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</row>
    <row r="88">
      <c r="A88" s="57">
        <v>46202.0</v>
      </c>
      <c r="B88" s="59" t="s">
        <v>215</v>
      </c>
      <c r="C88" s="13">
        <f>IFERROR(__xludf.DUMMYFUNCTION("IF(OR(B88="""",A88=""""),"""",IFERROR(LET(data,GOOGLEFINANCE(""NSE:""&amp;UPPER(TRIM(B88)),""close"",A88-10,A88,""DAILY""),INDEX(data,ROWS(data),2)),""Not Available""))"),178.74)</f>
        <v>178.74</v>
      </c>
      <c r="D88" s="13">
        <f>IFERROR(__xludf.DUMMYFUNCTION("IF(B88="""","""",IFERROR(GOOGLEFINANCE(""NSE:""&amp;UPPER(TRIM(B88)),""price""),""Not Available""))"),166.1)</f>
        <v>166.1</v>
      </c>
      <c r="E88" s="64">
        <f t="shared" si="1"/>
        <v>-0.07071724292</v>
      </c>
      <c r="F88" s="66"/>
      <c r="G88" s="13">
        <f t="shared" si="2"/>
        <v>87</v>
      </c>
      <c r="H88" s="66"/>
      <c r="I88" s="66"/>
      <c r="J88" s="66"/>
      <c r="K88" s="66"/>
      <c r="L88" s="66"/>
      <c r="M88" s="66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>
      <c r="A89" s="57">
        <v>46202.0</v>
      </c>
      <c r="B89" s="59" t="s">
        <v>217</v>
      </c>
      <c r="C89" s="13">
        <f>IFERROR(__xludf.DUMMYFUNCTION("IF(OR(B89="""",A89=""""),"""",IFERROR(LET(data,GOOGLEFINANCE(""NSE:""&amp;UPPER(TRIM(B89)),""close"",A89-10,A89,""DAILY""),INDEX(data,ROWS(data),2)),""Not Available""))"),35.06)</f>
        <v>35.06</v>
      </c>
      <c r="D89" s="13">
        <f>IFERROR(__xludf.DUMMYFUNCTION("IF(B89="""","""",IFERROR(GOOGLEFINANCE(""NSE:""&amp;UPPER(TRIM(B89)),""price""),""Not Available""))"),29.0)</f>
        <v>29</v>
      </c>
      <c r="E89" s="64">
        <f t="shared" si="1"/>
        <v>-0.1728465488</v>
      </c>
      <c r="F89" s="66"/>
      <c r="G89" s="13">
        <f t="shared" si="2"/>
        <v>87</v>
      </c>
      <c r="H89" s="66"/>
      <c r="I89" s="66"/>
      <c r="J89" s="66"/>
      <c r="K89" s="66"/>
      <c r="L89" s="66"/>
      <c r="M89" s="66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>
      <c r="A90" s="57">
        <v>46202.0</v>
      </c>
      <c r="B90" s="59" t="s">
        <v>219</v>
      </c>
      <c r="C90" s="13">
        <f>IFERROR(__xludf.DUMMYFUNCTION("IF(OR(B90="""",A90=""""),"""",IFERROR(LET(data,GOOGLEFINANCE(""NSE:""&amp;UPPER(TRIM(B90)),""close"",A90-10,A90,""DAILY""),INDEX(data,ROWS(data),2)),""Not Available""))"),60.22)</f>
        <v>60.22</v>
      </c>
      <c r="D90" s="13">
        <f>IFERROR(__xludf.DUMMYFUNCTION("IF(B90="""","""",IFERROR(GOOGLEFINANCE(""NSE:""&amp;UPPER(TRIM(B90)),""price""),""Not Available""))"),52.4)</f>
        <v>52.4</v>
      </c>
      <c r="E90" s="64">
        <f t="shared" si="1"/>
        <v>-0.1298571903</v>
      </c>
      <c r="F90" s="66"/>
      <c r="G90" s="13">
        <f t="shared" si="2"/>
        <v>87</v>
      </c>
      <c r="H90" s="66"/>
      <c r="I90" s="66"/>
      <c r="J90" s="66"/>
      <c r="K90" s="66"/>
      <c r="L90" s="66"/>
      <c r="M90" s="66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>
      <c r="A91" s="57">
        <v>46202.0</v>
      </c>
      <c r="B91" s="59" t="s">
        <v>221</v>
      </c>
      <c r="C91" s="13">
        <f>IFERROR(__xludf.DUMMYFUNCTION("IF(OR(B91="""",A91=""""),"""",IFERROR(LET(data,GOOGLEFINANCE(""NSE:""&amp;UPPER(TRIM(B91)),""close"",A91-10,A91,""DAILY""),INDEX(data,ROWS(data),2)),""Not Available""))"),421.45)</f>
        <v>421.45</v>
      </c>
      <c r="D91" s="13">
        <f>IFERROR(__xludf.DUMMYFUNCTION("IF(B91="""","""",IFERROR(GOOGLEFINANCE(""NSE:""&amp;UPPER(TRIM(B91)),""price""),""Not Available""))"),351.05)</f>
        <v>351.05</v>
      </c>
      <c r="E91" s="64">
        <f t="shared" si="1"/>
        <v>-0.1670423538</v>
      </c>
      <c r="F91" s="66"/>
      <c r="G91" s="13">
        <f t="shared" si="2"/>
        <v>87</v>
      </c>
      <c r="H91" s="66"/>
      <c r="I91" s="66"/>
      <c r="J91" s="66"/>
      <c r="K91" s="66"/>
      <c r="L91" s="66"/>
      <c r="M91" s="66"/>
      <c r="N91" s="13"/>
      <c r="O91" s="13"/>
      <c r="P91" s="13"/>
      <c r="Q91" s="13"/>
      <c r="R91" s="13"/>
      <c r="S91" s="13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</row>
    <row r="92">
      <c r="A92" s="57">
        <v>46202.0</v>
      </c>
      <c r="B92" s="59" t="s">
        <v>224</v>
      </c>
      <c r="C92" s="13">
        <f>IFERROR(__xludf.DUMMYFUNCTION("IF(OR(B92="""",A92=""""),"""",IFERROR(LET(data,GOOGLEFINANCE(""NSE:""&amp;UPPER(TRIM(B92)),""close"",A92-10,A92,""DAILY""),INDEX(data,ROWS(data),2)),""Not Available""))"),20.46)</f>
        <v>20.46</v>
      </c>
      <c r="D92" s="13">
        <f>IFERROR(__xludf.DUMMYFUNCTION("IF(B92="""","""",IFERROR(GOOGLEFINANCE(""NSE:""&amp;UPPER(TRIM(B92)),""price""),""Not Available""))"),20.43)</f>
        <v>20.43</v>
      </c>
      <c r="E92" s="64">
        <f t="shared" si="1"/>
        <v>-0.00146627566</v>
      </c>
      <c r="F92" s="66"/>
      <c r="G92" s="13">
        <f t="shared" si="2"/>
        <v>87</v>
      </c>
      <c r="H92" s="66"/>
      <c r="I92" s="66"/>
      <c r="J92" s="66"/>
      <c r="K92" s="66"/>
      <c r="L92" s="66"/>
      <c r="M92" s="66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>
      <c r="A93" s="57">
        <v>46202.0</v>
      </c>
      <c r="B93" s="59" t="s">
        <v>225</v>
      </c>
      <c r="C93" s="13">
        <f>IFERROR(__xludf.DUMMYFUNCTION("IF(OR(B93="""",A93=""""),"""",IFERROR(LET(data,GOOGLEFINANCE(""NSE:""&amp;UPPER(TRIM(B93)),""close"",A93-10,A93,""DAILY""),INDEX(data,ROWS(data),2)),""Not Available""))"),206.46)</f>
        <v>206.46</v>
      </c>
      <c r="D93" s="13">
        <f>IFERROR(__xludf.DUMMYFUNCTION("IF(B93="""","""",IFERROR(GOOGLEFINANCE(""NSE:""&amp;UPPER(TRIM(B93)),""price""),""Not Available""))"),193.02)</f>
        <v>193.02</v>
      </c>
      <c r="E93" s="64">
        <f t="shared" si="1"/>
        <v>-0.06509735542</v>
      </c>
      <c r="F93" s="66"/>
      <c r="G93" s="13">
        <f t="shared" si="2"/>
        <v>87</v>
      </c>
      <c r="H93" s="66"/>
      <c r="I93" s="66"/>
      <c r="J93" s="66"/>
      <c r="K93" s="66"/>
      <c r="L93" s="66"/>
      <c r="M93" s="66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>
      <c r="A94" s="57">
        <v>46202.0</v>
      </c>
      <c r="B94" s="59" t="s">
        <v>228</v>
      </c>
      <c r="C94" s="13">
        <f>IFERROR(__xludf.DUMMYFUNCTION("IF(OR(B94="""",A94=""""),"""",IFERROR(LET(data,GOOGLEFINANCE(""NSE:""&amp;UPPER(TRIM(B94)),""close"",A94-10,A94,""DAILY""),INDEX(data,ROWS(data),2)),""Not Available""))"),179.56)</f>
        <v>179.56</v>
      </c>
      <c r="D94" s="13">
        <f>IFERROR(__xludf.DUMMYFUNCTION("IF(B94="""","""",IFERROR(GOOGLEFINANCE(""NSE:""&amp;UPPER(TRIM(B94)),""price""),""Not Available""))"),178.32)</f>
        <v>178.32</v>
      </c>
      <c r="E94" s="64">
        <f t="shared" si="1"/>
        <v>-0.006905769659</v>
      </c>
      <c r="F94" s="66"/>
      <c r="G94" s="13">
        <f t="shared" si="2"/>
        <v>87</v>
      </c>
      <c r="H94" s="66"/>
      <c r="I94" s="66"/>
      <c r="J94" s="66"/>
      <c r="K94" s="66"/>
      <c r="L94" s="66"/>
      <c r="M94" s="66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>
      <c r="A95" s="57">
        <v>46202.0</v>
      </c>
      <c r="B95" s="59" t="s">
        <v>229</v>
      </c>
      <c r="C95" s="13">
        <f>IFERROR(__xludf.DUMMYFUNCTION("IF(OR(B95="""",A95=""""),"""",IFERROR(LET(data,GOOGLEFINANCE(""NSE:""&amp;UPPER(TRIM(B95)),""close"",A95-10,A95,""DAILY""),INDEX(data,ROWS(data),2)),""Not Available""))"),257.23)</f>
        <v>257.23</v>
      </c>
      <c r="D95" s="13">
        <f>IFERROR(__xludf.DUMMYFUNCTION("IF(B95="""","""",IFERROR(GOOGLEFINANCE(""NSE:""&amp;UPPER(TRIM(B95)),""price""),""Not Available""))"),237.6)</f>
        <v>237.6</v>
      </c>
      <c r="E95" s="64">
        <f t="shared" si="1"/>
        <v>-0.07631302725</v>
      </c>
      <c r="F95" s="66"/>
      <c r="G95" s="13">
        <f t="shared" si="2"/>
        <v>87</v>
      </c>
      <c r="H95" s="66"/>
      <c r="I95" s="66"/>
      <c r="J95" s="66"/>
      <c r="K95" s="66"/>
      <c r="L95" s="66"/>
      <c r="M95" s="66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>
      <c r="A96" s="57">
        <v>46202.0</v>
      </c>
      <c r="B96" s="59" t="s">
        <v>231</v>
      </c>
      <c r="C96" s="13">
        <f>IFERROR(__xludf.DUMMYFUNCTION("IF(OR(B96="""",A96=""""),"""",IFERROR(LET(data,GOOGLEFINANCE(""NSE:""&amp;UPPER(TRIM(B96)),""close"",A96-10,A96,""DAILY""),INDEX(data,ROWS(data),2)),""Not Available""))"),493.05)</f>
        <v>493.05</v>
      </c>
      <c r="D96" s="13">
        <f>IFERROR(__xludf.DUMMYFUNCTION("IF(B96="""","""",IFERROR(GOOGLEFINANCE(""NSE:""&amp;UPPER(TRIM(B96)),""price""),""Not Available""))"),432.8)</f>
        <v>432.8</v>
      </c>
      <c r="E96" s="64">
        <f t="shared" si="1"/>
        <v>-0.12219856</v>
      </c>
      <c r="F96" s="66"/>
      <c r="G96" s="13">
        <f t="shared" si="2"/>
        <v>87</v>
      </c>
      <c r="H96" s="66"/>
      <c r="I96" s="66"/>
      <c r="J96" s="66"/>
      <c r="K96" s="66"/>
      <c r="L96" s="66"/>
      <c r="M96" s="66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>
      <c r="A97" s="57">
        <v>46198.0</v>
      </c>
      <c r="B97" s="59" t="s">
        <v>232</v>
      </c>
      <c r="C97" s="13">
        <f>IFERROR(__xludf.DUMMYFUNCTION("IF(OR(B97="""",A97=""""),"""",IFERROR(LET(data,GOOGLEFINANCE(""NSE:""&amp;UPPER(TRIM(B97)),""close"",A97-10,A97,""DAILY""),INDEX(data,ROWS(data),2)),""Not Available""))"),690.7)</f>
        <v>690.7</v>
      </c>
      <c r="D97" s="13">
        <f>IFERROR(__xludf.DUMMYFUNCTION("IF(B97="""","""",IFERROR(GOOGLEFINANCE(""NSE:""&amp;UPPER(TRIM(B97)),""price""),""Not Available""))"),935.1)</f>
        <v>935.1</v>
      </c>
      <c r="E97" s="64">
        <f t="shared" si="1"/>
        <v>0.3538439265</v>
      </c>
      <c r="F97" s="66"/>
      <c r="G97" s="13">
        <f t="shared" si="2"/>
        <v>91</v>
      </c>
      <c r="H97" s="66"/>
      <c r="I97" s="66"/>
      <c r="J97" s="66"/>
      <c r="K97" s="66"/>
      <c r="L97" s="66"/>
      <c r="M97" s="66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>
      <c r="A98" s="57">
        <v>46198.0</v>
      </c>
      <c r="B98" s="59" t="s">
        <v>46</v>
      </c>
      <c r="C98" s="13">
        <f>IFERROR(__xludf.DUMMYFUNCTION("IF(OR(B98="""",A98=""""),"""",IFERROR(LET(data,GOOGLEFINANCE(""NSE:""&amp;UPPER(TRIM(B98)),""close"",A98-10,A98,""DAILY""),INDEX(data,ROWS(data),2)),""Not Available""))"),84.83)</f>
        <v>84.83</v>
      </c>
      <c r="D98" s="13">
        <f>IFERROR(__xludf.DUMMYFUNCTION("IF(B98="""","""",IFERROR(GOOGLEFINANCE(""NSE:""&amp;UPPER(TRIM(B98)),""price""),""Not Available""))"),83.16)</f>
        <v>83.16</v>
      </c>
      <c r="E98" s="64">
        <f t="shared" si="1"/>
        <v>-0.01968643169</v>
      </c>
      <c r="F98" s="66"/>
      <c r="G98" s="13">
        <f t="shared" si="2"/>
        <v>91</v>
      </c>
      <c r="H98" s="66"/>
      <c r="I98" s="66"/>
      <c r="J98" s="66"/>
      <c r="K98" s="66"/>
      <c r="L98" s="66"/>
      <c r="M98" s="66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>
      <c r="A99" s="57">
        <v>46198.0</v>
      </c>
      <c r="B99" s="59" t="s">
        <v>235</v>
      </c>
      <c r="C99" s="13">
        <f>IFERROR(__xludf.DUMMYFUNCTION("IF(OR(B99="""",A99=""""),"""",IFERROR(LET(data,GOOGLEFINANCE(""NSE:""&amp;UPPER(TRIM(B99)),""close"",A99-10,A99,""DAILY""),INDEX(data,ROWS(data),2)),""Not Available""))"),464.8)</f>
        <v>464.8</v>
      </c>
      <c r="D99" s="13">
        <f>IFERROR(__xludf.DUMMYFUNCTION("IF(B99="""","""",IFERROR(GOOGLEFINANCE(""NSE:""&amp;UPPER(TRIM(B99)),""price""),""Not Available""))"),424.6)</f>
        <v>424.6</v>
      </c>
      <c r="E99" s="64">
        <f t="shared" si="1"/>
        <v>-0.08648881239</v>
      </c>
      <c r="F99" s="66"/>
      <c r="G99" s="13">
        <f t="shared" si="2"/>
        <v>91</v>
      </c>
      <c r="H99" s="66"/>
      <c r="I99" s="66"/>
      <c r="J99" s="66"/>
      <c r="K99" s="66"/>
      <c r="L99" s="66"/>
      <c r="M99" s="66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>
      <c r="A100" s="57">
        <v>46198.0</v>
      </c>
      <c r="B100" s="59" t="s">
        <v>237</v>
      </c>
      <c r="C100" s="13">
        <f>IFERROR(__xludf.DUMMYFUNCTION("IF(OR(B100="""",A100=""""),"""",IFERROR(LET(data,GOOGLEFINANCE(""NSE:""&amp;UPPER(TRIM(B100)),""close"",A100-10,A100,""DAILY""),INDEX(data,ROWS(data),2)),""Not Available""))"),366.35)</f>
        <v>366.35</v>
      </c>
      <c r="D100" s="13">
        <f>IFERROR(__xludf.DUMMYFUNCTION("IF(B100="""","""",IFERROR(GOOGLEFINANCE(""NSE:""&amp;UPPER(TRIM(B100)),""price""),""Not Available""))"),485.7)</f>
        <v>485.7</v>
      </c>
      <c r="E100" s="64">
        <f t="shared" si="1"/>
        <v>0.3257813566</v>
      </c>
      <c r="F100" s="66"/>
      <c r="G100" s="13">
        <f t="shared" si="2"/>
        <v>91</v>
      </c>
      <c r="H100" s="66"/>
      <c r="I100" s="66"/>
      <c r="J100" s="66"/>
      <c r="K100" s="66"/>
      <c r="L100" s="66"/>
      <c r="M100" s="66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>
      <c r="A101" s="57">
        <v>46198.0</v>
      </c>
      <c r="B101" s="59" t="s">
        <v>239</v>
      </c>
      <c r="C101" s="13">
        <f>IFERROR(__xludf.DUMMYFUNCTION("IF(OR(B101="""",A101=""""),"""",IFERROR(LET(data,GOOGLEFINANCE(""NSE:""&amp;UPPER(TRIM(B101)),""close"",A101-10,A101,""DAILY""),INDEX(data,ROWS(data),2)),""Not Available""))"),9.17)</f>
        <v>9.17</v>
      </c>
      <c r="D101" s="13">
        <f>IFERROR(__xludf.DUMMYFUNCTION("IF(B101="""","""",IFERROR(GOOGLEFINANCE(""NSE:""&amp;UPPER(TRIM(B101)),""price""),""Not Available""))"),9.14)</f>
        <v>9.14</v>
      </c>
      <c r="E101" s="64">
        <f t="shared" si="1"/>
        <v>-0.003271537623</v>
      </c>
      <c r="F101" s="66"/>
      <c r="G101" s="13">
        <f t="shared" si="2"/>
        <v>91</v>
      </c>
      <c r="H101" s="66"/>
      <c r="I101" s="66"/>
      <c r="J101" s="66"/>
      <c r="K101" s="66"/>
      <c r="L101" s="66"/>
      <c r="M101" s="66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>
      <c r="A102" s="57">
        <v>46198.0</v>
      </c>
      <c r="B102" s="59" t="s">
        <v>241</v>
      </c>
      <c r="C102" s="13">
        <f>IFERROR(__xludf.DUMMYFUNCTION("IF(OR(B102="""",A102=""""),"""",IFERROR(LET(data,GOOGLEFINANCE(""NSE:""&amp;UPPER(TRIM(B102)),""close"",A102-10,A102,""DAILY""),INDEX(data,ROWS(data),2)),""Not Available""))"),143.54)</f>
        <v>143.54</v>
      </c>
      <c r="D102" s="13">
        <f>IFERROR(__xludf.DUMMYFUNCTION("IF(B102="""","""",IFERROR(GOOGLEFINANCE(""NSE:""&amp;UPPER(TRIM(B102)),""price""),""Not Available""))"),120.5)</f>
        <v>120.5</v>
      </c>
      <c r="E102" s="64">
        <f t="shared" si="1"/>
        <v>-0.1605127491</v>
      </c>
      <c r="F102" s="66"/>
      <c r="G102" s="13">
        <f t="shared" si="2"/>
        <v>91</v>
      </c>
      <c r="H102" s="66"/>
      <c r="I102" s="66"/>
      <c r="J102" s="66"/>
      <c r="K102" s="66"/>
      <c r="L102" s="66"/>
      <c r="M102" s="66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>
      <c r="A103" s="57">
        <v>46198.0</v>
      </c>
      <c r="B103" s="59" t="s">
        <v>224</v>
      </c>
      <c r="C103" s="13">
        <f>IFERROR(__xludf.DUMMYFUNCTION("IF(OR(B103="""",A103=""""),"""",IFERROR(LET(data,GOOGLEFINANCE(""NSE:""&amp;UPPER(TRIM(B103)),""close"",A103-10,A103,""DAILY""),INDEX(data,ROWS(data),2)),""Not Available""))"),20.94)</f>
        <v>20.94</v>
      </c>
      <c r="D103" s="13">
        <f>IFERROR(__xludf.DUMMYFUNCTION("IF(B103="""","""",IFERROR(GOOGLEFINANCE(""NSE:""&amp;UPPER(TRIM(B103)),""price""),""Not Available""))"),20.43)</f>
        <v>20.43</v>
      </c>
      <c r="E103" s="64">
        <f t="shared" si="1"/>
        <v>-0.02435530086</v>
      </c>
      <c r="F103" s="66"/>
      <c r="G103" s="13">
        <f t="shared" si="2"/>
        <v>91</v>
      </c>
      <c r="H103" s="66"/>
      <c r="I103" s="66"/>
      <c r="J103" s="66"/>
      <c r="K103" s="66"/>
      <c r="L103" s="66"/>
      <c r="M103" s="66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>
      <c r="A104" s="57">
        <v>46198.0</v>
      </c>
      <c r="B104" s="59" t="s">
        <v>243</v>
      </c>
      <c r="C104" s="13">
        <f>IFERROR(__xludf.DUMMYFUNCTION("IF(OR(B104="""",A104=""""),"""",IFERROR(LET(data,GOOGLEFINANCE(""NSE:""&amp;UPPER(TRIM(B104)),""close"",A104-10,A104,""DAILY""),INDEX(data,ROWS(data),2)),""Not Available""))"),3146.2)</f>
        <v>3146.2</v>
      </c>
      <c r="D104" s="13">
        <f>IFERROR(__xludf.DUMMYFUNCTION("IF(B104="""","""",IFERROR(GOOGLEFINANCE(""NSE:""&amp;UPPER(TRIM(B104)),""price""),""Not Available""))"),4627.0)</f>
        <v>4627</v>
      </c>
      <c r="E104" s="64">
        <f t="shared" si="1"/>
        <v>0.4706630221</v>
      </c>
      <c r="F104" s="66"/>
      <c r="G104" s="13">
        <f t="shared" si="2"/>
        <v>91</v>
      </c>
      <c r="H104" s="66"/>
      <c r="I104" s="66"/>
      <c r="J104" s="66"/>
      <c r="K104" s="66"/>
      <c r="L104" s="66"/>
      <c r="M104" s="66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57">
        <v>46198.0</v>
      </c>
      <c r="B105" s="59" t="s">
        <v>244</v>
      </c>
      <c r="C105" s="13">
        <f>IFERROR(__xludf.DUMMYFUNCTION("IF(OR(B105="""",A105=""""),"""",IFERROR(LET(data,GOOGLEFINANCE(""NSE:""&amp;UPPER(TRIM(B105)),""close"",A105-10,A105,""DAILY""),INDEX(data,ROWS(data),2)),""Not Available""))"),580.9)</f>
        <v>580.9</v>
      </c>
      <c r="D105" s="13">
        <f>IFERROR(__xludf.DUMMYFUNCTION("IF(B105="""","""",IFERROR(GOOGLEFINANCE(""NSE:""&amp;UPPER(TRIM(B105)),""price""),""Not Available""))"),466.1)</f>
        <v>466.1</v>
      </c>
      <c r="E105" s="64">
        <f t="shared" si="1"/>
        <v>-0.197624376</v>
      </c>
      <c r="F105" s="66"/>
      <c r="G105" s="13">
        <f t="shared" si="2"/>
        <v>91</v>
      </c>
      <c r="H105" s="66"/>
      <c r="I105" s="66"/>
      <c r="J105" s="66"/>
      <c r="K105" s="66"/>
      <c r="L105" s="66"/>
      <c r="M105" s="66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>
      <c r="A106" s="85">
        <v>46198.0</v>
      </c>
      <c r="B106" s="86" t="s">
        <v>247</v>
      </c>
      <c r="C106" s="69">
        <f>IFERROR(__xludf.DUMMYFUNCTION("IF(OR(B106="""",A106=""""),"""",IFERROR(LET(data,GOOGLEFINANCE(""NSE:""&amp;UPPER(TRIM(B106)),""close"",A106-10,A106,""DAILY""),INDEX(data,ROWS(data),2)),""Not Available""))"),276.01)</f>
        <v>276.01</v>
      </c>
      <c r="D106" s="69">
        <f>IFERROR(__xludf.DUMMYFUNCTION("IF(B106="""","""",IFERROR(GOOGLEFINANCE(""NSE:""&amp;UPPER(TRIM(B106)),""price""),""Not Available""))"),222.7)</f>
        <v>222.7</v>
      </c>
      <c r="E106" s="87">
        <f t="shared" si="1"/>
        <v>-0.1931451759</v>
      </c>
      <c r="F106" s="88"/>
      <c r="G106" s="69">
        <f t="shared" si="2"/>
        <v>91</v>
      </c>
      <c r="H106" s="88"/>
      <c r="I106" s="88"/>
      <c r="J106" s="88"/>
      <c r="K106" s="88"/>
      <c r="L106" s="88"/>
      <c r="M106" s="88"/>
      <c r="N106" s="69"/>
      <c r="O106" s="69"/>
      <c r="P106" s="69"/>
      <c r="Q106" s="69"/>
      <c r="R106" s="69"/>
      <c r="S106" s="69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>
      <c r="A107" s="57">
        <v>46192.0</v>
      </c>
      <c r="B107" s="59" t="s">
        <v>249</v>
      </c>
      <c r="C107" s="13">
        <f>IFERROR(__xludf.DUMMYFUNCTION("IF(OR(B107="""",A107=""""),"""",IFERROR(LET(data,GOOGLEFINANCE(""NSE:""&amp;UPPER(TRIM(B107)),""close"",A107-10,A107,""DAILY""),INDEX(data,ROWS(data),2)),""Not Available""))"),12517.0)</f>
        <v>12517</v>
      </c>
      <c r="D107" s="13">
        <f>IFERROR(__xludf.DUMMYFUNCTION("IF(B107="""","""",IFERROR(GOOGLEFINANCE(""NSE:""&amp;UPPER(TRIM(B107)),""price""),""Not Available""))"),13214.0)</f>
        <v>13214</v>
      </c>
      <c r="E107" s="64">
        <f t="shared" si="1"/>
        <v>0.05568426939</v>
      </c>
      <c r="F107" s="66"/>
      <c r="G107" s="13">
        <f t="shared" si="2"/>
        <v>97</v>
      </c>
      <c r="H107" s="66"/>
      <c r="I107" s="66"/>
      <c r="J107" s="66"/>
      <c r="K107" s="66"/>
      <c r="L107" s="66"/>
      <c r="M107" s="66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>
      <c r="A108" s="57">
        <v>46192.0</v>
      </c>
      <c r="B108" s="59" t="s">
        <v>251</v>
      </c>
      <c r="C108" s="13">
        <f>IFERROR(__xludf.DUMMYFUNCTION("IF(OR(B108="""",A108=""""),"""",IFERROR(LET(data,GOOGLEFINANCE(""NSE:""&amp;UPPER(TRIM(B108)),""close"",A108-10,A108,""DAILY""),INDEX(data,ROWS(data),2)),""Not Available""))"),39.03)</f>
        <v>39.03</v>
      </c>
      <c r="D108" s="13">
        <f>IFERROR(__xludf.DUMMYFUNCTION("IF(B108="""","""",IFERROR(GOOGLEFINANCE(""NSE:""&amp;UPPER(TRIM(B108)),""price""),""Not Available""))"),65.1)</f>
        <v>65.1</v>
      </c>
      <c r="E108" s="64">
        <f t="shared" si="1"/>
        <v>0.6679477325</v>
      </c>
      <c r="F108" s="66"/>
      <c r="G108" s="13">
        <f t="shared" si="2"/>
        <v>97</v>
      </c>
      <c r="H108" s="66"/>
      <c r="I108" s="66"/>
      <c r="J108" s="66"/>
      <c r="K108" s="66"/>
      <c r="L108" s="66"/>
      <c r="M108" s="66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>
      <c r="A109" s="57">
        <v>46192.0</v>
      </c>
      <c r="B109" s="59" t="s">
        <v>253</v>
      </c>
      <c r="C109" s="13">
        <f>IFERROR(__xludf.DUMMYFUNCTION("IF(OR(B109="""",A109=""""),"""",IFERROR(LET(data,GOOGLEFINANCE(""NSE:""&amp;UPPER(TRIM(B109)),""close"",A109-10,A109,""DAILY""),INDEX(data,ROWS(data),2)),""Not Available""))"),151.24)</f>
        <v>151.24</v>
      </c>
      <c r="D109" s="13">
        <f>IFERROR(__xludf.DUMMYFUNCTION("IF(B109="""","""",IFERROR(GOOGLEFINANCE(""NSE:""&amp;UPPER(TRIM(B109)),""price""),""Not Available""))"),124.21)</f>
        <v>124.21</v>
      </c>
      <c r="E109" s="64">
        <f t="shared" si="1"/>
        <v>-0.1787225602</v>
      </c>
      <c r="F109" s="66"/>
      <c r="G109" s="13">
        <f t="shared" si="2"/>
        <v>97</v>
      </c>
      <c r="H109" s="66"/>
      <c r="I109" s="66"/>
      <c r="J109" s="66"/>
      <c r="K109" s="66"/>
      <c r="L109" s="66"/>
      <c r="M109" s="66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>
      <c r="A110" s="57">
        <v>46192.0</v>
      </c>
      <c r="B110" s="59" t="s">
        <v>255</v>
      </c>
      <c r="C110" s="13">
        <f>IFERROR(__xludf.DUMMYFUNCTION("IF(OR(B110="""",A110=""""),"""",IFERROR(LET(data,GOOGLEFINANCE(""NSE:""&amp;UPPER(TRIM(B110)),""close"",A110-10,A110,""DAILY""),INDEX(data,ROWS(data),2)),""Not Available""))"),12.18)</f>
        <v>12.18</v>
      </c>
      <c r="D110" s="13">
        <f>IFERROR(__xludf.DUMMYFUNCTION("IF(B110="""","""",IFERROR(GOOGLEFINANCE(""NSE:""&amp;UPPER(TRIM(B110)),""price""),""Not Available""))"),9.95)</f>
        <v>9.95</v>
      </c>
      <c r="E110" s="64">
        <f t="shared" si="1"/>
        <v>-0.1830870279</v>
      </c>
      <c r="F110" s="66"/>
      <c r="G110" s="13">
        <f t="shared" si="2"/>
        <v>97</v>
      </c>
      <c r="H110" s="66"/>
      <c r="I110" s="66"/>
      <c r="J110" s="66"/>
      <c r="K110" s="66"/>
      <c r="L110" s="66"/>
      <c r="M110" s="6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>
      <c r="A111" s="57">
        <v>46192.0</v>
      </c>
      <c r="B111" s="59" t="s">
        <v>257</v>
      </c>
      <c r="C111" s="13">
        <f>IFERROR(__xludf.DUMMYFUNCTION("IF(OR(B111="""",A111=""""),"""",IFERROR(LET(data,GOOGLEFINANCE(""NSE:""&amp;UPPER(TRIM(B111)),""close"",A111-10,A111,""DAILY""),INDEX(data,ROWS(data),2)),""Not Available""))"),2089.4)</f>
        <v>2089.4</v>
      </c>
      <c r="D111" s="13">
        <f>IFERROR(__xludf.DUMMYFUNCTION("IF(B111="""","""",IFERROR(GOOGLEFINANCE(""NSE:""&amp;UPPER(TRIM(B111)),""price""),""Not Available""))"),1622.5)</f>
        <v>1622.5</v>
      </c>
      <c r="E111" s="64">
        <f t="shared" si="1"/>
        <v>-0.2234612808</v>
      </c>
      <c r="F111" s="66"/>
      <c r="G111" s="13">
        <f t="shared" si="2"/>
        <v>97</v>
      </c>
      <c r="H111" s="66"/>
      <c r="I111" s="66"/>
      <c r="J111" s="66"/>
      <c r="K111" s="66"/>
      <c r="L111" s="66"/>
      <c r="M111" s="66"/>
      <c r="N111" s="13"/>
      <c r="O111" s="13"/>
      <c r="P111" s="13"/>
      <c r="Q111" s="13"/>
      <c r="R111" s="13"/>
      <c r="S111" s="13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</row>
    <row r="112">
      <c r="A112" s="57">
        <v>46192.0</v>
      </c>
      <c r="B112" s="59" t="s">
        <v>259</v>
      </c>
      <c r="C112" s="13">
        <f>IFERROR(__xludf.DUMMYFUNCTION("IF(OR(B112="""",A112=""""),"""",IFERROR(LET(data,GOOGLEFINANCE(""NSE:""&amp;UPPER(TRIM(B112)),""close"",A112-10,A112,""DAILY""),INDEX(data,ROWS(data),2)),""Not Available""))"),922.45)</f>
        <v>922.45</v>
      </c>
      <c r="D112" s="13">
        <f>IFERROR(__xludf.DUMMYFUNCTION("IF(B112="""","""",IFERROR(GOOGLEFINANCE(""NSE:""&amp;UPPER(TRIM(B112)),""price""),""Not Available""))"),820.15)</f>
        <v>820.15</v>
      </c>
      <c r="E112" s="64">
        <f t="shared" si="1"/>
        <v>-0.1109003198</v>
      </c>
      <c r="F112" s="66"/>
      <c r="G112" s="13">
        <f t="shared" si="2"/>
        <v>97</v>
      </c>
      <c r="H112" s="66"/>
      <c r="I112" s="66"/>
      <c r="J112" s="66"/>
      <c r="K112" s="66"/>
      <c r="L112" s="66"/>
      <c r="M112" s="6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>
      <c r="A113" s="57">
        <v>46192.0</v>
      </c>
      <c r="B113" s="59" t="s">
        <v>261</v>
      </c>
      <c r="C113" s="13">
        <f>IFERROR(__xludf.DUMMYFUNCTION("IF(OR(B113="""",A113=""""),"""",IFERROR(LET(data,GOOGLEFINANCE(""NSE:""&amp;UPPER(TRIM(B113)),""close"",A113-10,A113,""DAILY""),INDEX(data,ROWS(data),2)),""Not Available""))"),2632.5)</f>
        <v>2632.5</v>
      </c>
      <c r="D113" s="13">
        <f>IFERROR(__xludf.DUMMYFUNCTION("IF(B113="""","""",IFERROR(GOOGLEFINANCE(""NSE:""&amp;UPPER(TRIM(B113)),""price""),""Not Available""))"),2332.3)</f>
        <v>2332.3</v>
      </c>
      <c r="E113" s="64">
        <f t="shared" si="1"/>
        <v>-0.1140360874</v>
      </c>
      <c r="F113" s="66"/>
      <c r="G113" s="13">
        <f t="shared" si="2"/>
        <v>97</v>
      </c>
      <c r="H113" s="66"/>
      <c r="I113" s="66"/>
      <c r="J113" s="66"/>
      <c r="K113" s="66"/>
      <c r="L113" s="66"/>
      <c r="M113" s="66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>
      <c r="A114" s="57">
        <v>46191.0</v>
      </c>
      <c r="B114" s="59" t="s">
        <v>263</v>
      </c>
      <c r="C114" s="13">
        <f>IFERROR(__xludf.DUMMYFUNCTION("IF(OR(B114="""",A114=""""),"""",IFERROR(LET(data,GOOGLEFINANCE(""NSE:""&amp;UPPER(TRIM(B114)),""close"",A114-10,A114,""DAILY""),INDEX(data,ROWS(data),2)),""Not Available""))"),551.55)</f>
        <v>551.55</v>
      </c>
      <c r="D114" s="13">
        <f>IFERROR(__xludf.DUMMYFUNCTION("IF(B114="""","""",IFERROR(GOOGLEFINANCE(""NSE:""&amp;UPPER(TRIM(B114)),""price""),""Not Available""))"),552.65)</f>
        <v>552.65</v>
      </c>
      <c r="E114" s="64">
        <f t="shared" si="1"/>
        <v>0.001994379476</v>
      </c>
      <c r="F114" s="66"/>
      <c r="G114" s="13">
        <f t="shared" si="2"/>
        <v>98</v>
      </c>
      <c r="H114" s="66"/>
      <c r="I114" s="66"/>
      <c r="J114" s="66"/>
      <c r="K114" s="66"/>
      <c r="L114" s="66"/>
      <c r="M114" s="66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>
      <c r="A115" s="57">
        <v>46191.0</v>
      </c>
      <c r="B115" s="59" t="s">
        <v>264</v>
      </c>
      <c r="C115" s="13">
        <f>IFERROR(__xludf.DUMMYFUNCTION("IF(OR(B115="""",A115=""""),"""",IFERROR(LET(data,GOOGLEFINANCE(""NSE:""&amp;UPPER(TRIM(B115)),""close"",A115-10,A115,""DAILY""),INDEX(data,ROWS(data),2)),""Not Available""))"),226.35)</f>
        <v>226.35</v>
      </c>
      <c r="D115" s="13">
        <f>IFERROR(__xludf.DUMMYFUNCTION("IF(B115="""","""",IFERROR(GOOGLEFINANCE(""NSE:""&amp;UPPER(TRIM(B115)),""price""),""Not Available""))"),355.0)</f>
        <v>355</v>
      </c>
      <c r="E115" s="64">
        <f t="shared" si="1"/>
        <v>0.5683675723</v>
      </c>
      <c r="F115" s="66"/>
      <c r="G115" s="13">
        <f t="shared" si="2"/>
        <v>98</v>
      </c>
      <c r="H115" s="66"/>
      <c r="I115" s="66"/>
      <c r="J115" s="66"/>
      <c r="K115" s="66"/>
      <c r="L115" s="66"/>
      <c r="M115" s="66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>
      <c r="A116" s="57">
        <v>46191.0</v>
      </c>
      <c r="B116" s="59" t="s">
        <v>266</v>
      </c>
      <c r="C116" s="13">
        <f>IFERROR(__xludf.DUMMYFUNCTION("IF(OR(B116="""",A116=""""),"""",IFERROR(LET(data,GOOGLEFINANCE(""NSE:""&amp;UPPER(TRIM(B116)),""close"",A116-10,A116,""DAILY""),INDEX(data,ROWS(data),2)),""Not Available""))"),84.62)</f>
        <v>84.62</v>
      </c>
      <c r="D116" s="13">
        <f>IFERROR(__xludf.DUMMYFUNCTION("IF(B116="""","""",IFERROR(GOOGLEFINANCE(""NSE:""&amp;UPPER(TRIM(B116)),""price""),""Not Available""))"),81.65)</f>
        <v>81.65</v>
      </c>
      <c r="E116" s="64">
        <f t="shared" si="1"/>
        <v>-0.03509808556</v>
      </c>
      <c r="F116" s="66"/>
      <c r="G116" s="13">
        <f t="shared" si="2"/>
        <v>98</v>
      </c>
      <c r="H116" s="66"/>
      <c r="I116" s="66"/>
      <c r="J116" s="66"/>
      <c r="K116" s="66"/>
      <c r="L116" s="66"/>
      <c r="M116" s="66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>
      <c r="A117" s="57">
        <v>46191.0</v>
      </c>
      <c r="B117" s="59" t="s">
        <v>267</v>
      </c>
      <c r="C117" s="13">
        <f>IFERROR(__xludf.DUMMYFUNCTION("IF(OR(B117="""",A117=""""),"""",IFERROR(LET(data,GOOGLEFINANCE(""NSE:""&amp;UPPER(TRIM(B117)),""close"",A117-10,A117,""DAILY""),INDEX(data,ROWS(data),2)),""Not Available""))"),35.23)</f>
        <v>35.23</v>
      </c>
      <c r="D117" s="13">
        <f>IFERROR(__xludf.DUMMYFUNCTION("IF(B117="""","""",IFERROR(GOOGLEFINANCE(""NSE:""&amp;UPPER(TRIM(B117)),""price""),""Not Available""))"),31.82)</f>
        <v>31.82</v>
      </c>
      <c r="E117" s="64">
        <f t="shared" si="1"/>
        <v>-0.09679250639</v>
      </c>
      <c r="F117" s="66"/>
      <c r="G117" s="13">
        <f t="shared" si="2"/>
        <v>98</v>
      </c>
      <c r="H117" s="66"/>
      <c r="I117" s="66"/>
      <c r="J117" s="66"/>
      <c r="K117" s="66"/>
      <c r="L117" s="66"/>
      <c r="M117" s="66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>
      <c r="A118" s="57">
        <v>46191.0</v>
      </c>
      <c r="B118" s="59" t="s">
        <v>269</v>
      </c>
      <c r="C118" s="13">
        <f>IFERROR(__xludf.DUMMYFUNCTION("IF(OR(B118="""",A118=""""),"""",IFERROR(LET(data,GOOGLEFINANCE(""NSE:""&amp;UPPER(TRIM(B118)),""close"",A118-10,A118,""DAILY""),INDEX(data,ROWS(data),2)),""Not Available""))"),1136.2)</f>
        <v>1136.2</v>
      </c>
      <c r="D118" s="13">
        <f>IFERROR(__xludf.DUMMYFUNCTION("IF(B118="""","""",IFERROR(GOOGLEFINANCE(""NSE:""&amp;UPPER(TRIM(B118)),""price""),""Not Available""))"),977.0)</f>
        <v>977</v>
      </c>
      <c r="E118" s="64">
        <f t="shared" si="1"/>
        <v>-0.1401161767</v>
      </c>
      <c r="F118" s="66"/>
      <c r="G118" s="13">
        <f t="shared" si="2"/>
        <v>98</v>
      </c>
      <c r="H118" s="66"/>
      <c r="I118" s="66"/>
      <c r="J118" s="66"/>
      <c r="K118" s="66"/>
      <c r="L118" s="66"/>
      <c r="M118" s="6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>
      <c r="A119" s="57">
        <v>46191.0</v>
      </c>
      <c r="B119" s="59" t="s">
        <v>270</v>
      </c>
      <c r="C119" s="13">
        <f>IFERROR(__xludf.DUMMYFUNCTION("IF(OR(B119="""",A119=""""),"""",IFERROR(LET(data,GOOGLEFINANCE(""NSE:""&amp;UPPER(TRIM(B119)),""close"",A119-10,A119,""DAILY""),INDEX(data,ROWS(data),2)),""Not Available""))"),30.01)</f>
        <v>30.01</v>
      </c>
      <c r="D119" s="13">
        <f>IFERROR(__xludf.DUMMYFUNCTION("IF(B119="""","""",IFERROR(GOOGLEFINANCE(""NSE:""&amp;UPPER(TRIM(B119)),""price""),""Not Available""))"),27.45)</f>
        <v>27.45</v>
      </c>
      <c r="E119" s="64">
        <f t="shared" si="1"/>
        <v>-0.08530489837</v>
      </c>
      <c r="F119" s="66"/>
      <c r="G119" s="13">
        <f t="shared" si="2"/>
        <v>98</v>
      </c>
      <c r="H119" s="66"/>
      <c r="I119" s="66"/>
      <c r="J119" s="66"/>
      <c r="K119" s="66"/>
      <c r="L119" s="66"/>
      <c r="M119" s="66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>
      <c r="A120" s="85">
        <v>46191.0</v>
      </c>
      <c r="B120" s="86" t="s">
        <v>272</v>
      </c>
      <c r="C120" s="69">
        <f>IFERROR(__xludf.DUMMYFUNCTION("IF(OR(B120="""",A120=""""),"""",IFERROR(LET(data,GOOGLEFINANCE(""NSE:""&amp;UPPER(TRIM(B120)),""close"",A120-10,A120,""DAILY""),INDEX(data,ROWS(data),2)),""Not Available""))"),189.67)</f>
        <v>189.67</v>
      </c>
      <c r="D120" s="69">
        <f>IFERROR(__xludf.DUMMYFUNCTION("IF(B120="""","""",IFERROR(GOOGLEFINANCE(""NSE:""&amp;UPPER(TRIM(B120)),""price""),""Not Available""))"),680.0)</f>
        <v>680</v>
      </c>
      <c r="E120" s="87">
        <f t="shared" si="1"/>
        <v>2.58517425</v>
      </c>
      <c r="F120" s="88"/>
      <c r="G120" s="69">
        <f t="shared" si="2"/>
        <v>98</v>
      </c>
      <c r="H120" s="88"/>
      <c r="I120" s="88"/>
      <c r="J120" s="88"/>
      <c r="K120" s="88"/>
      <c r="L120" s="88"/>
      <c r="M120" s="88"/>
      <c r="N120" s="69"/>
      <c r="O120" s="69"/>
      <c r="P120" s="69"/>
      <c r="Q120" s="69"/>
      <c r="R120" s="69"/>
      <c r="S120" s="69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>
      <c r="A121" s="85">
        <v>46191.0</v>
      </c>
      <c r="B121" s="86" t="s">
        <v>274</v>
      </c>
      <c r="C121" s="69">
        <f>IFERROR(__xludf.DUMMYFUNCTION("IF(OR(B121="""",A121=""""),"""",IFERROR(LET(data,GOOGLEFINANCE(""NSE:""&amp;UPPER(TRIM(B121)),""close"",A121-10,A121,""DAILY""),INDEX(data,ROWS(data),2)),""Not Available""))"),1821.8)</f>
        <v>1821.8</v>
      </c>
      <c r="D121" s="69">
        <f>IFERROR(__xludf.DUMMYFUNCTION("IF(B121="""","""",IFERROR(GOOGLEFINANCE(""NSE:""&amp;UPPER(TRIM(B121)),""price""),""Not Available""))"),2036.1)</f>
        <v>2036.1</v>
      </c>
      <c r="E121" s="87">
        <f t="shared" si="1"/>
        <v>0.1176309145</v>
      </c>
      <c r="F121" s="88"/>
      <c r="G121" s="69">
        <f t="shared" si="2"/>
        <v>98</v>
      </c>
      <c r="H121" s="88"/>
      <c r="I121" s="88"/>
      <c r="J121" s="88"/>
      <c r="K121" s="88"/>
      <c r="L121" s="88"/>
      <c r="M121" s="88"/>
      <c r="N121" s="69"/>
      <c r="O121" s="69"/>
      <c r="P121" s="69"/>
      <c r="Q121" s="69"/>
      <c r="R121" s="69"/>
      <c r="S121" s="69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>
      <c r="A122" s="57">
        <v>46190.0</v>
      </c>
      <c r="B122" s="59" t="s">
        <v>276</v>
      </c>
      <c r="C122" s="13">
        <f>IFERROR(__xludf.DUMMYFUNCTION("IF(OR(B122="""",A122=""""),"""",IFERROR(LET(data,GOOGLEFINANCE(""NSE:""&amp;UPPER(TRIM(B122)),""close"",A122-10,A122,""DAILY""),INDEX(data,ROWS(data),2)),""Not Available""))"),119.72)</f>
        <v>119.72</v>
      </c>
      <c r="D122" s="13">
        <f>IFERROR(__xludf.DUMMYFUNCTION("IF(B122="""","""",IFERROR(GOOGLEFINANCE(""NSE:""&amp;UPPER(TRIM(B122)),""price""),""Not Available""))"),91.74)</f>
        <v>91.74</v>
      </c>
      <c r="E122" s="64">
        <f t="shared" si="1"/>
        <v>-0.2337119947</v>
      </c>
      <c r="F122" s="66"/>
      <c r="G122" s="13">
        <f t="shared" si="2"/>
        <v>99</v>
      </c>
      <c r="H122" s="66"/>
      <c r="I122" s="66"/>
      <c r="J122" s="66"/>
      <c r="K122" s="66"/>
      <c r="L122" s="66"/>
      <c r="M122" s="66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>
      <c r="A123" s="57">
        <v>46189.0</v>
      </c>
      <c r="B123" s="196" t="s">
        <v>278</v>
      </c>
      <c r="C123" s="13">
        <f>IFERROR(__xludf.DUMMYFUNCTION("IF(OR(B123="""",A123=""""),"""",IFERROR(LET(data,GOOGLEFINANCE(""NSE:""&amp;UPPER(TRIM(B123)),""close"",A123-10,A123,""DAILY""),INDEX(data,ROWS(data),2)),""Not Available""))"),76.03)</f>
        <v>76.03</v>
      </c>
      <c r="D123" s="13">
        <f>IFERROR(__xludf.DUMMYFUNCTION("IF(B123="""","""",IFERROR(GOOGLEFINANCE(""NSE:""&amp;UPPER(TRIM(B123)),""price""),""Not Available""))"),77.43)</f>
        <v>77.43</v>
      </c>
      <c r="E123" s="64">
        <f t="shared" si="1"/>
        <v>0.01841378403</v>
      </c>
      <c r="F123" s="66"/>
      <c r="G123" s="13">
        <f t="shared" si="2"/>
        <v>100</v>
      </c>
      <c r="H123" s="66"/>
      <c r="I123" s="66"/>
      <c r="J123" s="66"/>
      <c r="K123" s="66"/>
      <c r="L123" s="66"/>
      <c r="M123" s="66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>
      <c r="A124" s="57">
        <v>46189.0</v>
      </c>
      <c r="B124" s="196" t="s">
        <v>280</v>
      </c>
      <c r="C124" s="13">
        <f>IFERROR(__xludf.DUMMYFUNCTION("IF(OR(B124="""",A124=""""),"""",IFERROR(LET(data,GOOGLEFINANCE(""NSE:""&amp;UPPER(TRIM(B124)),""close"",A124-10,A124,""DAILY""),INDEX(data,ROWS(data),2)),""Not Available""))"),132.61)</f>
        <v>132.61</v>
      </c>
      <c r="D124" s="13">
        <f>IFERROR(__xludf.DUMMYFUNCTION("IF(B124="""","""",IFERROR(GOOGLEFINANCE(""NSE:""&amp;UPPER(TRIM(B124)),""price""),""Not Available""))"),111.38)</f>
        <v>111.38</v>
      </c>
      <c r="E124" s="64">
        <f t="shared" si="1"/>
        <v>-0.1600935073</v>
      </c>
      <c r="F124" s="66"/>
      <c r="G124" s="13">
        <f t="shared" si="2"/>
        <v>100</v>
      </c>
      <c r="H124" s="66"/>
      <c r="I124" s="66"/>
      <c r="J124" s="66"/>
      <c r="K124" s="66"/>
      <c r="L124" s="66"/>
      <c r="M124" s="66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>
      <c r="A125" s="57">
        <v>46189.0</v>
      </c>
      <c r="B125" s="196" t="s">
        <v>282</v>
      </c>
      <c r="C125" s="13">
        <f>IFERROR(__xludf.DUMMYFUNCTION("IF(OR(B125="""",A125=""""),"""",IFERROR(LET(data,GOOGLEFINANCE(""NSE:""&amp;UPPER(TRIM(B125)),""close"",A125-10,A125,""DAILY""),INDEX(data,ROWS(data),2)),""Not Available""))"),201.75)</f>
        <v>201.75</v>
      </c>
      <c r="D125" s="13">
        <f>IFERROR(__xludf.DUMMYFUNCTION("IF(B125="""","""",IFERROR(GOOGLEFINANCE(""NSE:""&amp;UPPER(TRIM(B125)),""price""),""Not Available""))"),214.44)</f>
        <v>214.44</v>
      </c>
      <c r="E125" s="64">
        <f t="shared" si="1"/>
        <v>0.06289962825</v>
      </c>
      <c r="F125" s="66"/>
      <c r="G125" s="13">
        <f t="shared" si="2"/>
        <v>100</v>
      </c>
      <c r="H125" s="66"/>
      <c r="I125" s="66"/>
      <c r="J125" s="66"/>
      <c r="K125" s="66"/>
      <c r="L125" s="66"/>
      <c r="M125" s="66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>
      <c r="A126" s="57">
        <v>46185.0</v>
      </c>
      <c r="B126" s="196" t="s">
        <v>283</v>
      </c>
      <c r="C126" s="13">
        <f>IFERROR(__xludf.DUMMYFUNCTION("IF(OR(B126="""",A126=""""),"""",IFERROR(LET(data,GOOGLEFINANCE(""NSE:""&amp;UPPER(TRIM(B126)),""close"",A126-10,A126,""DAILY""),INDEX(data,ROWS(data),2)),""Not Available""))"),1356.3)</f>
        <v>1356.3</v>
      </c>
      <c r="D126" s="13">
        <f>IFERROR(__xludf.DUMMYFUNCTION("IF(B126="""","""",IFERROR(GOOGLEFINANCE(""NSE:""&amp;UPPER(TRIM(B126)),""price""),""Not Available""))"),1178.5)</f>
        <v>1178.5</v>
      </c>
      <c r="E126" s="64">
        <f t="shared" si="1"/>
        <v>-0.1310919413</v>
      </c>
      <c r="F126" s="66"/>
      <c r="G126" s="13">
        <f t="shared" si="2"/>
        <v>104</v>
      </c>
      <c r="H126" s="66"/>
      <c r="I126" s="66"/>
      <c r="J126" s="66"/>
      <c r="K126" s="66"/>
      <c r="L126" s="66"/>
      <c r="M126" s="66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>
      <c r="A127" s="57">
        <v>46185.0</v>
      </c>
      <c r="B127" s="196" t="s">
        <v>284</v>
      </c>
      <c r="C127" s="13">
        <f>IFERROR(__xludf.DUMMYFUNCTION("IF(OR(B127="""",A127=""""),"""",IFERROR(LET(data,GOOGLEFINANCE(""NSE:""&amp;UPPER(TRIM(B127)),""close"",A127-10,A127,""DAILY""),INDEX(data,ROWS(data),2)),""Not Available""))"),1353.8)</f>
        <v>1353.8</v>
      </c>
      <c r="D127" s="13">
        <f>IFERROR(__xludf.DUMMYFUNCTION("IF(B127="""","""",IFERROR(GOOGLEFINANCE(""NSE:""&amp;UPPER(TRIM(B127)),""price""),""Not Available""))"),1480.9)</f>
        <v>1480.9</v>
      </c>
      <c r="E127" s="64">
        <f t="shared" si="1"/>
        <v>0.09388388241</v>
      </c>
      <c r="F127" s="66"/>
      <c r="G127" s="13">
        <f t="shared" si="2"/>
        <v>104</v>
      </c>
      <c r="H127" s="66"/>
      <c r="I127" s="66"/>
      <c r="J127" s="66"/>
      <c r="K127" s="66"/>
      <c r="L127" s="66"/>
      <c r="M127" s="66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>
      <c r="A128" s="57">
        <v>46185.0</v>
      </c>
      <c r="B128" s="196" t="s">
        <v>285</v>
      </c>
      <c r="C128" s="13">
        <f>IFERROR(__xludf.DUMMYFUNCTION("IF(OR(B128="""",A128=""""),"""",IFERROR(LET(data,GOOGLEFINANCE(""NSE:""&amp;UPPER(TRIM(B128)),""close"",A128-10,A128,""DAILY""),INDEX(data,ROWS(data),2)),""Not Available""))"),159.45)</f>
        <v>159.45</v>
      </c>
      <c r="D128" s="13">
        <f>IFERROR(__xludf.DUMMYFUNCTION("IF(B128="""","""",IFERROR(GOOGLEFINANCE(""NSE:""&amp;UPPER(TRIM(B128)),""price""),""Not Available""))"),184.52)</f>
        <v>184.52</v>
      </c>
      <c r="E128" s="64">
        <f t="shared" si="1"/>
        <v>0.1572279712</v>
      </c>
      <c r="F128" s="66"/>
      <c r="G128" s="13">
        <f t="shared" si="2"/>
        <v>104</v>
      </c>
      <c r="H128" s="66"/>
      <c r="I128" s="66"/>
      <c r="J128" s="66"/>
      <c r="K128" s="66"/>
      <c r="L128" s="66"/>
      <c r="M128" s="66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>
      <c r="A129" s="57">
        <v>46184.0</v>
      </c>
      <c r="B129" s="196" t="s">
        <v>286</v>
      </c>
      <c r="C129" s="13">
        <f>IFERROR(__xludf.DUMMYFUNCTION("IF(OR(B129="""",A129=""""),"""",IFERROR(LET(data,GOOGLEFINANCE(""NSE:""&amp;UPPER(TRIM(B129)),""close"",A129-10,A129,""DAILY""),INDEX(data,ROWS(data),2)),""Not Available""))"),94.45)</f>
        <v>94.45</v>
      </c>
      <c r="D129" s="13">
        <f>IFERROR(__xludf.DUMMYFUNCTION("IF(B129="""","""",IFERROR(GOOGLEFINANCE(""NSE:""&amp;UPPER(TRIM(B129)),""price""),""Not Available""))"),88.0)</f>
        <v>88</v>
      </c>
      <c r="E129" s="64">
        <f t="shared" si="1"/>
        <v>-0.06829010058</v>
      </c>
      <c r="F129" s="66"/>
      <c r="G129" s="13">
        <f t="shared" si="2"/>
        <v>105</v>
      </c>
      <c r="H129" s="66"/>
      <c r="I129" s="66"/>
      <c r="J129" s="66"/>
      <c r="K129" s="66"/>
      <c r="L129" s="66"/>
      <c r="M129" s="66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>
      <c r="A130" s="57">
        <v>46184.0</v>
      </c>
      <c r="B130" s="196" t="s">
        <v>288</v>
      </c>
      <c r="C130" s="13">
        <f>IFERROR(__xludf.DUMMYFUNCTION("IF(OR(B130="""",A130=""""),"""",IFERROR(LET(data,GOOGLEFINANCE(""NSE:""&amp;UPPER(TRIM(B130)),""close"",A130-10,A130,""DAILY""),INDEX(data,ROWS(data),2)),""Not Available""))"),25.3)</f>
        <v>25.3</v>
      </c>
      <c r="D130" s="13">
        <f>IFERROR(__xludf.DUMMYFUNCTION("IF(B130="""","""",IFERROR(GOOGLEFINANCE(""NSE:""&amp;UPPER(TRIM(B130)),""price""),""Not Available""))"),14.86)</f>
        <v>14.86</v>
      </c>
      <c r="E130" s="64">
        <f t="shared" si="1"/>
        <v>-0.4126482213</v>
      </c>
      <c r="F130" s="66"/>
      <c r="G130" s="13">
        <f t="shared" si="2"/>
        <v>105</v>
      </c>
      <c r="H130" s="66"/>
      <c r="I130" s="66"/>
      <c r="J130" s="66"/>
      <c r="K130" s="66"/>
      <c r="L130" s="66"/>
      <c r="M130" s="66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>
      <c r="A131" s="57">
        <v>46184.0</v>
      </c>
      <c r="B131" s="196" t="s">
        <v>289</v>
      </c>
      <c r="C131" s="13">
        <f>IFERROR(__xludf.DUMMYFUNCTION("IF(OR(B131="""",A131=""""),"""",IFERROR(LET(data,GOOGLEFINANCE(""NSE:""&amp;UPPER(TRIM(B131)),""close"",A131-10,A131,""DAILY""),INDEX(data,ROWS(data),2)),""Not Available""))"),573.05)</f>
        <v>573.05</v>
      </c>
      <c r="D131" s="13">
        <f>IFERROR(__xludf.DUMMYFUNCTION("IF(B131="""","""",IFERROR(GOOGLEFINANCE(""NSE:""&amp;UPPER(TRIM(B131)),""price""),""Not Available""))"),895.6)</f>
        <v>895.6</v>
      </c>
      <c r="E131" s="64">
        <f t="shared" si="1"/>
        <v>0.5628653695</v>
      </c>
      <c r="F131" s="66"/>
      <c r="G131" s="13">
        <f t="shared" si="2"/>
        <v>105</v>
      </c>
      <c r="H131" s="66"/>
      <c r="I131" s="66"/>
      <c r="J131" s="66"/>
      <c r="K131" s="66"/>
      <c r="L131" s="66"/>
      <c r="M131" s="6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>
      <c r="A132" s="57">
        <v>46184.0</v>
      </c>
      <c r="B132" s="196" t="s">
        <v>290</v>
      </c>
      <c r="C132" s="13">
        <f>IFERROR(__xludf.DUMMYFUNCTION("IF(OR(B132="""",A132=""""),"""",IFERROR(LET(data,GOOGLEFINANCE(""NSE:""&amp;UPPER(TRIM(B132)),""close"",A132-10,A132,""DAILY""),INDEX(data,ROWS(data),2)),""Not Available""))"),355.75)</f>
        <v>355.75</v>
      </c>
      <c r="D132" s="13">
        <f>IFERROR(__xludf.DUMMYFUNCTION("IF(B132="""","""",IFERROR(GOOGLEFINANCE(""NSE:""&amp;UPPER(TRIM(B132)),""price""),""Not Available""))"),513.0)</f>
        <v>513</v>
      </c>
      <c r="E132" s="64">
        <f t="shared" si="1"/>
        <v>0.4420238932</v>
      </c>
      <c r="F132" s="66"/>
      <c r="G132" s="13">
        <f t="shared" si="2"/>
        <v>105</v>
      </c>
      <c r="H132" s="66"/>
      <c r="I132" s="66"/>
      <c r="J132" s="66"/>
      <c r="K132" s="66"/>
      <c r="L132" s="66"/>
      <c r="M132" s="66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>
      <c r="A133" s="57">
        <v>46184.0</v>
      </c>
      <c r="B133" s="196" t="s">
        <v>291</v>
      </c>
      <c r="C133" s="13">
        <f>IFERROR(__xludf.DUMMYFUNCTION("IF(OR(B133="""",A133=""""),"""",IFERROR(LET(data,GOOGLEFINANCE(""NSE:""&amp;UPPER(TRIM(B133)),""close"",A133-10,A133,""DAILY""),INDEX(data,ROWS(data),2)),""Not Available""))"),39.8)</f>
        <v>39.8</v>
      </c>
      <c r="D133" s="13">
        <f>IFERROR(__xludf.DUMMYFUNCTION("IF(B133="""","""",IFERROR(GOOGLEFINANCE(""NSE:""&amp;UPPER(TRIM(B133)),""price""),""Not Available""))"),78.15)</f>
        <v>78.15</v>
      </c>
      <c r="E133" s="64">
        <f t="shared" si="1"/>
        <v>0.9635678392</v>
      </c>
      <c r="F133" s="66"/>
      <c r="G133" s="13">
        <f t="shared" si="2"/>
        <v>105</v>
      </c>
      <c r="H133" s="66"/>
      <c r="I133" s="66"/>
      <c r="J133" s="66"/>
      <c r="K133" s="66"/>
      <c r="L133" s="66"/>
      <c r="M133" s="66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>
      <c r="A134" s="57">
        <v>46180.0</v>
      </c>
      <c r="B134" s="196" t="s">
        <v>293</v>
      </c>
      <c r="C134" s="13">
        <f>IFERROR(__xludf.DUMMYFUNCTION("IF(OR(B134="""",A134=""""),"""",IFERROR(LET(data,GOOGLEFINANCE(""NSE:""&amp;UPPER(TRIM(B134)),""close"",A134-10,A134,""DAILY""),INDEX(data,ROWS(data),2)),""Not Available""))"),562.25)</f>
        <v>562.25</v>
      </c>
      <c r="D134" s="13">
        <f>IFERROR(__xludf.DUMMYFUNCTION("IF(B134="""","""",IFERROR(GOOGLEFINANCE(""NSE:""&amp;UPPER(TRIM(B134)),""price""),""Not Available""))"),586.0)</f>
        <v>586</v>
      </c>
      <c r="E134" s="64">
        <f t="shared" si="1"/>
        <v>0.042240996</v>
      </c>
      <c r="F134" s="66"/>
      <c r="G134" s="13">
        <f t="shared" si="2"/>
        <v>109</v>
      </c>
      <c r="H134" s="66"/>
      <c r="I134" s="66"/>
      <c r="J134" s="66"/>
      <c r="K134" s="66"/>
      <c r="L134" s="66"/>
      <c r="M134" s="66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>
      <c r="A135" s="57">
        <v>46180.0</v>
      </c>
      <c r="B135" s="196" t="s">
        <v>294</v>
      </c>
      <c r="C135" s="13">
        <f>IFERROR(__xludf.DUMMYFUNCTION("IF(OR(B135="""",A135=""""),"""",IFERROR(LET(data,GOOGLEFINANCE(""NSE:""&amp;UPPER(TRIM(B135)),""close"",A135-10,A135,""DAILY""),INDEX(data,ROWS(data),2)),""Not Available""))"),917.4)</f>
        <v>917.4</v>
      </c>
      <c r="D135" s="13">
        <f>IFERROR(__xludf.DUMMYFUNCTION("IF(B135="""","""",IFERROR(GOOGLEFINANCE(""NSE:""&amp;UPPER(TRIM(B135)),""price""),""Not Available""))"),908.25)</f>
        <v>908.25</v>
      </c>
      <c r="E135" s="64">
        <f t="shared" si="1"/>
        <v>-0.009973839111</v>
      </c>
      <c r="F135" s="66"/>
      <c r="G135" s="13">
        <f t="shared" si="2"/>
        <v>109</v>
      </c>
      <c r="H135" s="66"/>
      <c r="I135" s="66"/>
      <c r="J135" s="66"/>
      <c r="K135" s="66"/>
      <c r="L135" s="66"/>
      <c r="M135" s="66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>
      <c r="A136" s="57">
        <v>46178.0</v>
      </c>
      <c r="B136" s="196" t="s">
        <v>296</v>
      </c>
      <c r="C136" s="13">
        <f>IFERROR(__xludf.DUMMYFUNCTION("IF(OR(B136="""",A136=""""),"""",IFERROR(LET(data,GOOGLEFINANCE(""NSE:""&amp;UPPER(TRIM(B136)),""close"",A136-10,A136,""DAILY""),INDEX(data,ROWS(data),2)),""Not Available""))"),417.05)</f>
        <v>417.05</v>
      </c>
      <c r="D136" s="13">
        <f>IFERROR(__xludf.DUMMYFUNCTION("IF(B136="""","""",IFERROR(GOOGLEFINANCE(""NSE:""&amp;UPPER(TRIM(B136)),""price""),""Not Available""))"),418.75)</f>
        <v>418.75</v>
      </c>
      <c r="E136" s="64">
        <f t="shared" si="1"/>
        <v>0.00407624985</v>
      </c>
      <c r="F136" s="66"/>
      <c r="G136" s="13">
        <f t="shared" si="2"/>
        <v>111</v>
      </c>
      <c r="H136" s="66"/>
      <c r="I136" s="66"/>
      <c r="J136" s="66"/>
      <c r="K136" s="66"/>
      <c r="L136" s="66"/>
      <c r="M136" s="66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>
      <c r="A137" s="57">
        <v>46178.0</v>
      </c>
      <c r="B137" s="196" t="s">
        <v>297</v>
      </c>
      <c r="C137" s="13">
        <f>IFERROR(__xludf.DUMMYFUNCTION("IF(OR(B137="""",A137=""""),"""",IFERROR(LET(data,GOOGLEFINANCE(""NSE:""&amp;UPPER(TRIM(B137)),""close"",A137-10,A137,""DAILY""),INDEX(data,ROWS(data),2)),""Not Available""))"),512.35)</f>
        <v>512.35</v>
      </c>
      <c r="D137" s="13">
        <f>IFERROR(__xludf.DUMMYFUNCTION("IF(B137="""","""",IFERROR(GOOGLEFINANCE(""NSE:""&amp;UPPER(TRIM(B137)),""price""),""Not Available""))"),742.15)</f>
        <v>742.15</v>
      </c>
      <c r="E137" s="64">
        <f t="shared" si="1"/>
        <v>0.4485215185</v>
      </c>
      <c r="F137" s="66"/>
      <c r="G137" s="13">
        <f t="shared" si="2"/>
        <v>111</v>
      </c>
      <c r="H137" s="66"/>
      <c r="I137" s="66"/>
      <c r="J137" s="66"/>
      <c r="K137" s="66"/>
      <c r="L137" s="66"/>
      <c r="M137" s="66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>
      <c r="A138" s="57">
        <v>46178.0</v>
      </c>
      <c r="B138" s="196" t="s">
        <v>299</v>
      </c>
      <c r="C138" s="13">
        <f>IFERROR(__xludf.DUMMYFUNCTION("IF(OR(B138="""",A138=""""),"""",IFERROR(LET(data,GOOGLEFINANCE(""NSE:""&amp;UPPER(TRIM(B138)),""close"",A138-10,A138,""DAILY""),INDEX(data,ROWS(data),2)),""Not Available""))"),2043.3)</f>
        <v>2043.3</v>
      </c>
      <c r="D138" s="13">
        <f>IFERROR(__xludf.DUMMYFUNCTION("IF(B138="""","""",IFERROR(GOOGLEFINANCE(""NSE:""&amp;UPPER(TRIM(B138)),""price""),""Not Available""))"),2224.4)</f>
        <v>2224.4</v>
      </c>
      <c r="E138" s="64">
        <f t="shared" si="1"/>
        <v>0.08863113591</v>
      </c>
      <c r="F138" s="66"/>
      <c r="G138" s="13">
        <f t="shared" si="2"/>
        <v>111</v>
      </c>
      <c r="H138" s="66"/>
      <c r="I138" s="66"/>
      <c r="J138" s="66"/>
      <c r="K138" s="66"/>
      <c r="L138" s="66"/>
      <c r="M138" s="66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>
      <c r="A139" s="57">
        <v>46178.0</v>
      </c>
      <c r="B139" s="196" t="s">
        <v>300</v>
      </c>
      <c r="C139" s="13">
        <f>IFERROR(__xludf.DUMMYFUNCTION("IF(OR(B139="""",A139=""""),"""",IFERROR(LET(data,GOOGLEFINANCE(""NSE:""&amp;UPPER(TRIM(B139)),""close"",A139-10,A139,""DAILY""),INDEX(data,ROWS(data),2)),""Not Available""))"),540.2)</f>
        <v>540.2</v>
      </c>
      <c r="D139" s="13">
        <f>IFERROR(__xludf.DUMMYFUNCTION("IF(B139="""","""",IFERROR(GOOGLEFINANCE(""NSE:""&amp;UPPER(TRIM(B139)),""price""),""Not Available""))"),374.65)</f>
        <v>374.65</v>
      </c>
      <c r="E139" s="64">
        <f t="shared" si="1"/>
        <v>-0.3064605702</v>
      </c>
      <c r="F139" s="66"/>
      <c r="G139" s="13">
        <f t="shared" si="2"/>
        <v>111</v>
      </c>
      <c r="H139" s="66"/>
      <c r="I139" s="66"/>
      <c r="J139" s="66"/>
      <c r="K139" s="66"/>
      <c r="L139" s="66"/>
      <c r="M139" s="66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>
      <c r="A140" s="57">
        <v>46178.0</v>
      </c>
      <c r="B140" s="196" t="s">
        <v>302</v>
      </c>
      <c r="C140" s="13">
        <f>IFERROR(__xludf.DUMMYFUNCTION("IF(OR(B140="""",A140=""""),"""",IFERROR(LET(data,GOOGLEFINANCE(""NSE:""&amp;UPPER(TRIM(B140)),""close"",A140-10,A140,""DAILY""),INDEX(data,ROWS(data),2)),""Not Available""))"),5351.9)</f>
        <v>5351.9</v>
      </c>
      <c r="D140" s="13">
        <f>IFERROR(__xludf.DUMMYFUNCTION("IF(B140="""","""",IFERROR(GOOGLEFINANCE(""NSE:""&amp;UPPER(TRIM(B140)),""price""),""Not Available""))"),5106.0)</f>
        <v>5106</v>
      </c>
      <c r="E140" s="64">
        <f t="shared" si="1"/>
        <v>-0.04594629945</v>
      </c>
      <c r="F140" s="66"/>
      <c r="G140" s="13">
        <f t="shared" si="2"/>
        <v>111</v>
      </c>
      <c r="H140" s="66"/>
      <c r="I140" s="66"/>
      <c r="J140" s="66"/>
      <c r="K140" s="66"/>
      <c r="L140" s="66"/>
      <c r="M140" s="66"/>
      <c r="N140" s="13"/>
      <c r="O140" s="13"/>
      <c r="P140" s="13"/>
      <c r="Q140" s="13"/>
      <c r="R140" s="13"/>
      <c r="S140" s="13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</row>
    <row r="141">
      <c r="A141" s="57">
        <v>46178.0</v>
      </c>
      <c r="B141" s="196" t="s">
        <v>303</v>
      </c>
      <c r="C141" s="13">
        <f>IFERROR(__xludf.DUMMYFUNCTION("IF(OR(B141="""",A141=""""),"""",IFERROR(LET(data,GOOGLEFINANCE(""NSE:""&amp;UPPER(TRIM(B141)),""close"",A141-10,A141,""DAILY""),INDEX(data,ROWS(data),2)),""Not Available""))"),24.02)</f>
        <v>24.02</v>
      </c>
      <c r="D141" s="13">
        <f>IFERROR(__xludf.DUMMYFUNCTION("IF(B141="""","""",IFERROR(GOOGLEFINANCE(""NSE:""&amp;UPPER(TRIM(B141)),""price""),""Not Available""))"),21.6)</f>
        <v>21.6</v>
      </c>
      <c r="E141" s="64">
        <f t="shared" si="1"/>
        <v>-0.1007493755</v>
      </c>
      <c r="F141" s="66"/>
      <c r="G141" s="13">
        <f t="shared" si="2"/>
        <v>111</v>
      </c>
      <c r="H141" s="66"/>
      <c r="I141" s="66"/>
      <c r="J141" s="66"/>
      <c r="K141" s="66"/>
      <c r="L141" s="66"/>
      <c r="M141" s="66"/>
      <c r="N141" s="13"/>
      <c r="O141" s="13"/>
      <c r="P141" s="13"/>
      <c r="Q141" s="13"/>
      <c r="R141" s="13"/>
      <c r="S141" s="13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</row>
    <row r="142">
      <c r="A142" s="85">
        <v>46176.0</v>
      </c>
      <c r="B142" s="198" t="s">
        <v>299</v>
      </c>
      <c r="C142" s="69">
        <f>IFERROR(__xludf.DUMMYFUNCTION("IF(OR(B142="""",A142=""""),"""",IFERROR(LET(data,GOOGLEFINANCE(""NSE:""&amp;UPPER(TRIM(B142)),""close"",A142-10,A142,""DAILY""),INDEX(data,ROWS(data),2)),""Not Available""))"),2122.2)</f>
        <v>2122.2</v>
      </c>
      <c r="D142" s="69">
        <f>IFERROR(__xludf.DUMMYFUNCTION("IF(B142="""","""",IFERROR(GOOGLEFINANCE(""NSE:""&amp;UPPER(TRIM(B142)),""price""),""Not Available""))"),2224.4)</f>
        <v>2224.4</v>
      </c>
      <c r="E142" s="87">
        <f t="shared" si="1"/>
        <v>0.04815757233</v>
      </c>
      <c r="F142" s="88"/>
      <c r="G142" s="69">
        <f t="shared" si="2"/>
        <v>113</v>
      </c>
      <c r="H142" s="88"/>
      <c r="I142" s="88"/>
      <c r="J142" s="88"/>
      <c r="K142" s="88"/>
      <c r="L142" s="88"/>
      <c r="M142" s="88"/>
      <c r="N142" s="69"/>
      <c r="O142" s="69"/>
      <c r="P142" s="69"/>
      <c r="Q142" s="69"/>
      <c r="R142" s="69"/>
      <c r="S142" s="69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>
      <c r="A143" s="57">
        <v>46176.0</v>
      </c>
      <c r="B143" s="196" t="s">
        <v>305</v>
      </c>
      <c r="C143" s="13">
        <f>IFERROR(__xludf.DUMMYFUNCTION("IF(OR(B143="""",A143=""""),"""",IFERROR(LET(data,GOOGLEFINANCE(""NSE:""&amp;UPPER(TRIM(B143)),""close"",A143-10,A143,""DAILY""),INDEX(data,ROWS(data),2)),""Not Available""))"),329.05)</f>
        <v>329.05</v>
      </c>
      <c r="D143" s="13">
        <f>IFERROR(__xludf.DUMMYFUNCTION("IF(B143="""","""",IFERROR(GOOGLEFINANCE(""NSE:""&amp;UPPER(TRIM(B143)),""price""),""Not Available""))"),444.85)</f>
        <v>444.85</v>
      </c>
      <c r="E143" s="64">
        <f t="shared" si="1"/>
        <v>0.3519222003</v>
      </c>
      <c r="F143" s="66"/>
      <c r="G143" s="13">
        <f t="shared" si="2"/>
        <v>113</v>
      </c>
      <c r="H143" s="66"/>
      <c r="I143" s="66"/>
      <c r="J143" s="66"/>
      <c r="K143" s="66"/>
      <c r="L143" s="66"/>
      <c r="M143" s="66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>
      <c r="A144" s="57">
        <v>46176.0</v>
      </c>
      <c r="B144" s="196" t="s">
        <v>306</v>
      </c>
      <c r="C144" s="13">
        <f>IFERROR(__xludf.DUMMYFUNCTION("IF(OR(B144="""",A144=""""),"""",IFERROR(LET(data,GOOGLEFINANCE(""NSE:""&amp;UPPER(TRIM(B144)),""close"",A144-10,A144,""DAILY""),INDEX(data,ROWS(data),2)),""Not Available""))"),344.65)</f>
        <v>344.65</v>
      </c>
      <c r="D144" s="13">
        <f>IFERROR(__xludf.DUMMYFUNCTION("IF(B144="""","""",IFERROR(GOOGLEFINANCE(""NSE:""&amp;UPPER(TRIM(B144)),""price""),""Not Available""))"),452.0)</f>
        <v>452</v>
      </c>
      <c r="E144" s="64">
        <f t="shared" si="1"/>
        <v>0.3114754098</v>
      </c>
      <c r="F144" s="66"/>
      <c r="G144" s="13">
        <f t="shared" si="2"/>
        <v>113</v>
      </c>
      <c r="H144" s="66"/>
      <c r="I144" s="66"/>
      <c r="J144" s="66"/>
      <c r="K144" s="66"/>
      <c r="L144" s="66"/>
      <c r="M144" s="66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>
      <c r="A145" s="57">
        <v>46175.0</v>
      </c>
      <c r="B145" s="196" t="s">
        <v>307</v>
      </c>
      <c r="C145" s="13">
        <f>IFERROR(__xludf.DUMMYFUNCTION("IF(OR(B145="""",A145=""""),"""",IFERROR(LET(data,GOOGLEFINANCE(""NSE:""&amp;UPPER(TRIM(B145)),""close"",A145-10,A145,""DAILY""),INDEX(data,ROWS(data),2)),""Not Available""))"),776.9)</f>
        <v>776.9</v>
      </c>
      <c r="D145" s="13">
        <f>IFERROR(__xludf.DUMMYFUNCTION("IF(B145="""","""",IFERROR(GOOGLEFINANCE(""NSE:""&amp;UPPER(TRIM(B145)),""price""),""Not Available""))"),1155.4)</f>
        <v>1155.4</v>
      </c>
      <c r="E145" s="64">
        <f t="shared" si="1"/>
        <v>0.4871926889</v>
      </c>
      <c r="F145" s="66"/>
      <c r="G145" s="13">
        <f t="shared" si="2"/>
        <v>114</v>
      </c>
      <c r="H145" s="66"/>
      <c r="I145" s="66"/>
      <c r="J145" s="66"/>
      <c r="K145" s="66"/>
      <c r="L145" s="66"/>
      <c r="M145" s="66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>
      <c r="A146" s="57">
        <v>46175.0</v>
      </c>
      <c r="B146" s="196" t="s">
        <v>308</v>
      </c>
      <c r="C146" s="13">
        <f>IFERROR(__xludf.DUMMYFUNCTION("IF(OR(B146="""",A146=""""),"""",IFERROR(LET(data,GOOGLEFINANCE(""NSE:""&amp;UPPER(TRIM(B146)),""close"",A146-10,A146,""DAILY""),INDEX(data,ROWS(data),2)),""Not Available""))"),1827.1)</f>
        <v>1827.1</v>
      </c>
      <c r="D146" s="13">
        <f>IFERROR(__xludf.DUMMYFUNCTION("IF(B146="""","""",IFERROR(GOOGLEFINANCE(""NSE:""&amp;UPPER(TRIM(B146)),""price""),""Not Available""))"),2058.0)</f>
        <v>2058</v>
      </c>
      <c r="E146" s="64">
        <f t="shared" si="1"/>
        <v>0.12637513</v>
      </c>
      <c r="F146" s="66"/>
      <c r="G146" s="13">
        <f t="shared" si="2"/>
        <v>114</v>
      </c>
      <c r="H146" s="66"/>
      <c r="I146" s="66"/>
      <c r="J146" s="66"/>
      <c r="K146" s="66"/>
      <c r="L146" s="66"/>
      <c r="M146" s="66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>
      <c r="A147" s="57">
        <v>46175.0</v>
      </c>
      <c r="B147" s="196" t="s">
        <v>309</v>
      </c>
      <c r="C147" s="13">
        <f>IFERROR(__xludf.DUMMYFUNCTION("IF(OR(B147="""",A147=""""),"""",IFERROR(LET(data,GOOGLEFINANCE(""NSE:""&amp;UPPER(TRIM(B147)),""close"",A147-10,A147,""DAILY""),INDEX(data,ROWS(data),2)),""Not Available""))"),501.4)</f>
        <v>501.4</v>
      </c>
      <c r="D147" s="13">
        <f>IFERROR(__xludf.DUMMYFUNCTION("IF(B147="""","""",IFERROR(GOOGLEFINANCE(""NSE:""&amp;UPPER(TRIM(B147)),""price""),""Not Available""))"),509.2)</f>
        <v>509.2</v>
      </c>
      <c r="E147" s="64">
        <f t="shared" si="1"/>
        <v>0.01555644196</v>
      </c>
      <c r="F147" s="66"/>
      <c r="G147" s="13">
        <f t="shared" si="2"/>
        <v>114</v>
      </c>
      <c r="H147" s="66"/>
      <c r="I147" s="66"/>
      <c r="J147" s="66"/>
      <c r="K147" s="66"/>
      <c r="L147" s="66"/>
      <c r="M147" s="66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>
      <c r="A148" s="57">
        <v>46171.0</v>
      </c>
      <c r="B148" s="196" t="s">
        <v>310</v>
      </c>
      <c r="C148" s="13">
        <f>IFERROR(__xludf.DUMMYFUNCTION("IF(OR(B148="""",A148=""""),"""",IFERROR(LET(data,GOOGLEFINANCE(""NSE:""&amp;UPPER(TRIM(B148)),""close"",A148-10,A148,""DAILY""),INDEX(data,ROWS(data),2)),""Not Available""))"),573.45)</f>
        <v>573.45</v>
      </c>
      <c r="D148" s="13">
        <f>IFERROR(__xludf.DUMMYFUNCTION("IF(B148="""","""",IFERROR(GOOGLEFINANCE(""NSE:""&amp;UPPER(TRIM(B148)),""price""),""Not Available""))"),607.55)</f>
        <v>607.55</v>
      </c>
      <c r="E148" s="64">
        <f t="shared" si="1"/>
        <v>0.05946464382</v>
      </c>
      <c r="F148" s="66"/>
      <c r="G148" s="13">
        <f t="shared" si="2"/>
        <v>118</v>
      </c>
      <c r="H148" s="66"/>
      <c r="I148" s="66"/>
      <c r="J148" s="66"/>
      <c r="K148" s="66"/>
      <c r="L148" s="66"/>
      <c r="M148" s="66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>
      <c r="A149" s="57">
        <v>46171.0</v>
      </c>
      <c r="B149" s="196" t="s">
        <v>311</v>
      </c>
      <c r="C149" s="13">
        <f>IFERROR(__xludf.DUMMYFUNCTION("IF(OR(B149="""",A149=""""),"""",IFERROR(LET(data,GOOGLEFINANCE(""NSE:""&amp;UPPER(TRIM(B149)),""close"",A149-10,A149,""DAILY""),INDEX(data,ROWS(data),2)),""Not Available""))"),386.5)</f>
        <v>386.5</v>
      </c>
      <c r="D149" s="13">
        <f>IFERROR(__xludf.DUMMYFUNCTION("IF(B149="""","""",IFERROR(GOOGLEFINANCE(""NSE:""&amp;UPPER(TRIM(B149)),""price""),""Not Available""))"),426.75)</f>
        <v>426.75</v>
      </c>
      <c r="E149" s="64">
        <f t="shared" si="1"/>
        <v>0.1041397154</v>
      </c>
      <c r="F149" s="66"/>
      <c r="G149" s="13">
        <f t="shared" si="2"/>
        <v>118</v>
      </c>
      <c r="H149" s="66"/>
      <c r="I149" s="66"/>
      <c r="J149" s="66"/>
      <c r="K149" s="66"/>
      <c r="L149" s="66"/>
      <c r="M149" s="66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>
      <c r="A150" s="57">
        <v>46171.0</v>
      </c>
      <c r="B150" s="196" t="s">
        <v>312</v>
      </c>
      <c r="C150" s="13">
        <f>IFERROR(__xludf.DUMMYFUNCTION("IF(OR(B150="""",A150=""""),"""",IFERROR(LET(data,GOOGLEFINANCE(""NSE:""&amp;UPPER(TRIM(B150)),""close"",A150-10,A150,""DAILY""),INDEX(data,ROWS(data),2)),""Not Available""))"),2056.3)</f>
        <v>2056.3</v>
      </c>
      <c r="D150" s="13">
        <f>IFERROR(__xludf.DUMMYFUNCTION("IF(B150="""","""",IFERROR(GOOGLEFINANCE(""NSE:""&amp;UPPER(TRIM(B150)),""price""),""Not Available""))"),2507.0)</f>
        <v>2507</v>
      </c>
      <c r="E150" s="64">
        <f t="shared" si="1"/>
        <v>0.2191800807</v>
      </c>
      <c r="F150" s="66"/>
      <c r="G150" s="13">
        <f t="shared" si="2"/>
        <v>118</v>
      </c>
      <c r="H150" s="66"/>
      <c r="I150" s="66"/>
      <c r="J150" s="66"/>
      <c r="K150" s="66"/>
      <c r="L150" s="66"/>
      <c r="M150" s="66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>
      <c r="A151" s="57">
        <v>46171.0</v>
      </c>
      <c r="B151" s="196" t="s">
        <v>313</v>
      </c>
      <c r="C151" s="13">
        <f>IFERROR(__xludf.DUMMYFUNCTION("IF(OR(B151="""",A151=""""),"""",IFERROR(LET(data,GOOGLEFINANCE(""NSE:""&amp;UPPER(TRIM(B151)),""close"",A151-10,A151,""DAILY""),INDEX(data,ROWS(data),2)),""Not Available""))"),2937.4)</f>
        <v>2937.4</v>
      </c>
      <c r="D151" s="13">
        <f>IFERROR(__xludf.DUMMYFUNCTION("IF(B151="""","""",IFERROR(GOOGLEFINANCE(""NSE:""&amp;UPPER(TRIM(B151)),""price""),""Not Available""))"),2910.7)</f>
        <v>2910.7</v>
      </c>
      <c r="E151" s="64">
        <f t="shared" si="1"/>
        <v>-0.009089671138</v>
      </c>
      <c r="F151" s="66"/>
      <c r="G151" s="13">
        <f t="shared" si="2"/>
        <v>118</v>
      </c>
      <c r="H151" s="66"/>
      <c r="I151" s="66"/>
      <c r="J151" s="66"/>
      <c r="K151" s="66"/>
      <c r="L151" s="66"/>
      <c r="M151" s="66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>
      <c r="A152" s="57">
        <v>46171.0</v>
      </c>
      <c r="B152" s="196" t="s">
        <v>315</v>
      </c>
      <c r="C152" s="13">
        <f>IFERROR(__xludf.DUMMYFUNCTION("IF(OR(B152="""",A152=""""),"""",IFERROR(LET(data,GOOGLEFINANCE(""NSE:""&amp;UPPER(TRIM(B152)),""close"",A152-10,A152,""DAILY""),INDEX(data,ROWS(data),2)),""Not Available""))"),549.35)</f>
        <v>549.35</v>
      </c>
      <c r="D152" s="13">
        <f>IFERROR(__xludf.DUMMYFUNCTION("IF(B152="""","""",IFERROR(GOOGLEFINANCE(""NSE:""&amp;UPPER(TRIM(B152)),""price""),""Not Available""))"),551.45)</f>
        <v>551.45</v>
      </c>
      <c r="E152" s="64">
        <f t="shared" si="1"/>
        <v>0.003822699554</v>
      </c>
      <c r="F152" s="66"/>
      <c r="G152" s="13">
        <f t="shared" si="2"/>
        <v>118</v>
      </c>
      <c r="H152" s="66"/>
      <c r="I152" s="66"/>
      <c r="J152" s="66"/>
      <c r="K152" s="66"/>
      <c r="L152" s="66"/>
      <c r="M152" s="66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>
      <c r="A153" s="57">
        <v>46171.0</v>
      </c>
      <c r="B153" s="196" t="s">
        <v>316</v>
      </c>
      <c r="C153" s="13">
        <f>IFERROR(__xludf.DUMMYFUNCTION("IF(OR(B153="""",A153=""""),"""",IFERROR(LET(data,GOOGLEFINANCE(""NSE:""&amp;UPPER(TRIM(B153)),""close"",A153-10,A153,""DAILY""),INDEX(data,ROWS(data),2)),""Not Available""))"),595.05)</f>
        <v>595.05</v>
      </c>
      <c r="D153" s="13">
        <f>IFERROR(__xludf.DUMMYFUNCTION("IF(B153="""","""",IFERROR(GOOGLEFINANCE(""NSE:""&amp;UPPER(TRIM(B153)),""price""),""Not Available""))"),508.85)</f>
        <v>508.85</v>
      </c>
      <c r="E153" s="64">
        <f t="shared" si="1"/>
        <v>-0.1448617763</v>
      </c>
      <c r="F153" s="66"/>
      <c r="G153" s="13">
        <f t="shared" si="2"/>
        <v>118</v>
      </c>
      <c r="H153" s="66"/>
      <c r="I153" s="66"/>
      <c r="J153" s="66"/>
      <c r="K153" s="66"/>
      <c r="L153" s="66"/>
      <c r="M153" s="66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>
      <c r="A154" s="57">
        <v>46171.0</v>
      </c>
      <c r="B154" s="196" t="s">
        <v>318</v>
      </c>
      <c r="C154" s="13">
        <f>IFERROR(__xludf.DUMMYFUNCTION("IF(OR(B154="""",A154=""""),"""",IFERROR(LET(data,GOOGLEFINANCE(""NSE:""&amp;UPPER(TRIM(B154)),""close"",A154-10,A154,""DAILY""),INDEX(data,ROWS(data),2)),""Not Available""))"),367.45)</f>
        <v>367.45</v>
      </c>
      <c r="D154" s="13">
        <f>IFERROR(__xludf.DUMMYFUNCTION("IF(B154="""","""",IFERROR(GOOGLEFINANCE(""NSE:""&amp;UPPER(TRIM(B154)),""price""),""Not Available""))"),380.95)</f>
        <v>380.95</v>
      </c>
      <c r="E154" s="64">
        <f t="shared" si="1"/>
        <v>0.03673969248</v>
      </c>
      <c r="F154" s="66"/>
      <c r="G154" s="13">
        <f t="shared" si="2"/>
        <v>118</v>
      </c>
      <c r="H154" s="66"/>
      <c r="I154" s="66"/>
      <c r="J154" s="66"/>
      <c r="K154" s="66"/>
      <c r="L154" s="66"/>
      <c r="M154" s="66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>
      <c r="A155" s="57">
        <v>46171.0</v>
      </c>
      <c r="B155" s="196" t="s">
        <v>319</v>
      </c>
      <c r="C155" s="13">
        <f>IFERROR(__xludf.DUMMYFUNCTION("IF(OR(B155="""",A155=""""),"""",IFERROR(LET(data,GOOGLEFINANCE(""NSE:""&amp;UPPER(TRIM(B155)),""close"",A155-10,A155,""DAILY""),INDEX(data,ROWS(data),2)),""Not Available""))"),206.27)</f>
        <v>206.27</v>
      </c>
      <c r="D155" s="13">
        <f>IFERROR(__xludf.DUMMYFUNCTION("IF(B155="""","""",IFERROR(GOOGLEFINANCE(""NSE:""&amp;UPPER(TRIM(B155)),""price""),""Not Available""))"),274.56)</f>
        <v>274.56</v>
      </c>
      <c r="E155" s="64">
        <f t="shared" si="1"/>
        <v>0.3310709265</v>
      </c>
      <c r="F155" s="66"/>
      <c r="G155" s="13">
        <f t="shared" si="2"/>
        <v>118</v>
      </c>
      <c r="H155" s="66"/>
      <c r="I155" s="66"/>
      <c r="J155" s="66"/>
      <c r="K155" s="66"/>
      <c r="L155" s="66"/>
      <c r="M155" s="66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>
      <c r="A156" s="57">
        <v>46168.0</v>
      </c>
      <c r="B156" s="196" t="s">
        <v>320</v>
      </c>
      <c r="C156" s="13">
        <f>IFERROR(__xludf.DUMMYFUNCTION("IF(OR(B156="""",A156=""""),"""",IFERROR(LET(data,GOOGLEFINANCE(""NSE:""&amp;UPPER(TRIM(B156)),""close"",A156-10,A156,""DAILY""),INDEX(data,ROWS(data),2)),""Not Available""))"),44.93)</f>
        <v>44.93</v>
      </c>
      <c r="D156" s="13">
        <f>IFERROR(__xludf.DUMMYFUNCTION("IF(B156="""","""",IFERROR(GOOGLEFINANCE(""NSE:""&amp;UPPER(TRIM(B156)),""price""),""Not Available""))"),56.8)</f>
        <v>56.8</v>
      </c>
      <c r="E156" s="64">
        <f t="shared" si="1"/>
        <v>0.264188738</v>
      </c>
      <c r="F156" s="66"/>
      <c r="G156" s="13">
        <f t="shared" si="2"/>
        <v>121</v>
      </c>
      <c r="H156" s="66"/>
      <c r="I156" s="66"/>
      <c r="J156" s="66"/>
      <c r="K156" s="66"/>
      <c r="L156" s="66"/>
      <c r="M156" s="66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>
      <c r="A157" s="57">
        <v>46162.0</v>
      </c>
      <c r="B157" s="196" t="s">
        <v>323</v>
      </c>
      <c r="C157" s="13">
        <f>IFERROR(__xludf.DUMMYFUNCTION("IF(OR(B157="""",A157=""""),"""",IFERROR(LET(data,GOOGLEFINANCE(""NSE:""&amp;UPPER(TRIM(B157)),""close"",A157-10,A157,""DAILY""),INDEX(data,ROWS(data),2)),""Not Available""))"),38285.0)</f>
        <v>38285</v>
      </c>
      <c r="D157" s="13">
        <f>IFERROR(__xludf.DUMMYFUNCTION("IF(B157="""","""",IFERROR(GOOGLEFINANCE(""NSE:""&amp;UPPER(TRIM(B157)),""price""),""Not Available""))"),37410.0)</f>
        <v>37410</v>
      </c>
      <c r="E157" s="64">
        <f t="shared" si="1"/>
        <v>-0.02285490401</v>
      </c>
      <c r="F157" s="66"/>
      <c r="G157" s="13">
        <f t="shared" si="2"/>
        <v>127</v>
      </c>
      <c r="H157" s="66"/>
      <c r="I157" s="66"/>
      <c r="J157" s="66"/>
      <c r="K157" s="66"/>
      <c r="L157" s="66"/>
      <c r="M157" s="66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>
      <c r="A158" s="57">
        <v>46162.0</v>
      </c>
      <c r="B158" s="200" t="s">
        <v>325</v>
      </c>
      <c r="C158" s="13">
        <f>IFERROR(__xludf.DUMMYFUNCTION("IF(OR(B158="""",A158=""""),"""",IFERROR(LET(data,GOOGLEFINANCE(""NSE:""&amp;UPPER(TRIM(B158)),""close"",A158-10,A158,""DAILY""),INDEX(data,ROWS(data),2)),""Not Available""))"),235.48)</f>
        <v>235.48</v>
      </c>
      <c r="D158" s="13">
        <f>IFERROR(__xludf.DUMMYFUNCTION("IF(B158="""","""",IFERROR(GOOGLEFINANCE(""NSE:""&amp;UPPER(TRIM(B158)),""price""),""Not Available""))"),264.17)</f>
        <v>264.17</v>
      </c>
      <c r="E158" s="64">
        <f t="shared" si="1"/>
        <v>0.1218362494</v>
      </c>
      <c r="F158" s="66"/>
      <c r="G158" s="13">
        <f t="shared" si="2"/>
        <v>127</v>
      </c>
      <c r="H158" s="66"/>
      <c r="I158" s="66"/>
      <c r="J158" s="66"/>
      <c r="K158" s="66"/>
      <c r="L158" s="66"/>
      <c r="M158" s="66"/>
      <c r="N158" s="13"/>
      <c r="O158" s="13"/>
      <c r="P158" s="13"/>
      <c r="Q158" s="13"/>
      <c r="R158" s="13"/>
      <c r="S158" s="13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</row>
    <row r="159">
      <c r="A159" s="57">
        <v>46162.0</v>
      </c>
      <c r="B159" s="196" t="s">
        <v>326</v>
      </c>
      <c r="C159" s="13">
        <f>IFERROR(__xludf.DUMMYFUNCTION("IF(OR(B159="""",A159=""""),"""",IFERROR(LET(data,GOOGLEFINANCE(""NSE:""&amp;UPPER(TRIM(B159)),""close"",A159-10,A159,""DAILY""),INDEX(data,ROWS(data),2)),""Not Available""))"),221.23)</f>
        <v>221.23</v>
      </c>
      <c r="D159" s="13">
        <f>IFERROR(__xludf.DUMMYFUNCTION("IF(B159="""","""",IFERROR(GOOGLEFINANCE(""NSE:""&amp;UPPER(TRIM(B159)),""price""),""Not Available""))"),212.23)</f>
        <v>212.23</v>
      </c>
      <c r="E159" s="64">
        <f t="shared" si="1"/>
        <v>-0.04068164354</v>
      </c>
      <c r="F159" s="66"/>
      <c r="G159" s="13">
        <f t="shared" si="2"/>
        <v>127</v>
      </c>
      <c r="H159" s="66"/>
      <c r="I159" s="66"/>
      <c r="J159" s="66"/>
      <c r="K159" s="66"/>
      <c r="L159" s="66"/>
      <c r="M159" s="66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>
      <c r="A160" s="57">
        <v>46162.0</v>
      </c>
      <c r="B160" s="196" t="s">
        <v>328</v>
      </c>
      <c r="C160" s="13">
        <f>IFERROR(__xludf.DUMMYFUNCTION("IF(OR(B160="""",A160=""""),"""",IFERROR(LET(data,GOOGLEFINANCE(""NSE:""&amp;UPPER(TRIM(B160)),""close"",A160-10,A160,""DAILY""),INDEX(data,ROWS(data),2)),""Not Available""))"),76.01)</f>
        <v>76.01</v>
      </c>
      <c r="D160" s="13">
        <f>IFERROR(__xludf.DUMMYFUNCTION("IF(B160="""","""",IFERROR(GOOGLEFINANCE(""NSE:""&amp;UPPER(TRIM(B160)),""price""),""Not Available""))"),65.69)</f>
        <v>65.69</v>
      </c>
      <c r="E160" s="64">
        <f t="shared" si="1"/>
        <v>-0.135771609</v>
      </c>
      <c r="F160" s="66"/>
      <c r="G160" s="13">
        <f t="shared" si="2"/>
        <v>127</v>
      </c>
      <c r="H160" s="66"/>
      <c r="I160" s="66"/>
      <c r="J160" s="66"/>
      <c r="K160" s="66"/>
      <c r="L160" s="66"/>
      <c r="M160" s="66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>
      <c r="A161" s="57">
        <v>46162.0</v>
      </c>
      <c r="B161" s="200" t="s">
        <v>329</v>
      </c>
      <c r="C161" s="13">
        <f>IFERROR(__xludf.DUMMYFUNCTION("IF(OR(B161="""",A161=""""),"""",IFERROR(LET(data,GOOGLEFINANCE(""NSE:""&amp;UPPER(TRIM(B161)),""close"",A161-10,A161,""DAILY""),INDEX(data,ROWS(data),2)),""Not Available""))"),512.2)</f>
        <v>512.2</v>
      </c>
      <c r="D161" s="13">
        <f>IFERROR(__xludf.DUMMYFUNCTION("IF(B161="""","""",IFERROR(GOOGLEFINANCE(""NSE:""&amp;UPPER(TRIM(B161)),""price""),""Not Available""))"),497.65)</f>
        <v>497.65</v>
      </c>
      <c r="E161" s="64">
        <f t="shared" si="1"/>
        <v>-0.02840687232</v>
      </c>
      <c r="F161" s="66"/>
      <c r="G161" s="13">
        <f t="shared" si="2"/>
        <v>127</v>
      </c>
      <c r="H161" s="66"/>
      <c r="I161" s="66"/>
      <c r="J161" s="66"/>
      <c r="K161" s="66"/>
      <c r="L161" s="66"/>
      <c r="M161" s="66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>
      <c r="A162" s="57">
        <v>46162.0</v>
      </c>
      <c r="B162" s="200" t="s">
        <v>330</v>
      </c>
      <c r="C162" s="13">
        <f>IFERROR(__xludf.DUMMYFUNCTION("IF(OR(B162="""",A162=""""),"""",IFERROR(LET(data,GOOGLEFINANCE(""NSE:""&amp;UPPER(TRIM(B162)),""close"",A162-10,A162,""DAILY""),INDEX(data,ROWS(data),2)),""Not Available""))"),3175.9)</f>
        <v>3175.9</v>
      </c>
      <c r="D162" s="13">
        <f>IFERROR(__xludf.DUMMYFUNCTION("IF(B162="""","""",IFERROR(GOOGLEFINANCE(""NSE:""&amp;UPPER(TRIM(B162)),""price""),""Not Available""))"),3627.2)</f>
        <v>3627.2</v>
      </c>
      <c r="E162" s="64">
        <f t="shared" si="1"/>
        <v>0.1421014516</v>
      </c>
      <c r="F162" s="66"/>
      <c r="G162" s="13">
        <f t="shared" si="2"/>
        <v>127</v>
      </c>
      <c r="H162" s="66"/>
      <c r="I162" s="66"/>
      <c r="J162" s="66"/>
      <c r="K162" s="66"/>
      <c r="L162" s="66"/>
      <c r="M162" s="66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>
      <c r="A163" s="57">
        <v>46161.0</v>
      </c>
      <c r="B163" s="196" t="s">
        <v>331</v>
      </c>
      <c r="C163" s="13">
        <f>IFERROR(__xludf.DUMMYFUNCTION("IF(OR(B163="""",A163=""""),"""",IFERROR(LET(data,GOOGLEFINANCE(""NSE:""&amp;UPPER(TRIM(B163)),""close"",A163-10,A163,""DAILY""),INDEX(data,ROWS(data),2)),""Not Available""))"),1804.8)</f>
        <v>1804.8</v>
      </c>
      <c r="D163" s="13">
        <f>IFERROR(__xludf.DUMMYFUNCTION("IF(B163="""","""",IFERROR(GOOGLEFINANCE(""NSE:""&amp;UPPER(TRIM(B163)),""price""),""Not Available""))"),1282.3)</f>
        <v>1282.3</v>
      </c>
      <c r="E163" s="64">
        <f t="shared" si="1"/>
        <v>-0.2895057624</v>
      </c>
      <c r="F163" s="66"/>
      <c r="G163" s="13">
        <f t="shared" si="2"/>
        <v>128</v>
      </c>
      <c r="H163" s="66"/>
      <c r="I163" s="66"/>
      <c r="J163" s="66"/>
      <c r="K163" s="66"/>
      <c r="L163" s="66"/>
      <c r="M163" s="66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>
      <c r="A164" s="85">
        <v>46161.0</v>
      </c>
      <c r="B164" s="198" t="s">
        <v>333</v>
      </c>
      <c r="C164" s="69">
        <f>IFERROR(__xludf.DUMMYFUNCTION("IF(OR(B164="""",A164=""""),"""",IFERROR(LET(data,GOOGLEFINANCE(""NSE:""&amp;UPPER(TRIM(B164)),""close"",A164-10,A164,""DAILY""),INDEX(data,ROWS(data),2)),""Not Available""))"),269.43)</f>
        <v>269.43</v>
      </c>
      <c r="D164" s="69">
        <f>IFERROR(__xludf.DUMMYFUNCTION("IF(B164="""","""",IFERROR(GOOGLEFINANCE(""NSE:""&amp;UPPER(TRIM(B164)),""price""),""Not Available""))"),333.45)</f>
        <v>333.45</v>
      </c>
      <c r="E164" s="87">
        <f t="shared" si="1"/>
        <v>0.237612738</v>
      </c>
      <c r="F164" s="88"/>
      <c r="G164" s="69">
        <f t="shared" si="2"/>
        <v>128</v>
      </c>
      <c r="H164" s="88"/>
      <c r="I164" s="88"/>
      <c r="J164" s="88"/>
      <c r="K164" s="88"/>
      <c r="L164" s="88"/>
      <c r="M164" s="88"/>
      <c r="N164" s="69"/>
      <c r="O164" s="69"/>
      <c r="P164" s="69"/>
      <c r="Q164" s="69"/>
      <c r="R164" s="69"/>
      <c r="S164" s="69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>
      <c r="A165" s="57">
        <v>46161.0</v>
      </c>
      <c r="B165" s="196" t="s">
        <v>298</v>
      </c>
      <c r="C165" s="13">
        <f>IFERROR(__xludf.DUMMYFUNCTION("IF(OR(B165="""",A165=""""),"""",IFERROR(LET(data,GOOGLEFINANCE(""NSE:""&amp;UPPER(TRIM(B165)),""close"",A165-10,A165,""DAILY""),INDEX(data,ROWS(data),2)),""Not Available""))"),2251.1)</f>
        <v>2251.1</v>
      </c>
      <c r="D165" s="13">
        <f>IFERROR(__xludf.DUMMYFUNCTION("IF(B165="""","""",IFERROR(GOOGLEFINANCE(""NSE:""&amp;UPPER(TRIM(B165)),""price""),""Not Available""))"),2912.7)</f>
        <v>2912.7</v>
      </c>
      <c r="E165" s="64">
        <f t="shared" si="1"/>
        <v>0.2939007596</v>
      </c>
      <c r="F165" s="66"/>
      <c r="G165" s="13">
        <f t="shared" si="2"/>
        <v>128</v>
      </c>
      <c r="H165" s="66"/>
      <c r="I165" s="66"/>
      <c r="J165" s="66"/>
      <c r="K165" s="66"/>
      <c r="L165" s="66"/>
      <c r="M165" s="66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>
      <c r="A166" s="85">
        <v>46160.0</v>
      </c>
      <c r="B166" s="198" t="s">
        <v>336</v>
      </c>
      <c r="C166" s="69">
        <f>IFERROR(__xludf.DUMMYFUNCTION("IF(OR(B166="""",A166=""""),"""",IFERROR(LET(data,GOOGLEFINANCE(""NSE:""&amp;UPPER(TRIM(B166)),""close"",A166-10,A166,""DAILY""),INDEX(data,ROWS(data),2)),""Not Available""))"),20.96)</f>
        <v>20.96</v>
      </c>
      <c r="D166" s="69">
        <f>IFERROR(__xludf.DUMMYFUNCTION("IF(B166="""","""",IFERROR(GOOGLEFINANCE(""NSE:""&amp;UPPER(TRIM(B166)),""price""),""Not Available""))"),35.0)</f>
        <v>35</v>
      </c>
      <c r="E166" s="87">
        <f t="shared" si="1"/>
        <v>0.6698473282</v>
      </c>
      <c r="F166" s="88"/>
      <c r="G166" s="69">
        <f t="shared" si="2"/>
        <v>129</v>
      </c>
      <c r="H166" s="88"/>
      <c r="I166" s="88"/>
      <c r="J166" s="88"/>
      <c r="K166" s="88"/>
      <c r="L166" s="88"/>
      <c r="M166" s="88"/>
      <c r="N166" s="69"/>
      <c r="O166" s="69"/>
      <c r="P166" s="69"/>
      <c r="Q166" s="69"/>
      <c r="R166" s="69"/>
      <c r="S166" s="69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>
      <c r="A167" s="57">
        <v>46160.0</v>
      </c>
      <c r="B167" s="196" t="s">
        <v>338</v>
      </c>
      <c r="C167" s="13">
        <f>IFERROR(__xludf.DUMMYFUNCTION("IF(OR(B167="""",A167=""""),"""",IFERROR(LET(data,GOOGLEFINANCE(""NSE:""&amp;UPPER(TRIM(B167)),""close"",A167-10,A167,""DAILY""),INDEX(data,ROWS(data),2)),""Not Available""))"),138.67)</f>
        <v>138.67</v>
      </c>
      <c r="D167" s="13">
        <f>IFERROR(__xludf.DUMMYFUNCTION("IF(B167="""","""",IFERROR(GOOGLEFINANCE(""NSE:""&amp;UPPER(TRIM(B167)),""price""),""Not Available""))"),218.33)</f>
        <v>218.33</v>
      </c>
      <c r="E167" s="64">
        <f t="shared" si="1"/>
        <v>0.5744573448</v>
      </c>
      <c r="F167" s="66"/>
      <c r="G167" s="13">
        <f t="shared" si="2"/>
        <v>129</v>
      </c>
      <c r="H167" s="66"/>
      <c r="I167" s="66"/>
      <c r="J167" s="66"/>
      <c r="K167" s="66"/>
      <c r="L167" s="66"/>
      <c r="M167" s="66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>
      <c r="A168" s="57">
        <v>46160.0</v>
      </c>
      <c r="B168" s="196" t="s">
        <v>339</v>
      </c>
      <c r="C168" s="13">
        <f>IFERROR(__xludf.DUMMYFUNCTION("IF(OR(B168="""",A168=""""),"""",IFERROR(LET(data,GOOGLEFINANCE(""NSE:""&amp;UPPER(TRIM(B168)),""close"",A168-10,A168,""DAILY""),INDEX(data,ROWS(data),2)),""Not Available""))"),596.65)</f>
        <v>596.65</v>
      </c>
      <c r="D168" s="13">
        <f>IFERROR(__xludf.DUMMYFUNCTION("IF(B168="""","""",IFERROR(GOOGLEFINANCE(""NSE:""&amp;UPPER(TRIM(B168)),""price""),""Not Available""))"),551.95)</f>
        <v>551.95</v>
      </c>
      <c r="E168" s="64">
        <f t="shared" si="1"/>
        <v>-0.07491829381</v>
      </c>
      <c r="F168" s="66"/>
      <c r="G168" s="13">
        <f t="shared" si="2"/>
        <v>129</v>
      </c>
      <c r="H168" s="66"/>
      <c r="I168" s="66"/>
      <c r="J168" s="66"/>
      <c r="K168" s="66"/>
      <c r="L168" s="66"/>
      <c r="M168" s="66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>
      <c r="A169" s="57">
        <v>46157.0</v>
      </c>
      <c r="B169" s="196" t="s">
        <v>341</v>
      </c>
      <c r="C169" s="13">
        <f>IFERROR(__xludf.DUMMYFUNCTION("IF(OR(B169="""",A169=""""),"""",IFERROR(LET(data,GOOGLEFINANCE(""NSE:""&amp;UPPER(TRIM(B169)),""close"",A169-10,A169,""DAILY""),INDEX(data,ROWS(data),2)),""Not Available""))"),1011.7)</f>
        <v>1011.7</v>
      </c>
      <c r="D169" s="13">
        <f>IFERROR(__xludf.DUMMYFUNCTION("IF(B169="""","""",IFERROR(GOOGLEFINANCE(""NSE:""&amp;UPPER(TRIM(B169)),""price""),""Not Available""))"),1176.0)</f>
        <v>1176</v>
      </c>
      <c r="E169" s="64">
        <f t="shared" si="1"/>
        <v>0.1623999209</v>
      </c>
      <c r="F169" s="66"/>
      <c r="G169" s="13">
        <f t="shared" si="2"/>
        <v>132</v>
      </c>
      <c r="H169" s="66"/>
      <c r="I169" s="66"/>
      <c r="J169" s="66"/>
      <c r="K169" s="66"/>
      <c r="L169" s="66"/>
      <c r="M169" s="66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>
      <c r="A170" s="57">
        <v>46157.0</v>
      </c>
      <c r="B170" s="196" t="s">
        <v>342</v>
      </c>
      <c r="C170" s="13">
        <f>IFERROR(__xludf.DUMMYFUNCTION("IF(OR(B170="""",A170=""""),"""",IFERROR(LET(data,GOOGLEFINANCE(""NSE:""&amp;UPPER(TRIM(B170)),""close"",A170-10,A170,""DAILY""),INDEX(data,ROWS(data),2)),""Not Available""))"),223.1)</f>
        <v>223.1</v>
      </c>
      <c r="D170" s="13">
        <f>IFERROR(__xludf.DUMMYFUNCTION("IF(B170="""","""",IFERROR(GOOGLEFINANCE(""NSE:""&amp;UPPER(TRIM(B170)),""price""),""Not Available""))"),229.87)</f>
        <v>229.87</v>
      </c>
      <c r="E170" s="64">
        <f t="shared" si="1"/>
        <v>0.03034513671</v>
      </c>
      <c r="F170" s="66"/>
      <c r="G170" s="13">
        <f t="shared" si="2"/>
        <v>132</v>
      </c>
      <c r="H170" s="66"/>
      <c r="I170" s="66"/>
      <c r="J170" s="66"/>
      <c r="K170" s="66"/>
      <c r="L170" s="66"/>
      <c r="M170" s="66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>
      <c r="A171" s="57">
        <v>46157.0</v>
      </c>
      <c r="B171" s="196" t="s">
        <v>345</v>
      </c>
      <c r="C171" s="13">
        <f>IFERROR(__xludf.DUMMYFUNCTION("IF(OR(B171="""",A171=""""),"""",IFERROR(LET(data,GOOGLEFINANCE(""NSE:""&amp;UPPER(TRIM(B171)),""close"",A171-10,A171,""DAILY""),INDEX(data,ROWS(data),2)),""Not Available""))"),423.25)</f>
        <v>423.25</v>
      </c>
      <c r="D171" s="13">
        <f>IFERROR(__xludf.DUMMYFUNCTION("IF(B171="""","""",IFERROR(GOOGLEFINANCE(""NSE:""&amp;UPPER(TRIM(B171)),""price""),""Not Available""))"),336.1)</f>
        <v>336.1</v>
      </c>
      <c r="E171" s="64">
        <f t="shared" si="1"/>
        <v>-0.2059066745</v>
      </c>
      <c r="F171" s="66"/>
      <c r="G171" s="13">
        <f t="shared" si="2"/>
        <v>132</v>
      </c>
      <c r="H171" s="66"/>
      <c r="I171" s="66"/>
      <c r="J171" s="66"/>
      <c r="K171" s="66"/>
      <c r="L171" s="66"/>
      <c r="M171" s="66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>
      <c r="A172" s="57">
        <v>46156.0</v>
      </c>
      <c r="B172" s="196" t="s">
        <v>346</v>
      </c>
      <c r="C172" s="13">
        <f>IFERROR(__xludf.DUMMYFUNCTION("IF(OR(B172="""",A172=""""),"""",IFERROR(LET(data,GOOGLEFINANCE(""NSE:""&amp;UPPER(TRIM(B172)),""close"",A172-10,A172,""DAILY""),INDEX(data,ROWS(data),2)),""Not Available""))"),182.34)</f>
        <v>182.34</v>
      </c>
      <c r="D172" s="13">
        <f>IFERROR(__xludf.DUMMYFUNCTION("IF(B172="""","""",IFERROR(GOOGLEFINANCE(""NSE:""&amp;UPPER(TRIM(B172)),""price""),""Not Available""))"),148.73)</f>
        <v>148.73</v>
      </c>
      <c r="E172" s="64">
        <f t="shared" si="1"/>
        <v>-0.1843259844</v>
      </c>
      <c r="F172" s="66"/>
      <c r="G172" s="13">
        <f t="shared" si="2"/>
        <v>133</v>
      </c>
      <c r="H172" s="66"/>
      <c r="I172" s="66"/>
      <c r="J172" s="66"/>
      <c r="K172" s="66"/>
      <c r="L172" s="66"/>
      <c r="M172" s="66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>
      <c r="A173" s="85">
        <v>46156.0</v>
      </c>
      <c r="B173" s="198" t="s">
        <v>349</v>
      </c>
      <c r="C173" s="69">
        <f>IFERROR(__xludf.DUMMYFUNCTION("IF(OR(B173="""",A173=""""),"""",IFERROR(LET(data,GOOGLEFINANCE(""NSE:""&amp;UPPER(TRIM(B173)),""close"",A173-10,A173,""DAILY""),INDEX(data,ROWS(data),2)),""Not Available""))"),1364.1)</f>
        <v>1364.1</v>
      </c>
      <c r="D173" s="69">
        <f>IFERROR(__xludf.DUMMYFUNCTION("IF(B173="""","""",IFERROR(GOOGLEFINANCE(""NSE:""&amp;UPPER(TRIM(B173)),""price""),""Not Available""))"),3319.9)</f>
        <v>3319.9</v>
      </c>
      <c r="E173" s="87">
        <f t="shared" si="1"/>
        <v>1.433765853</v>
      </c>
      <c r="F173" s="88"/>
      <c r="G173" s="69">
        <f t="shared" si="2"/>
        <v>133</v>
      </c>
      <c r="H173" s="88"/>
      <c r="I173" s="88"/>
      <c r="J173" s="88"/>
      <c r="K173" s="88"/>
      <c r="L173" s="88"/>
      <c r="M173" s="88"/>
      <c r="N173" s="69"/>
      <c r="O173" s="69"/>
      <c r="P173" s="69"/>
      <c r="Q173" s="69"/>
      <c r="R173" s="69"/>
      <c r="S173" s="69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>
      <c r="A174" s="57">
        <v>46156.0</v>
      </c>
      <c r="B174" s="196" t="s">
        <v>350</v>
      </c>
      <c r="C174" s="13">
        <f>IFERROR(__xludf.DUMMYFUNCTION("IF(OR(B174="""",A174=""""),"""",IFERROR(LET(data,GOOGLEFINANCE(""NSE:""&amp;UPPER(TRIM(B174)),""close"",A174-10,A174,""DAILY""),INDEX(data,ROWS(data),2)),""Not Available""))"),958.5)</f>
        <v>958.5</v>
      </c>
      <c r="D174" s="13">
        <f>IFERROR(__xludf.DUMMYFUNCTION("IF(B174="""","""",IFERROR(GOOGLEFINANCE(""NSE:""&amp;UPPER(TRIM(B174)),""price""),""Not Available""))"),739.9)</f>
        <v>739.9</v>
      </c>
      <c r="E174" s="64">
        <f t="shared" si="1"/>
        <v>-0.2280646844</v>
      </c>
      <c r="F174" s="66"/>
      <c r="G174" s="13">
        <f t="shared" si="2"/>
        <v>133</v>
      </c>
      <c r="H174" s="66"/>
      <c r="I174" s="66"/>
      <c r="J174" s="66"/>
      <c r="K174" s="66"/>
      <c r="L174" s="66"/>
      <c r="M174" s="66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>
      <c r="A175" s="85">
        <v>46156.0</v>
      </c>
      <c r="B175" s="198" t="s">
        <v>352</v>
      </c>
      <c r="C175" s="69">
        <f>IFERROR(__xludf.DUMMYFUNCTION("IF(OR(B175="""",A175=""""),"""",IFERROR(LET(data,GOOGLEFINANCE(""NSE:""&amp;UPPER(TRIM(B175)),""close"",A175-10,A175,""DAILY""),INDEX(data,ROWS(data),2)),""Not Available""))"),184.58)</f>
        <v>184.58</v>
      </c>
      <c r="D175" s="69">
        <f>IFERROR(__xludf.DUMMYFUNCTION("IF(B175="""","""",IFERROR(GOOGLEFINANCE(""NSE:""&amp;UPPER(TRIM(B175)),""price""),""Not Available""))"),215.06)</f>
        <v>215.06</v>
      </c>
      <c r="E175" s="87">
        <f t="shared" si="1"/>
        <v>0.1651316502</v>
      </c>
      <c r="F175" s="88"/>
      <c r="G175" s="69">
        <f t="shared" si="2"/>
        <v>133</v>
      </c>
      <c r="H175" s="88"/>
      <c r="I175" s="88"/>
      <c r="J175" s="88"/>
      <c r="K175" s="88"/>
      <c r="L175" s="88"/>
      <c r="M175" s="88"/>
      <c r="N175" s="69"/>
      <c r="O175" s="69"/>
      <c r="P175" s="69"/>
      <c r="Q175" s="69"/>
      <c r="R175" s="69"/>
      <c r="S175" s="69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>
      <c r="A176" s="57">
        <v>46156.0</v>
      </c>
      <c r="B176" s="196" t="s">
        <v>353</v>
      </c>
      <c r="C176" s="13">
        <f>IFERROR(__xludf.DUMMYFUNCTION("IF(OR(B176="""",A176=""""),"""",IFERROR(LET(data,GOOGLEFINANCE(""NSE:""&amp;UPPER(TRIM(B176)),""close"",A176-10,A176,""DAILY""),INDEX(data,ROWS(data),2)),""Not Available""))"),306.4)</f>
        <v>306.4</v>
      </c>
      <c r="D176" s="13">
        <f>IFERROR(__xludf.DUMMYFUNCTION("IF(B176="""","""",IFERROR(GOOGLEFINANCE(""NSE:""&amp;UPPER(TRIM(B176)),""price""),""Not Available""))"),260.0)</f>
        <v>260</v>
      </c>
      <c r="E176" s="64">
        <f t="shared" si="1"/>
        <v>-0.1514360313</v>
      </c>
      <c r="F176" s="66"/>
      <c r="G176" s="13">
        <f t="shared" si="2"/>
        <v>133</v>
      </c>
      <c r="H176" s="66"/>
      <c r="I176" s="66"/>
      <c r="J176" s="66"/>
      <c r="K176" s="66"/>
      <c r="L176" s="66"/>
      <c r="M176" s="66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>
      <c r="A177" s="57">
        <v>46156.0</v>
      </c>
      <c r="B177" s="196" t="s">
        <v>142</v>
      </c>
      <c r="C177" s="13">
        <f>IFERROR(__xludf.DUMMYFUNCTION("IF(OR(B177="""",A177=""""),"""",IFERROR(LET(data,GOOGLEFINANCE(""NSE:""&amp;UPPER(TRIM(B177)),""close"",A177-10,A177,""DAILY""),INDEX(data,ROWS(data),2)),""Not Available""))"),1581.1)</f>
        <v>1581.1</v>
      </c>
      <c r="D177" s="13">
        <f>IFERROR(__xludf.DUMMYFUNCTION("IF(B177="""","""",IFERROR(GOOGLEFINANCE(""NSE:""&amp;UPPER(TRIM(B177)),""price""),""Not Available""))"),1655.8)</f>
        <v>1655.8</v>
      </c>
      <c r="E177" s="64">
        <f t="shared" si="1"/>
        <v>0.04724558851</v>
      </c>
      <c r="F177" s="66"/>
      <c r="G177" s="13">
        <f t="shared" si="2"/>
        <v>133</v>
      </c>
      <c r="H177" s="66"/>
      <c r="I177" s="66"/>
      <c r="J177" s="66"/>
      <c r="K177" s="66"/>
      <c r="L177" s="66"/>
      <c r="M177" s="66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>
      <c r="A178" s="57">
        <v>46156.0</v>
      </c>
      <c r="B178" s="196" t="s">
        <v>354</v>
      </c>
      <c r="C178" s="13">
        <f>IFERROR(__xludf.DUMMYFUNCTION("IF(OR(B178="""",A178=""""),"""",IFERROR(LET(data,GOOGLEFINANCE(""NSE:""&amp;UPPER(TRIM(B178)),""close"",A178-10,A178,""DAILY""),INDEX(data,ROWS(data),2)),""Not Available""))"),1737.3)</f>
        <v>1737.3</v>
      </c>
      <c r="D178" s="13">
        <f>IFERROR(__xludf.DUMMYFUNCTION("IF(B178="""","""",IFERROR(GOOGLEFINANCE(""NSE:""&amp;UPPER(TRIM(B178)),""price""),""Not Available""))"),1740.0)</f>
        <v>1740</v>
      </c>
      <c r="E178" s="64">
        <f t="shared" si="1"/>
        <v>0.001554135728</v>
      </c>
      <c r="F178" s="66"/>
      <c r="G178" s="13">
        <f t="shared" si="2"/>
        <v>133</v>
      </c>
      <c r="H178" s="66"/>
      <c r="I178" s="66"/>
      <c r="J178" s="66"/>
      <c r="K178" s="66"/>
      <c r="L178" s="66"/>
      <c r="M178" s="66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>
      <c r="A179" s="57">
        <v>46153.0</v>
      </c>
      <c r="B179" s="196" t="s">
        <v>355</v>
      </c>
      <c r="C179" s="13">
        <f>IFERROR(__xludf.DUMMYFUNCTION("IF(OR(B179="""",A179=""""),"""",IFERROR(LET(data,GOOGLEFINANCE(""NSE:""&amp;UPPER(TRIM(B179)),""close"",A179-10,A179,""DAILY""),INDEX(data,ROWS(data),2)),""Not Available""))"),84.31)</f>
        <v>84.31</v>
      </c>
      <c r="D179" s="13">
        <f>IFERROR(__xludf.DUMMYFUNCTION("IF(B179="""","""",IFERROR(GOOGLEFINANCE(""NSE:""&amp;UPPER(TRIM(B179)),""price""),""Not Available""))"),76.4)</f>
        <v>76.4</v>
      </c>
      <c r="E179" s="64">
        <f t="shared" si="1"/>
        <v>-0.09382042462</v>
      </c>
      <c r="F179" s="66"/>
      <c r="G179" s="13">
        <f t="shared" si="2"/>
        <v>136</v>
      </c>
      <c r="H179" s="66"/>
      <c r="I179" s="66"/>
      <c r="J179" s="66"/>
      <c r="K179" s="66"/>
      <c r="L179" s="66"/>
      <c r="M179" s="66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>
      <c r="A180" s="85">
        <v>46153.0</v>
      </c>
      <c r="B180" s="198" t="s">
        <v>96</v>
      </c>
      <c r="C180" s="69">
        <f>IFERROR(__xludf.DUMMYFUNCTION("IF(OR(B180="""",A180=""""),"""",IFERROR(LET(data,GOOGLEFINANCE(""NSE:""&amp;UPPER(TRIM(B180)),""close"",A180-10,A180,""DAILY""),INDEX(data,ROWS(data),2)),""Not Available""))"),108.77)</f>
        <v>108.77</v>
      </c>
      <c r="D180" s="69">
        <f>IFERROR(__xludf.DUMMYFUNCTION("IF(B180="""","""",IFERROR(GOOGLEFINANCE(""NSE:""&amp;UPPER(TRIM(B180)),""price""),""Not Available""))"),203.69)</f>
        <v>203.69</v>
      </c>
      <c r="E180" s="87">
        <f t="shared" si="1"/>
        <v>0.8726670957</v>
      </c>
      <c r="F180" s="88"/>
      <c r="G180" s="69">
        <f t="shared" si="2"/>
        <v>136</v>
      </c>
      <c r="H180" s="88"/>
      <c r="I180" s="88"/>
      <c r="J180" s="88"/>
      <c r="K180" s="88"/>
      <c r="L180" s="88"/>
      <c r="M180" s="88"/>
      <c r="N180" s="69"/>
      <c r="O180" s="69"/>
      <c r="P180" s="69"/>
      <c r="Q180" s="69"/>
      <c r="R180" s="69"/>
      <c r="S180" s="69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>
      <c r="A181" s="57">
        <v>46153.0</v>
      </c>
      <c r="B181" s="196" t="s">
        <v>354</v>
      </c>
      <c r="C181" s="13">
        <f>IFERROR(__xludf.DUMMYFUNCTION("IF(OR(B181="""",A181=""""),"""",IFERROR(LET(data,GOOGLEFINANCE(""NSE:""&amp;UPPER(TRIM(B181)),""close"",A181-10,A181,""DAILY""),INDEX(data,ROWS(data),2)),""Not Available""))"),1634.6)</f>
        <v>1634.6</v>
      </c>
      <c r="D181" s="13">
        <f>IFERROR(__xludf.DUMMYFUNCTION("IF(B181="""","""",IFERROR(GOOGLEFINANCE(""NSE:""&amp;UPPER(TRIM(B181)),""price""),""Not Available""))"),1740.0)</f>
        <v>1740</v>
      </c>
      <c r="E181" s="64">
        <f t="shared" si="1"/>
        <v>0.06448060688</v>
      </c>
      <c r="F181" s="66"/>
      <c r="G181" s="13">
        <f t="shared" si="2"/>
        <v>136</v>
      </c>
      <c r="H181" s="66"/>
      <c r="I181" s="66"/>
      <c r="J181" s="66"/>
      <c r="K181" s="66"/>
      <c r="L181" s="66"/>
      <c r="M181" s="66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>
      <c r="A182" s="57">
        <v>46153.0</v>
      </c>
      <c r="B182" s="196" t="s">
        <v>358</v>
      </c>
      <c r="C182" s="13">
        <f>IFERROR(__xludf.DUMMYFUNCTION("IF(OR(B182="""",A182=""""),"""",IFERROR(LET(data,GOOGLEFINANCE(""NSE:""&amp;UPPER(TRIM(B182)),""close"",A182-10,A182,""DAILY""),INDEX(data,ROWS(data),2)),""Not Available""))"),26.19)</f>
        <v>26.19</v>
      </c>
      <c r="D182" s="13">
        <f>IFERROR(__xludf.DUMMYFUNCTION("IF(B182="""","""",IFERROR(GOOGLEFINANCE(""NSE:""&amp;UPPER(TRIM(B182)),""price""),""Not Available""))"),20.19)</f>
        <v>20.19</v>
      </c>
      <c r="E182" s="64">
        <f t="shared" si="1"/>
        <v>-0.2290950745</v>
      </c>
      <c r="F182" s="66"/>
      <c r="G182" s="13">
        <f t="shared" si="2"/>
        <v>136</v>
      </c>
      <c r="H182" s="66"/>
      <c r="I182" s="66"/>
      <c r="J182" s="66"/>
      <c r="K182" s="66"/>
      <c r="L182" s="66"/>
      <c r="M182" s="66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>
      <c r="A183" s="57">
        <v>46152.0</v>
      </c>
      <c r="B183" s="196" t="s">
        <v>359</v>
      </c>
      <c r="C183" s="13">
        <f>IFERROR(__xludf.DUMMYFUNCTION("IF(OR(B183="""",A183=""""),"""",IFERROR(LET(data,GOOGLEFINANCE(""NSE:""&amp;UPPER(TRIM(B183)),""close"",A183-10,A183,""DAILY""),INDEX(data,ROWS(data),2)),""Not Available""))"),571.5)</f>
        <v>571.5</v>
      </c>
      <c r="D183" s="13">
        <f>IFERROR(__xludf.DUMMYFUNCTION("IF(B183="""","""",IFERROR(GOOGLEFINANCE(""NSE:""&amp;UPPER(TRIM(B183)),""price""),""Not Available""))"),291.75)</f>
        <v>291.75</v>
      </c>
      <c r="E183" s="64">
        <f t="shared" si="1"/>
        <v>-0.4895013123</v>
      </c>
      <c r="F183" s="66"/>
      <c r="G183" s="13">
        <f t="shared" si="2"/>
        <v>137</v>
      </c>
      <c r="H183" s="66"/>
      <c r="I183" s="66"/>
      <c r="J183" s="66"/>
      <c r="K183" s="66"/>
      <c r="L183" s="66"/>
      <c r="M183" s="66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>
      <c r="A184" s="57">
        <v>46152.0</v>
      </c>
      <c r="B184" s="196" t="s">
        <v>361</v>
      </c>
      <c r="C184" s="13">
        <f>IFERROR(__xludf.DUMMYFUNCTION("IF(OR(B184="""",A184=""""),"""",IFERROR(LET(data,GOOGLEFINANCE(""NSE:""&amp;UPPER(TRIM(B184)),""close"",A184-10,A184,""DAILY""),INDEX(data,ROWS(data),2)),""Not Available""))"),439.35)</f>
        <v>439.35</v>
      </c>
      <c r="D184" s="13">
        <f>IFERROR(__xludf.DUMMYFUNCTION("IF(B184="""","""",IFERROR(GOOGLEFINANCE(""NSE:""&amp;UPPER(TRIM(B184)),""price""),""Not Available""))"),526.9)</f>
        <v>526.9</v>
      </c>
      <c r="E184" s="64">
        <f t="shared" si="1"/>
        <v>0.1992716513</v>
      </c>
      <c r="F184" s="66"/>
      <c r="G184" s="13">
        <f t="shared" si="2"/>
        <v>137</v>
      </c>
      <c r="H184" s="66"/>
      <c r="I184" s="66"/>
      <c r="J184" s="66"/>
      <c r="K184" s="66"/>
      <c r="L184" s="66"/>
      <c r="M184" s="66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>
      <c r="A185" s="57">
        <v>46152.0</v>
      </c>
      <c r="B185" s="196" t="s">
        <v>362</v>
      </c>
      <c r="C185" s="13">
        <f>IFERROR(__xludf.DUMMYFUNCTION("IF(OR(B185="""",A185=""""),"""",IFERROR(LET(data,GOOGLEFINANCE(""NSE:""&amp;UPPER(TRIM(B185)),""close"",A185-10,A185,""DAILY""),INDEX(data,ROWS(data),2)),""Not Available""))"),166.46)</f>
        <v>166.46</v>
      </c>
      <c r="D185" s="13">
        <f>IFERROR(__xludf.DUMMYFUNCTION("IF(B185="""","""",IFERROR(GOOGLEFINANCE(""NSE:""&amp;UPPER(TRIM(B185)),""price""),""Not Available""))"),161.29)</f>
        <v>161.29</v>
      </c>
      <c r="E185" s="64">
        <f t="shared" si="1"/>
        <v>-0.03105851256</v>
      </c>
      <c r="F185" s="66"/>
      <c r="G185" s="13">
        <f t="shared" si="2"/>
        <v>137</v>
      </c>
      <c r="H185" s="66"/>
      <c r="I185" s="66"/>
      <c r="J185" s="66"/>
      <c r="K185" s="66"/>
      <c r="L185" s="66"/>
      <c r="M185" s="66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>
      <c r="A186" s="57">
        <v>46152.0</v>
      </c>
      <c r="B186" s="196" t="s">
        <v>364</v>
      </c>
      <c r="C186" s="13">
        <f>IFERROR(__xludf.DUMMYFUNCTION("IF(OR(B186="""",A186=""""),"""",IFERROR(LET(data,GOOGLEFINANCE(""NSE:""&amp;UPPER(TRIM(B186)),""close"",A186-10,A186,""DAILY""),INDEX(data,ROWS(data),2)),""Not Available""))"),520.65)</f>
        <v>520.65</v>
      </c>
      <c r="D186" s="13">
        <f>IFERROR(__xludf.DUMMYFUNCTION("IF(B186="""","""",IFERROR(GOOGLEFINANCE(""NSE:""&amp;UPPER(TRIM(B186)),""price""),""Not Available""))"),602.9)</f>
        <v>602.9</v>
      </c>
      <c r="E186" s="64">
        <f t="shared" si="1"/>
        <v>0.1579756074</v>
      </c>
      <c r="F186" s="66"/>
      <c r="G186" s="13">
        <f t="shared" si="2"/>
        <v>137</v>
      </c>
      <c r="H186" s="66"/>
      <c r="I186" s="66"/>
      <c r="J186" s="66"/>
      <c r="K186" s="66"/>
      <c r="L186" s="66"/>
      <c r="M186" s="66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>
      <c r="A187" s="57">
        <v>46152.0</v>
      </c>
      <c r="B187" s="196" t="s">
        <v>365</v>
      </c>
      <c r="C187" s="13">
        <f>IFERROR(__xludf.DUMMYFUNCTION("IF(OR(B187="""",A187=""""),"""",IFERROR(LET(data,GOOGLEFINANCE(""NSE:""&amp;UPPER(TRIM(B187)),""close"",A187-10,A187,""DAILY""),INDEX(data,ROWS(data),2)),""Not Available""))"),227.65)</f>
        <v>227.65</v>
      </c>
      <c r="D187" s="13">
        <f>IFERROR(__xludf.DUMMYFUNCTION("IF(B187="""","""",IFERROR(GOOGLEFINANCE(""NSE:""&amp;UPPER(TRIM(B187)),""price""),""Not Available""))"),203.29)</f>
        <v>203.29</v>
      </c>
      <c r="E187" s="64">
        <f t="shared" si="1"/>
        <v>-0.1070063694</v>
      </c>
      <c r="F187" s="66"/>
      <c r="G187" s="13">
        <f t="shared" si="2"/>
        <v>137</v>
      </c>
      <c r="H187" s="66"/>
      <c r="I187" s="66"/>
      <c r="J187" s="66"/>
      <c r="K187" s="66"/>
      <c r="L187" s="66"/>
      <c r="M187" s="66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>
      <c r="A188" s="57">
        <v>46152.0</v>
      </c>
      <c r="B188" s="196" t="s">
        <v>367</v>
      </c>
      <c r="C188" s="13">
        <f>IFERROR(__xludf.DUMMYFUNCTION("IF(OR(B188="""",A188=""""),"""",IFERROR(LET(data,GOOGLEFINANCE(""NSE:""&amp;UPPER(TRIM(B188)),""close"",A188-10,A188,""DAILY""),INDEX(data,ROWS(data),2)),""Not Available""))"),2430.8)</f>
        <v>2430.8</v>
      </c>
      <c r="D188" s="13">
        <f>IFERROR(__xludf.DUMMYFUNCTION("IF(B188="""","""",IFERROR(GOOGLEFINANCE(""NSE:""&amp;UPPER(TRIM(B188)),""price""),""Not Available""))"),2484.1)</f>
        <v>2484.1</v>
      </c>
      <c r="E188" s="64">
        <f t="shared" si="1"/>
        <v>0.02192693763</v>
      </c>
      <c r="F188" s="66"/>
      <c r="G188" s="13">
        <f t="shared" si="2"/>
        <v>137</v>
      </c>
      <c r="H188" s="66"/>
      <c r="I188" s="66"/>
      <c r="J188" s="66"/>
      <c r="K188" s="66"/>
      <c r="L188" s="66"/>
      <c r="M188" s="66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>
      <c r="A189" s="57">
        <v>46152.0</v>
      </c>
      <c r="B189" s="196" t="s">
        <v>368</v>
      </c>
      <c r="C189" s="13">
        <f>IFERROR(__xludf.DUMMYFUNCTION("IF(OR(B189="""",A189=""""),"""",IFERROR(LET(data,GOOGLEFINANCE(""NSE:""&amp;UPPER(TRIM(B189)),""close"",A189-10,A189,""DAILY""),INDEX(data,ROWS(data),2)),""Not Available""))"),250.78)</f>
        <v>250.78</v>
      </c>
      <c r="D189" s="13">
        <f>IFERROR(__xludf.DUMMYFUNCTION("IF(B189="""","""",IFERROR(GOOGLEFINANCE(""NSE:""&amp;UPPER(TRIM(B189)),""price""),""Not Available""))"),165.6)</f>
        <v>165.6</v>
      </c>
      <c r="E189" s="64">
        <f t="shared" si="1"/>
        <v>-0.33966026</v>
      </c>
      <c r="F189" s="66"/>
      <c r="G189" s="13">
        <f t="shared" si="2"/>
        <v>137</v>
      </c>
      <c r="H189" s="66"/>
      <c r="I189" s="66"/>
      <c r="J189" s="66"/>
      <c r="K189" s="66"/>
      <c r="L189" s="66"/>
      <c r="M189" s="66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>
      <c r="A190" s="57">
        <v>46152.0</v>
      </c>
      <c r="B190" s="196" t="s">
        <v>369</v>
      </c>
      <c r="C190" s="13">
        <f>IFERROR(__xludf.DUMMYFUNCTION("IF(OR(B190="""",A190=""""),"""",IFERROR(LET(data,GOOGLEFINANCE(""NSE:""&amp;UPPER(TRIM(B190)),""close"",A190-10,A190,""DAILY""),INDEX(data,ROWS(data),2)),""Not Available""))"),734.4)</f>
        <v>734.4</v>
      </c>
      <c r="D190" s="13">
        <f>IFERROR(__xludf.DUMMYFUNCTION("IF(B190="""","""",IFERROR(GOOGLEFINANCE(""NSE:""&amp;UPPER(TRIM(B190)),""price""),""Not Available""))"),534.05)</f>
        <v>534.05</v>
      </c>
      <c r="E190" s="64">
        <f t="shared" si="1"/>
        <v>-0.2728077342</v>
      </c>
      <c r="F190" s="66"/>
      <c r="G190" s="13">
        <f t="shared" si="2"/>
        <v>137</v>
      </c>
      <c r="H190" s="66"/>
      <c r="I190" s="66"/>
      <c r="J190" s="66"/>
      <c r="K190" s="66"/>
      <c r="L190" s="66"/>
      <c r="M190" s="66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>
      <c r="A191" s="57">
        <v>46147.0</v>
      </c>
      <c r="B191" s="196" t="s">
        <v>371</v>
      </c>
      <c r="C191" s="13">
        <f>IFERROR(__xludf.DUMMYFUNCTION("IF(OR(B191="""",A191=""""),"""",IFERROR(LET(data,GOOGLEFINANCE(""NSE:""&amp;UPPER(TRIM(B191)),""close"",A191-10,A191,""DAILY""),INDEX(data,ROWS(data),2)),""Not Available""))"),815.15)</f>
        <v>815.15</v>
      </c>
      <c r="D191" s="13">
        <f>IFERROR(__xludf.DUMMYFUNCTION("IF(B191="""","""",IFERROR(GOOGLEFINANCE(""NSE:""&amp;UPPER(TRIM(B191)),""price""),""Not Available""))"),993.95)</f>
        <v>993.95</v>
      </c>
      <c r="E191" s="64">
        <f t="shared" si="1"/>
        <v>0.2193461326</v>
      </c>
      <c r="F191" s="66"/>
      <c r="G191" s="13">
        <f t="shared" si="2"/>
        <v>142</v>
      </c>
      <c r="H191" s="66"/>
      <c r="I191" s="66"/>
      <c r="J191" s="66"/>
      <c r="K191" s="66"/>
      <c r="L191" s="66"/>
      <c r="M191" s="66"/>
      <c r="N191" s="13"/>
      <c r="O191" s="13"/>
      <c r="P191" s="13"/>
      <c r="Q191" s="13"/>
      <c r="R191" s="13"/>
      <c r="S191" s="13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</row>
    <row r="192">
      <c r="A192" s="57">
        <v>46147.0</v>
      </c>
      <c r="B192" s="196" t="s">
        <v>373</v>
      </c>
      <c r="C192" s="13">
        <f>IFERROR(__xludf.DUMMYFUNCTION("IF(OR(B192="""",A192=""""),"""",IFERROR(LET(data,GOOGLEFINANCE(""NSE:""&amp;UPPER(TRIM(B192)),""close"",A192-10,A192,""DAILY""),INDEX(data,ROWS(data),2)),""Not Available""))"),476.95)</f>
        <v>476.95</v>
      </c>
      <c r="D192" s="13">
        <f>IFERROR(__xludf.DUMMYFUNCTION("IF(B192="""","""",IFERROR(GOOGLEFINANCE(""NSE:""&amp;UPPER(TRIM(B192)),""price""),""Not Available""))"),448.3)</f>
        <v>448.3</v>
      </c>
      <c r="E192" s="64">
        <f t="shared" si="1"/>
        <v>-0.06006918964</v>
      </c>
      <c r="F192" s="66"/>
      <c r="G192" s="13">
        <f t="shared" si="2"/>
        <v>142</v>
      </c>
      <c r="H192" s="66"/>
      <c r="I192" s="66"/>
      <c r="J192" s="66"/>
      <c r="K192" s="66"/>
      <c r="L192" s="66"/>
      <c r="M192" s="66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>
      <c r="A193" s="57">
        <v>46147.0</v>
      </c>
      <c r="B193" s="196" t="s">
        <v>374</v>
      </c>
      <c r="C193" s="13">
        <f>IFERROR(__xludf.DUMMYFUNCTION("IF(OR(B193="""",A193=""""),"""",IFERROR(LET(data,GOOGLEFINANCE(""NSE:""&amp;UPPER(TRIM(B193)),""close"",A193-10,A193,""DAILY""),INDEX(data,ROWS(data),2)),""Not Available""))"),49.27)</f>
        <v>49.27</v>
      </c>
      <c r="D193" s="13">
        <f>IFERROR(__xludf.DUMMYFUNCTION("IF(B193="""","""",IFERROR(GOOGLEFINANCE(""NSE:""&amp;UPPER(TRIM(B193)),""price""),""Not Available""))"),61.19)</f>
        <v>61.19</v>
      </c>
      <c r="E193" s="64">
        <f t="shared" si="1"/>
        <v>0.2419322103</v>
      </c>
      <c r="F193" s="66"/>
      <c r="G193" s="13">
        <f t="shared" si="2"/>
        <v>142</v>
      </c>
      <c r="H193" s="66"/>
      <c r="I193" s="66"/>
      <c r="J193" s="66"/>
      <c r="K193" s="66"/>
      <c r="L193" s="66"/>
      <c r="M193" s="66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>
      <c r="A194" s="57">
        <v>46147.0</v>
      </c>
      <c r="B194" s="196" t="s">
        <v>376</v>
      </c>
      <c r="C194" s="13">
        <f>IFERROR(__xludf.DUMMYFUNCTION("IF(OR(B194="""",A194=""""),"""",IFERROR(LET(data,GOOGLEFINANCE(""NSE:""&amp;UPPER(TRIM(B194)),""close"",A194-10,A194,""DAILY""),INDEX(data,ROWS(data),2)),""Not Available""))"),93.29)</f>
        <v>93.29</v>
      </c>
      <c r="D194" s="13">
        <f>IFERROR(__xludf.DUMMYFUNCTION("IF(B194="""","""",IFERROR(GOOGLEFINANCE(""NSE:""&amp;UPPER(TRIM(B194)),""price""),""Not Available""))"),71.75)</f>
        <v>71.75</v>
      </c>
      <c r="E194" s="64">
        <f t="shared" si="1"/>
        <v>-0.2308929146</v>
      </c>
      <c r="F194" s="66"/>
      <c r="G194" s="13">
        <f t="shared" si="2"/>
        <v>142</v>
      </c>
      <c r="H194" s="66"/>
      <c r="I194" s="66"/>
      <c r="J194" s="66"/>
      <c r="K194" s="66"/>
      <c r="L194" s="66"/>
      <c r="M194" s="66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>
      <c r="A195" s="85">
        <v>46147.0</v>
      </c>
      <c r="B195" s="198" t="s">
        <v>377</v>
      </c>
      <c r="C195" s="69">
        <f>IFERROR(__xludf.DUMMYFUNCTION("IF(OR(B195="""",A195=""""),"""",IFERROR(LET(data,GOOGLEFINANCE(""NSE:""&amp;UPPER(TRIM(B195)),""close"",A195-10,A195,""DAILY""),INDEX(data,ROWS(data),2)),""Not Available""))"),77.3)</f>
        <v>77.3</v>
      </c>
      <c r="D195" s="69">
        <f>IFERROR(__xludf.DUMMYFUNCTION("IF(B195="""","""",IFERROR(GOOGLEFINANCE(""NSE:""&amp;UPPER(TRIM(B195)),""price""),""Not Available""))"),84.48)</f>
        <v>84.48</v>
      </c>
      <c r="E195" s="87">
        <f t="shared" si="1"/>
        <v>0.09288486417</v>
      </c>
      <c r="F195" s="88"/>
      <c r="G195" s="69">
        <f t="shared" si="2"/>
        <v>142</v>
      </c>
      <c r="H195" s="88"/>
      <c r="I195" s="88"/>
      <c r="J195" s="88"/>
      <c r="K195" s="88"/>
      <c r="L195" s="88"/>
      <c r="M195" s="88"/>
      <c r="N195" s="69"/>
      <c r="O195" s="69"/>
      <c r="P195" s="69"/>
      <c r="Q195" s="69"/>
      <c r="R195" s="69"/>
      <c r="S195" s="69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>
      <c r="A196" s="57">
        <v>46147.0</v>
      </c>
      <c r="B196" s="196" t="s">
        <v>379</v>
      </c>
      <c r="C196" s="13">
        <f>IFERROR(__xludf.DUMMYFUNCTION("IF(OR(B196="""",A196=""""),"""",IFERROR(LET(data,GOOGLEFINANCE(""NSE:""&amp;UPPER(TRIM(B196)),""close"",A196-10,A196,""DAILY""),INDEX(data,ROWS(data),2)),""Not Available""))"),90.61)</f>
        <v>90.61</v>
      </c>
      <c r="D196" s="13">
        <f>IFERROR(__xludf.DUMMYFUNCTION("IF(B196="""","""",IFERROR(GOOGLEFINANCE(""NSE:""&amp;UPPER(TRIM(B196)),""price""),""Not Available""))"),70.85)</f>
        <v>70.85</v>
      </c>
      <c r="E196" s="64">
        <f t="shared" si="1"/>
        <v>-0.2180774749</v>
      </c>
      <c r="F196" s="66"/>
      <c r="G196" s="13">
        <f t="shared" si="2"/>
        <v>142</v>
      </c>
      <c r="H196" s="66"/>
      <c r="I196" s="66"/>
      <c r="J196" s="66"/>
      <c r="K196" s="66"/>
      <c r="L196" s="66"/>
      <c r="M196" s="66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>
      <c r="A197" s="57">
        <v>46147.0</v>
      </c>
      <c r="B197" s="196" t="s">
        <v>380</v>
      </c>
      <c r="C197" s="13">
        <f>IFERROR(__xludf.DUMMYFUNCTION("IF(OR(B197="""",A197=""""),"""",IFERROR(LET(data,GOOGLEFINANCE(""NSE:""&amp;UPPER(TRIM(B197)),""close"",A197-10,A197,""DAILY""),INDEX(data,ROWS(data),2)),""Not Available""))"),624.05)</f>
        <v>624.05</v>
      </c>
      <c r="D197" s="13">
        <f>IFERROR(__xludf.DUMMYFUNCTION("IF(B197="""","""",IFERROR(GOOGLEFINANCE(""NSE:""&amp;UPPER(TRIM(B197)),""price""),""Not Available""))"),719.35)</f>
        <v>719.35</v>
      </c>
      <c r="E197" s="64">
        <f t="shared" si="1"/>
        <v>0.1527121224</v>
      </c>
      <c r="F197" s="66"/>
      <c r="G197" s="13">
        <f t="shared" si="2"/>
        <v>142</v>
      </c>
      <c r="H197" s="66"/>
      <c r="I197" s="66"/>
      <c r="J197" s="66"/>
      <c r="K197" s="66"/>
      <c r="L197" s="66"/>
      <c r="M197" s="66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>
      <c r="A198" s="57">
        <v>46147.0</v>
      </c>
      <c r="B198" s="196" t="s">
        <v>382</v>
      </c>
      <c r="C198" s="13">
        <f>IFERROR(__xludf.DUMMYFUNCTION("IF(OR(B198="""",A198=""""),"""",IFERROR(LET(data,GOOGLEFINANCE(""NSE:""&amp;UPPER(TRIM(B198)),""close"",A198-10,A198,""DAILY""),INDEX(data,ROWS(data),2)),""Not Available""))"),439.35)</f>
        <v>439.35</v>
      </c>
      <c r="D198" s="13">
        <f>IFERROR(__xludf.DUMMYFUNCTION("IF(B198="""","""",IFERROR(GOOGLEFINANCE(""NSE:""&amp;UPPER(TRIM(B198)),""price""),""Not Available""))"),591.0)</f>
        <v>591</v>
      </c>
      <c r="E198" s="64">
        <f t="shared" si="1"/>
        <v>0.3451689997</v>
      </c>
      <c r="F198" s="66"/>
      <c r="G198" s="13">
        <f t="shared" si="2"/>
        <v>142</v>
      </c>
      <c r="H198" s="66"/>
      <c r="I198" s="66"/>
      <c r="J198" s="66"/>
      <c r="K198" s="66"/>
      <c r="L198" s="66"/>
      <c r="M198" s="66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>
      <c r="A199" s="57">
        <v>46147.0</v>
      </c>
      <c r="B199" s="196" t="s">
        <v>383</v>
      </c>
      <c r="C199" s="13">
        <f>IFERROR(__xludf.DUMMYFUNCTION("IF(OR(B199="""",A199=""""),"""",IFERROR(LET(data,GOOGLEFINANCE(""NSE:""&amp;UPPER(TRIM(B199)),""close"",A199-10,A199,""DAILY""),INDEX(data,ROWS(data),2)),""Not Available""))"),350.8)</f>
        <v>350.8</v>
      </c>
      <c r="D199" s="13">
        <f>IFERROR(__xludf.DUMMYFUNCTION("IF(B199="""","""",IFERROR(GOOGLEFINANCE(""NSE:""&amp;UPPER(TRIM(B199)),""price""),""Not Available""))"),393.65)</f>
        <v>393.65</v>
      </c>
      <c r="E199" s="64">
        <f t="shared" si="1"/>
        <v>0.1221493729</v>
      </c>
      <c r="F199" s="66"/>
      <c r="G199" s="13">
        <f t="shared" si="2"/>
        <v>142</v>
      </c>
      <c r="H199" s="66"/>
      <c r="I199" s="66"/>
      <c r="J199" s="66"/>
      <c r="K199" s="66"/>
      <c r="L199" s="66"/>
      <c r="M199" s="66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>
      <c r="A200" s="57">
        <v>46146.0</v>
      </c>
      <c r="B200" s="196" t="s">
        <v>385</v>
      </c>
      <c r="C200" s="13">
        <f>IFERROR(__xludf.DUMMYFUNCTION("IF(OR(B200="""",A200=""""),"""",IFERROR(LET(data,GOOGLEFINANCE(""NSE:""&amp;UPPER(TRIM(B200)),""close"",A200-10,A200,""DAILY""),INDEX(data,ROWS(data),2)),""Not Available""))"),70.9)</f>
        <v>70.9</v>
      </c>
      <c r="D200" s="13">
        <f>IFERROR(__xludf.DUMMYFUNCTION("IF(B200="""","""",IFERROR(GOOGLEFINANCE(""NSE:""&amp;UPPER(TRIM(B200)),""price""),""Not Available""))"),70.13)</f>
        <v>70.13</v>
      </c>
      <c r="E200" s="64">
        <f t="shared" si="1"/>
        <v>-0.01086036671</v>
      </c>
      <c r="F200" s="66"/>
      <c r="G200" s="13">
        <f t="shared" si="2"/>
        <v>143</v>
      </c>
      <c r="H200" s="66"/>
      <c r="I200" s="66"/>
      <c r="J200" s="66"/>
      <c r="K200" s="66"/>
      <c r="L200" s="66"/>
      <c r="M200" s="66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>
      <c r="A201" s="57">
        <v>46146.0</v>
      </c>
      <c r="B201" s="196" t="s">
        <v>383</v>
      </c>
      <c r="C201" s="13">
        <f>IFERROR(__xludf.DUMMYFUNCTION("IF(OR(B201="""",A201=""""),"""",IFERROR(LET(data,GOOGLEFINANCE(""NSE:""&amp;UPPER(TRIM(B201)),""close"",A201-10,A201,""DAILY""),INDEX(data,ROWS(data),2)),""Not Available""))"),321.15)</f>
        <v>321.15</v>
      </c>
      <c r="D201" s="13">
        <f>IFERROR(__xludf.DUMMYFUNCTION("IF(B201="""","""",IFERROR(GOOGLEFINANCE(""NSE:""&amp;UPPER(TRIM(B201)),""price""),""Not Available""))"),393.65)</f>
        <v>393.65</v>
      </c>
      <c r="E201" s="64">
        <f t="shared" si="1"/>
        <v>0.2257512066</v>
      </c>
      <c r="F201" s="66"/>
      <c r="G201" s="13">
        <f t="shared" si="2"/>
        <v>143</v>
      </c>
      <c r="H201" s="66"/>
      <c r="I201" s="66"/>
      <c r="J201" s="66"/>
      <c r="K201" s="66"/>
      <c r="L201" s="66"/>
      <c r="M201" s="66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>
      <c r="A202" s="57">
        <v>46146.0</v>
      </c>
      <c r="B202" s="196" t="s">
        <v>386</v>
      </c>
      <c r="C202" s="13">
        <f>IFERROR(__xludf.DUMMYFUNCTION("IF(OR(B202="""",A202=""""),"""",IFERROR(LET(data,GOOGLEFINANCE(""NSE:""&amp;UPPER(TRIM(B202)),""close"",A202-10,A202,""DAILY""),INDEX(data,ROWS(data),2)),""Not Available""))"),1573.4)</f>
        <v>1573.4</v>
      </c>
      <c r="D202" s="13">
        <f>IFERROR(__xludf.DUMMYFUNCTION("IF(B202="""","""",IFERROR(GOOGLEFINANCE(""NSE:""&amp;UPPER(TRIM(B202)),""price""),""Not Available""))"),1964.0)</f>
        <v>1964</v>
      </c>
      <c r="E202" s="64">
        <f t="shared" si="1"/>
        <v>0.2482521927</v>
      </c>
      <c r="F202" s="66"/>
      <c r="G202" s="13">
        <f t="shared" si="2"/>
        <v>143</v>
      </c>
      <c r="H202" s="66"/>
      <c r="I202" s="66"/>
      <c r="J202" s="66"/>
      <c r="K202" s="66"/>
      <c r="L202" s="66"/>
      <c r="M202" s="66"/>
      <c r="N202" s="13"/>
      <c r="O202" s="13"/>
      <c r="P202" s="13"/>
      <c r="Q202" s="13"/>
      <c r="R202" s="13"/>
      <c r="S202" s="13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</row>
    <row r="203">
      <c r="A203" s="57">
        <v>46146.0</v>
      </c>
      <c r="B203" s="196" t="s">
        <v>387</v>
      </c>
      <c r="C203" s="13">
        <f>IFERROR(__xludf.DUMMYFUNCTION("IF(OR(B203="""",A203=""""),"""",IFERROR(LET(data,GOOGLEFINANCE(""NSE:""&amp;UPPER(TRIM(B203)),""close"",A203-10,A203,""DAILY""),INDEX(data,ROWS(data),2)),""Not Available""))"),744.85)</f>
        <v>744.85</v>
      </c>
      <c r="D203" s="13">
        <f>IFERROR(__xludf.DUMMYFUNCTION("IF(B203="""","""",IFERROR(GOOGLEFINANCE(""NSE:""&amp;UPPER(TRIM(B203)),""price""),""Not Available""))"),770.7)</f>
        <v>770.7</v>
      </c>
      <c r="E203" s="64">
        <f t="shared" si="1"/>
        <v>0.03470497416</v>
      </c>
      <c r="F203" s="66"/>
      <c r="G203" s="13">
        <f t="shared" si="2"/>
        <v>143</v>
      </c>
      <c r="H203" s="66"/>
      <c r="I203" s="66"/>
      <c r="J203" s="66"/>
      <c r="K203" s="66"/>
      <c r="L203" s="66"/>
      <c r="M203" s="66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>
      <c r="A204" s="57">
        <v>46146.0</v>
      </c>
      <c r="B204" s="196" t="s">
        <v>388</v>
      </c>
      <c r="C204" s="13">
        <f>IFERROR(__xludf.DUMMYFUNCTION("IF(OR(B204="""",A204=""""),"""",IFERROR(LET(data,GOOGLEFINANCE(""NSE:""&amp;UPPER(TRIM(B204)),""close"",A204-10,A204,""DAILY""),INDEX(data,ROWS(data),2)),""Not Available""))"),968.25)</f>
        <v>968.25</v>
      </c>
      <c r="D204" s="13">
        <f>IFERROR(__xludf.DUMMYFUNCTION("IF(B204="""","""",IFERROR(GOOGLEFINANCE(""NSE:""&amp;UPPER(TRIM(B204)),""price""),""Not Available""))"),1504.2)</f>
        <v>1504.2</v>
      </c>
      <c r="E204" s="64">
        <f t="shared" si="1"/>
        <v>0.5535243997</v>
      </c>
      <c r="F204" s="66"/>
      <c r="G204" s="13">
        <f t="shared" si="2"/>
        <v>143</v>
      </c>
      <c r="H204" s="66"/>
      <c r="I204" s="66"/>
      <c r="J204" s="66"/>
      <c r="K204" s="66"/>
      <c r="L204" s="66"/>
      <c r="M204" s="66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>
      <c r="A205" s="57">
        <v>46146.0</v>
      </c>
      <c r="B205" s="196" t="s">
        <v>389</v>
      </c>
      <c r="C205" s="13">
        <f>IFERROR(__xludf.DUMMYFUNCTION("IF(OR(B205="""",A205=""""),"""",IFERROR(LET(data,GOOGLEFINANCE(""NSE:""&amp;UPPER(TRIM(B205)),""close"",A205-10,A205,""DAILY""),INDEX(data,ROWS(data),2)),""Not Available""))"),537.0)</f>
        <v>537</v>
      </c>
      <c r="D205" s="13">
        <f>IFERROR(__xludf.DUMMYFUNCTION("IF(B205="""","""",IFERROR(GOOGLEFINANCE(""NSE:""&amp;UPPER(TRIM(B205)),""price""),""Not Available""))"),453.0)</f>
        <v>453</v>
      </c>
      <c r="E205" s="64">
        <f t="shared" si="1"/>
        <v>-0.156424581</v>
      </c>
      <c r="F205" s="66"/>
      <c r="G205" s="13">
        <f t="shared" si="2"/>
        <v>143</v>
      </c>
      <c r="H205" s="66"/>
      <c r="I205" s="66"/>
      <c r="J205" s="66"/>
      <c r="K205" s="66"/>
      <c r="L205" s="66"/>
      <c r="M205" s="66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>
      <c r="A206" s="57">
        <v>46146.0</v>
      </c>
      <c r="B206" s="196" t="s">
        <v>390</v>
      </c>
      <c r="C206" s="13">
        <f>IFERROR(__xludf.DUMMYFUNCTION("IF(OR(B206="""",A206=""""),"""",IFERROR(LET(data,GOOGLEFINANCE(""NSE:""&amp;UPPER(TRIM(B206)),""close"",A206-10,A206,""DAILY""),INDEX(data,ROWS(data),2)),""Not Available""))"),844.4)</f>
        <v>844.4</v>
      </c>
      <c r="D206" s="13">
        <f>IFERROR(__xludf.DUMMYFUNCTION("IF(B206="""","""",IFERROR(GOOGLEFINANCE(""NSE:""&amp;UPPER(TRIM(B206)),""price""),""Not Available""))"),1291.2)</f>
        <v>1291.2</v>
      </c>
      <c r="E206" s="64">
        <f t="shared" si="1"/>
        <v>0.5291331123</v>
      </c>
      <c r="F206" s="66"/>
      <c r="G206" s="13">
        <f t="shared" si="2"/>
        <v>143</v>
      </c>
      <c r="H206" s="66"/>
      <c r="I206" s="66"/>
      <c r="J206" s="66"/>
      <c r="K206" s="66"/>
      <c r="L206" s="66"/>
      <c r="M206" s="66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>
      <c r="A207" s="57">
        <v>46146.0</v>
      </c>
      <c r="B207" s="196" t="s">
        <v>391</v>
      </c>
      <c r="C207" s="13">
        <f>IFERROR(__xludf.DUMMYFUNCTION("IF(OR(B207="""",A207=""""),"""",IFERROR(LET(data,GOOGLEFINANCE(""NSE:""&amp;UPPER(TRIM(B207)),""close"",A207-10,A207,""DAILY""),INDEX(data,ROWS(data),2)),""Not Available""))"),25.56)</f>
        <v>25.56</v>
      </c>
      <c r="D207" s="13">
        <f>IFERROR(__xludf.DUMMYFUNCTION("IF(B207="""","""",IFERROR(GOOGLEFINANCE(""NSE:""&amp;UPPER(TRIM(B207)),""price""),""Not Available""))"),22.3)</f>
        <v>22.3</v>
      </c>
      <c r="E207" s="64">
        <f t="shared" si="1"/>
        <v>-0.127543036</v>
      </c>
      <c r="F207" s="66"/>
      <c r="G207" s="13">
        <f t="shared" si="2"/>
        <v>143</v>
      </c>
      <c r="H207" s="66"/>
      <c r="I207" s="66"/>
      <c r="J207" s="66"/>
      <c r="K207" s="66"/>
      <c r="L207" s="66"/>
      <c r="M207" s="66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>
      <c r="A208" s="57">
        <v>46145.0</v>
      </c>
      <c r="B208" s="196" t="s">
        <v>392</v>
      </c>
      <c r="C208" s="13">
        <f>IFERROR(__xludf.DUMMYFUNCTION("IF(OR(B208="""",A208=""""),"""",IFERROR(LET(data,GOOGLEFINANCE(""NSE:""&amp;UPPER(TRIM(B208)),""close"",A208-10,A208,""DAILY""),INDEX(data,ROWS(data),2)),""Not Available""))"),534.35)</f>
        <v>534.35</v>
      </c>
      <c r="D208" s="13">
        <f>IFERROR(__xludf.DUMMYFUNCTION("IF(B208="""","""",IFERROR(GOOGLEFINANCE(""NSE:""&amp;UPPER(TRIM(B208)),""price""),""Not Available""))"),854.8)</f>
        <v>854.8</v>
      </c>
      <c r="E208" s="64">
        <f t="shared" si="1"/>
        <v>0.5997005708</v>
      </c>
      <c r="F208" s="66"/>
      <c r="G208" s="13">
        <f t="shared" si="2"/>
        <v>144</v>
      </c>
      <c r="H208" s="66"/>
      <c r="I208" s="66"/>
      <c r="J208" s="66"/>
      <c r="K208" s="66"/>
      <c r="L208" s="66"/>
      <c r="M208" s="66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>
      <c r="A209" s="57">
        <v>46145.0</v>
      </c>
      <c r="B209" s="196" t="s">
        <v>393</v>
      </c>
      <c r="C209" s="13">
        <f>IFERROR(__xludf.DUMMYFUNCTION("IF(OR(B209="""",A209=""""),"""",IFERROR(LET(data,GOOGLEFINANCE(""NSE:""&amp;UPPER(TRIM(B209)),""close"",A209-10,A209,""DAILY""),INDEX(data,ROWS(data),2)),""Not Available""))"),787.15)</f>
        <v>787.15</v>
      </c>
      <c r="D209" s="13">
        <f>IFERROR(__xludf.DUMMYFUNCTION("IF(B209="""","""",IFERROR(GOOGLEFINANCE(""NSE:""&amp;UPPER(TRIM(B209)),""price""),""Not Available""))"),804.1)</f>
        <v>804.1</v>
      </c>
      <c r="E209" s="64">
        <f t="shared" si="1"/>
        <v>0.02153337991</v>
      </c>
      <c r="F209" s="66"/>
      <c r="G209" s="13">
        <f t="shared" si="2"/>
        <v>144</v>
      </c>
      <c r="H209" s="66"/>
      <c r="I209" s="66"/>
      <c r="J209" s="66"/>
      <c r="K209" s="66"/>
      <c r="L209" s="66"/>
      <c r="M209" s="66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>
      <c r="A210" s="57">
        <v>46145.0</v>
      </c>
      <c r="B210" s="196" t="s">
        <v>394</v>
      </c>
      <c r="C210" s="13">
        <f>IFERROR(__xludf.DUMMYFUNCTION("IF(OR(B210="""",A210=""""),"""",IFERROR(LET(data,GOOGLEFINANCE(""NSE:""&amp;UPPER(TRIM(B210)),""close"",A210-10,A210,""DAILY""),INDEX(data,ROWS(data),2)),""Not Available""))"),207.7)</f>
        <v>207.7</v>
      </c>
      <c r="D210" s="13">
        <f>IFERROR(__xludf.DUMMYFUNCTION("IF(B210="""","""",IFERROR(GOOGLEFINANCE(""NSE:""&amp;UPPER(TRIM(B210)),""price""),""Not Available""))"),156.45)</f>
        <v>156.45</v>
      </c>
      <c r="E210" s="64">
        <f t="shared" si="1"/>
        <v>-0.2467501204</v>
      </c>
      <c r="F210" s="66"/>
      <c r="G210" s="13">
        <f t="shared" si="2"/>
        <v>144</v>
      </c>
      <c r="H210" s="66"/>
      <c r="I210" s="66"/>
      <c r="J210" s="66"/>
      <c r="K210" s="66"/>
      <c r="L210" s="66"/>
      <c r="M210" s="66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>
      <c r="A211" s="57">
        <v>46145.0</v>
      </c>
      <c r="B211" s="196" t="s">
        <v>397</v>
      </c>
      <c r="C211" s="13">
        <f>IFERROR(__xludf.DUMMYFUNCTION("IF(OR(B211="""",A211=""""),"""",IFERROR(LET(data,GOOGLEFINANCE(""NSE:""&amp;UPPER(TRIM(B211)),""close"",A211-10,A211,""DAILY""),INDEX(data,ROWS(data),2)),""Not Available""))"),6502.5)</f>
        <v>6502.5</v>
      </c>
      <c r="D211" s="13">
        <f>IFERROR(__xludf.DUMMYFUNCTION("IF(B211="""","""",IFERROR(GOOGLEFINANCE(""NSE:""&amp;UPPER(TRIM(B211)),""price""),""Not Available""))"),9628.5)</f>
        <v>9628.5</v>
      </c>
      <c r="E211" s="64">
        <f t="shared" si="1"/>
        <v>0.4807381776</v>
      </c>
      <c r="F211" s="66"/>
      <c r="G211" s="13">
        <f t="shared" si="2"/>
        <v>144</v>
      </c>
      <c r="H211" s="66"/>
      <c r="I211" s="66"/>
      <c r="J211" s="66"/>
      <c r="K211" s="66"/>
      <c r="L211" s="66"/>
      <c r="M211" s="66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>
      <c r="A212" s="57">
        <v>46145.0</v>
      </c>
      <c r="B212" s="196" t="s">
        <v>398</v>
      </c>
      <c r="C212" s="13">
        <f>IFERROR(__xludf.DUMMYFUNCTION("IF(OR(B212="""",A212=""""),"""",IFERROR(LET(data,GOOGLEFINANCE(""NSE:""&amp;UPPER(TRIM(B212)),""close"",A212-10,A212,""DAILY""),INDEX(data,ROWS(data),2)),""Not Available""))"),1698.2)</f>
        <v>1698.2</v>
      </c>
      <c r="D212" s="13">
        <f>IFERROR(__xludf.DUMMYFUNCTION("IF(B212="""","""",IFERROR(GOOGLEFINANCE(""NSE:""&amp;UPPER(TRIM(B212)),""price""),""Not Available""))"),2185.3)</f>
        <v>2185.3</v>
      </c>
      <c r="E212" s="64">
        <f t="shared" si="1"/>
        <v>0.2868331174</v>
      </c>
      <c r="F212" s="66"/>
      <c r="G212" s="13">
        <f t="shared" si="2"/>
        <v>144</v>
      </c>
      <c r="H212" s="66"/>
      <c r="I212" s="66"/>
      <c r="J212" s="66"/>
      <c r="K212" s="66"/>
      <c r="L212" s="66"/>
      <c r="M212" s="66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>
      <c r="A213" s="57">
        <v>46145.0</v>
      </c>
      <c r="B213" s="196" t="s">
        <v>399</v>
      </c>
      <c r="C213" s="13">
        <f>IFERROR(__xludf.DUMMYFUNCTION("IF(OR(B213="""",A213=""""),"""",IFERROR(LET(data,GOOGLEFINANCE(""NSE:""&amp;UPPER(TRIM(B213)),""close"",A213-10,A213,""DAILY""),INDEX(data,ROWS(data),2)),""Not Available""))"),1042.05)</f>
        <v>1042.05</v>
      </c>
      <c r="D213" s="13">
        <f>IFERROR(__xludf.DUMMYFUNCTION("IF(B213="""","""",IFERROR(GOOGLEFINANCE(""NSE:""&amp;UPPER(TRIM(B213)),""price""),""Not Available""))"),306.4)</f>
        <v>306.4</v>
      </c>
      <c r="E213" s="64">
        <f t="shared" si="1"/>
        <v>-0.7059642052</v>
      </c>
      <c r="F213" s="66"/>
      <c r="G213" s="13">
        <f t="shared" si="2"/>
        <v>144</v>
      </c>
      <c r="H213" s="66"/>
      <c r="I213" s="66"/>
      <c r="J213" s="66"/>
      <c r="K213" s="66"/>
      <c r="L213" s="66"/>
      <c r="M213" s="66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>
      <c r="A214" s="57">
        <v>46145.0</v>
      </c>
      <c r="B214" s="196" t="s">
        <v>400</v>
      </c>
      <c r="C214" s="13">
        <f>IFERROR(__xludf.DUMMYFUNCTION("IF(OR(B214="""",A214=""""),"""",IFERROR(LET(data,GOOGLEFINANCE(""NSE:""&amp;UPPER(TRIM(B214)),""close"",A214-10,A214,""DAILY""),INDEX(data,ROWS(data),2)),""Not Available""))"),152.89)</f>
        <v>152.89</v>
      </c>
      <c r="D214" s="13">
        <f>IFERROR(__xludf.DUMMYFUNCTION("IF(B214="""","""",IFERROR(GOOGLEFINANCE(""NSE:""&amp;UPPER(TRIM(B214)),""price""),""Not Available""))"),144.35)</f>
        <v>144.35</v>
      </c>
      <c r="E214" s="64">
        <f t="shared" si="1"/>
        <v>-0.0558571522</v>
      </c>
      <c r="F214" s="66"/>
      <c r="G214" s="13">
        <f t="shared" si="2"/>
        <v>144</v>
      </c>
      <c r="H214" s="66"/>
      <c r="I214" s="66"/>
      <c r="J214" s="66"/>
      <c r="K214" s="66"/>
      <c r="L214" s="66"/>
      <c r="M214" s="66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>
      <c r="A215" s="57">
        <v>46145.0</v>
      </c>
      <c r="B215" s="196" t="s">
        <v>402</v>
      </c>
      <c r="C215" s="13">
        <f>IFERROR(__xludf.DUMMYFUNCTION("IF(OR(B215="""",A215=""""),"""",IFERROR(LET(data,GOOGLEFINANCE(""NSE:""&amp;UPPER(TRIM(B215)),""close"",A215-10,A215,""DAILY""),INDEX(data,ROWS(data),2)),""Not Available""))"),461.9)</f>
        <v>461.9</v>
      </c>
      <c r="D215" s="13">
        <f>IFERROR(__xludf.DUMMYFUNCTION("IF(B215="""","""",IFERROR(GOOGLEFINANCE(""NSE:""&amp;UPPER(TRIM(B215)),""price""),""Not Available""))"),607.3)</f>
        <v>607.3</v>
      </c>
      <c r="E215" s="64">
        <f t="shared" si="1"/>
        <v>0.3147867504</v>
      </c>
      <c r="F215" s="66"/>
      <c r="G215" s="13">
        <f t="shared" si="2"/>
        <v>144</v>
      </c>
      <c r="H215" s="66"/>
      <c r="I215" s="66"/>
      <c r="J215" s="66"/>
      <c r="K215" s="66"/>
      <c r="L215" s="66"/>
      <c r="M215" s="66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>
      <c r="A216" s="57">
        <v>46145.0</v>
      </c>
      <c r="B216" s="196" t="s">
        <v>403</v>
      </c>
      <c r="C216" s="13">
        <f>IFERROR(__xludf.DUMMYFUNCTION("IF(OR(B216="""",A216=""""),"""",IFERROR(LET(data,GOOGLEFINANCE(""NSE:""&amp;UPPER(TRIM(B216)),""close"",A216-10,A216,""DAILY""),INDEX(data,ROWS(data),2)),""Not Available""))"),110.79)</f>
        <v>110.79</v>
      </c>
      <c r="D216" s="13">
        <f>IFERROR(__xludf.DUMMYFUNCTION("IF(B216="""","""",IFERROR(GOOGLEFINANCE(""NSE:""&amp;UPPER(TRIM(B216)),""price""),""Not Available""))"),89.59)</f>
        <v>89.59</v>
      </c>
      <c r="E216" s="64">
        <f t="shared" si="1"/>
        <v>-0.1913530102</v>
      </c>
      <c r="F216" s="66"/>
      <c r="G216" s="13">
        <f t="shared" si="2"/>
        <v>144</v>
      </c>
      <c r="H216" s="66"/>
      <c r="I216" s="66"/>
      <c r="J216" s="66"/>
      <c r="K216" s="66"/>
      <c r="L216" s="66"/>
      <c r="M216" s="66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>
      <c r="A217" s="57">
        <v>46145.0</v>
      </c>
      <c r="B217" s="196" t="s">
        <v>405</v>
      </c>
      <c r="C217" s="13">
        <f>IFERROR(__xludf.DUMMYFUNCTION("IF(OR(B217="""",A217=""""),"""",IFERROR(LET(data,GOOGLEFINANCE(""NSE:""&amp;UPPER(TRIM(B217)),""close"",A217-10,A217,""DAILY""),INDEX(data,ROWS(data),2)),""Not Available""))"),347.7)</f>
        <v>347.7</v>
      </c>
      <c r="D217" s="13">
        <f>IFERROR(__xludf.DUMMYFUNCTION("IF(B217="""","""",IFERROR(GOOGLEFINANCE(""NSE:""&amp;UPPER(TRIM(B217)),""price""),""Not Available""))"),294.05)</f>
        <v>294.05</v>
      </c>
      <c r="E217" s="64">
        <f t="shared" si="1"/>
        <v>-0.1542996836</v>
      </c>
      <c r="F217" s="66"/>
      <c r="G217" s="13">
        <f t="shared" si="2"/>
        <v>144</v>
      </c>
      <c r="H217" s="66"/>
      <c r="I217" s="66"/>
      <c r="J217" s="66"/>
      <c r="K217" s="66"/>
      <c r="L217" s="66"/>
      <c r="M217" s="66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>
      <c r="A218" s="201">
        <v>46145.0</v>
      </c>
      <c r="B218" s="202" t="s">
        <v>242</v>
      </c>
      <c r="C218" s="77">
        <f>IFERROR(__xludf.DUMMYFUNCTION("IF(OR(B218="""",A218=""""),"""",IFERROR(LET(data,GOOGLEFINANCE(""NSE:""&amp;UPPER(TRIM(B218)),""close"",A218-10,A218,""DAILY""),INDEX(data,ROWS(data),2)),""Not Available""))"),694.9)</f>
        <v>694.9</v>
      </c>
      <c r="D218" s="77">
        <f>IFERROR(__xludf.DUMMYFUNCTION("IF(B218="""","""",IFERROR(GOOGLEFINANCE(""NSE:""&amp;UPPER(TRIM(B218)),""price""),""Not Available""))"),966.25)</f>
        <v>966.25</v>
      </c>
      <c r="E218" s="203">
        <f t="shared" si="1"/>
        <v>0.39048784</v>
      </c>
      <c r="F218" s="204"/>
      <c r="G218" s="77">
        <f t="shared" si="2"/>
        <v>144</v>
      </c>
      <c r="H218" s="204"/>
      <c r="I218" s="204"/>
      <c r="J218" s="204"/>
      <c r="K218" s="204"/>
      <c r="L218" s="204"/>
      <c r="M218" s="204"/>
      <c r="N218" s="77"/>
      <c r="O218" s="77"/>
      <c r="P218" s="77"/>
      <c r="Q218" s="77"/>
      <c r="R218" s="77"/>
      <c r="S218" s="77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</row>
    <row r="219">
      <c r="A219" s="57">
        <v>46145.0</v>
      </c>
      <c r="B219" s="196" t="s">
        <v>232</v>
      </c>
      <c r="C219" s="13">
        <f>IFERROR(__xludf.DUMMYFUNCTION("IF(OR(B219="""",A219=""""),"""",IFERROR(LET(data,GOOGLEFINANCE(""NSE:""&amp;UPPER(TRIM(B219)),""close"",A219-10,A219,""DAILY""),INDEX(data,ROWS(data),2)),""Not Available""))"),740.25)</f>
        <v>740.25</v>
      </c>
      <c r="D219" s="13">
        <f>IFERROR(__xludf.DUMMYFUNCTION("IF(B219="""","""",IFERROR(GOOGLEFINANCE(""NSE:""&amp;UPPER(TRIM(B219)),""price""),""Not Available""))"),935.1)</f>
        <v>935.1</v>
      </c>
      <c r="E219" s="64">
        <f t="shared" si="1"/>
        <v>0.2632218845</v>
      </c>
      <c r="F219" s="66"/>
      <c r="G219" s="13">
        <f t="shared" si="2"/>
        <v>144</v>
      </c>
      <c r="H219" s="66"/>
      <c r="I219" s="66"/>
      <c r="J219" s="66"/>
      <c r="K219" s="66"/>
      <c r="L219" s="66"/>
      <c r="M219" s="66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>
      <c r="A220" s="57">
        <v>46145.0</v>
      </c>
      <c r="B220" s="196" t="s">
        <v>407</v>
      </c>
      <c r="C220" s="13">
        <f>IFERROR(__xludf.DUMMYFUNCTION("IF(OR(B220="""",A220=""""),"""",IFERROR(LET(data,GOOGLEFINANCE(""NSE:""&amp;UPPER(TRIM(B220)),""close"",A220-10,A220,""DAILY""),INDEX(data,ROWS(data),2)),""Not Available""))"),395.55)</f>
        <v>395.55</v>
      </c>
      <c r="D220" s="13">
        <f>IFERROR(__xludf.DUMMYFUNCTION("IF(B220="""","""",IFERROR(GOOGLEFINANCE(""NSE:""&amp;UPPER(TRIM(B220)),""price""),""Not Available""))"),267.65)</f>
        <v>267.65</v>
      </c>
      <c r="E220" s="64">
        <f t="shared" si="1"/>
        <v>-0.323347238</v>
      </c>
      <c r="F220" s="66"/>
      <c r="G220" s="13">
        <f t="shared" si="2"/>
        <v>144</v>
      </c>
      <c r="H220" s="66"/>
      <c r="I220" s="66"/>
      <c r="J220" s="66"/>
      <c r="K220" s="66"/>
      <c r="L220" s="66"/>
      <c r="M220" s="66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>
      <c r="A221" s="57">
        <v>46145.0</v>
      </c>
      <c r="B221" s="196" t="s">
        <v>145</v>
      </c>
      <c r="C221" s="13">
        <f>IFERROR(__xludf.DUMMYFUNCTION("IF(OR(B221="""",A221=""""),"""",IFERROR(LET(data,GOOGLEFINANCE(""NSE:""&amp;UPPER(TRIM(B221)),""close"",A221-10,A221,""DAILY""),INDEX(data,ROWS(data),2)),""Not Available""))"),469.9)</f>
        <v>469.9</v>
      </c>
      <c r="D221" s="13">
        <f>IFERROR(__xludf.DUMMYFUNCTION("IF(B221="""","""",IFERROR(GOOGLEFINANCE(""NSE:""&amp;UPPER(TRIM(B221)),""price""),""Not Available""))"),457.45)</f>
        <v>457.45</v>
      </c>
      <c r="E221" s="64">
        <f t="shared" si="1"/>
        <v>-0.02649499894</v>
      </c>
      <c r="F221" s="66"/>
      <c r="G221" s="13">
        <f t="shared" si="2"/>
        <v>144</v>
      </c>
      <c r="H221" s="66"/>
      <c r="I221" s="66"/>
      <c r="J221" s="66"/>
      <c r="K221" s="66"/>
      <c r="L221" s="66"/>
      <c r="M221" s="66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>
      <c r="A222" s="57">
        <v>46145.0</v>
      </c>
      <c r="B222" s="196" t="s">
        <v>408</v>
      </c>
      <c r="C222" s="13">
        <f>IFERROR(__xludf.DUMMYFUNCTION("IF(OR(B222="""",A222=""""),"""",IFERROR(LET(data,GOOGLEFINANCE(""NSE:""&amp;UPPER(TRIM(B222)),""close"",A222-10,A222,""DAILY""),INDEX(data,ROWS(data),2)),""Not Available""))"),2295.0)</f>
        <v>2295</v>
      </c>
      <c r="D222" s="13">
        <f>IFERROR(__xludf.DUMMYFUNCTION("IF(B222="""","""",IFERROR(GOOGLEFINANCE(""NSE:""&amp;UPPER(TRIM(B222)),""price""),""Not Available""))"),2916.3)</f>
        <v>2916.3</v>
      </c>
      <c r="E222" s="64">
        <f t="shared" si="1"/>
        <v>0.2707189542</v>
      </c>
      <c r="F222" s="66"/>
      <c r="G222" s="13">
        <f t="shared" si="2"/>
        <v>144</v>
      </c>
      <c r="H222" s="66"/>
      <c r="I222" s="66"/>
      <c r="J222" s="66"/>
      <c r="K222" s="66"/>
      <c r="L222" s="66"/>
      <c r="M222" s="66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>
      <c r="A223" s="57">
        <v>46143.0</v>
      </c>
      <c r="B223" s="196" t="s">
        <v>409</v>
      </c>
      <c r="C223" s="13">
        <f>IFERROR(__xludf.DUMMYFUNCTION("IF(OR(B223="""",A223=""""),"""",IFERROR(LET(data,GOOGLEFINANCE(""NSE:""&amp;UPPER(TRIM(B223)),""close"",A223-10,A223,""DAILY""),INDEX(data,ROWS(data),2)),""Not Available""))"),79.5)</f>
        <v>79.5</v>
      </c>
      <c r="D223" s="13">
        <f>IFERROR(__xludf.DUMMYFUNCTION("IF(B223="""","""",IFERROR(GOOGLEFINANCE(""NSE:""&amp;UPPER(TRIM(B223)),""price""),""Not Available""))"),90.24)</f>
        <v>90.24</v>
      </c>
      <c r="E223" s="64">
        <f t="shared" si="1"/>
        <v>0.1350943396</v>
      </c>
      <c r="F223" s="66"/>
      <c r="G223" s="13">
        <f t="shared" si="2"/>
        <v>146</v>
      </c>
      <c r="H223" s="66"/>
      <c r="I223" s="66"/>
      <c r="J223" s="66"/>
      <c r="K223" s="66"/>
      <c r="L223" s="66"/>
      <c r="M223" s="66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>
      <c r="A224" s="57">
        <v>46143.0</v>
      </c>
      <c r="B224" s="196" t="s">
        <v>411</v>
      </c>
      <c r="C224" s="13">
        <f>IFERROR(__xludf.DUMMYFUNCTION("IF(OR(B224="""",A224=""""),"""",IFERROR(LET(data,GOOGLEFINANCE(""NSE:""&amp;UPPER(TRIM(B224)),""close"",A224-10,A224,""DAILY""),INDEX(data,ROWS(data),2)),""Not Available""))"),79.96)</f>
        <v>79.96</v>
      </c>
      <c r="D224" s="13">
        <f>IFERROR(__xludf.DUMMYFUNCTION("IF(B224="""","""",IFERROR(GOOGLEFINANCE(""NSE:""&amp;UPPER(TRIM(B224)),""price""),""Not Available""))"),86.89)</f>
        <v>86.89</v>
      </c>
      <c r="E224" s="64">
        <f t="shared" si="1"/>
        <v>0.08666833417</v>
      </c>
      <c r="F224" s="66"/>
      <c r="G224" s="13">
        <f t="shared" si="2"/>
        <v>146</v>
      </c>
      <c r="H224" s="66"/>
      <c r="I224" s="66"/>
      <c r="J224" s="66"/>
      <c r="K224" s="66"/>
      <c r="L224" s="66"/>
      <c r="M224" s="66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>
      <c r="A225" s="57">
        <v>46143.0</v>
      </c>
      <c r="B225" s="196" t="s">
        <v>412</v>
      </c>
      <c r="C225" s="13">
        <f>IFERROR(__xludf.DUMMYFUNCTION("IF(OR(B225="""",A225=""""),"""",IFERROR(LET(data,GOOGLEFINANCE(""NSE:""&amp;UPPER(TRIM(B225)),""close"",A225-10,A225,""DAILY""),INDEX(data,ROWS(data),2)),""Not Available""))"),9.98)</f>
        <v>9.98</v>
      </c>
      <c r="D225" s="13">
        <f>IFERROR(__xludf.DUMMYFUNCTION("IF(B225="""","""",IFERROR(GOOGLEFINANCE(""NSE:""&amp;UPPER(TRIM(B225)),""price""),""Not Available""))"),11.67)</f>
        <v>11.67</v>
      </c>
      <c r="E225" s="64">
        <f t="shared" si="1"/>
        <v>0.1693386774</v>
      </c>
      <c r="F225" s="66"/>
      <c r="G225" s="13">
        <f t="shared" si="2"/>
        <v>146</v>
      </c>
      <c r="H225" s="66"/>
      <c r="I225" s="66"/>
      <c r="J225" s="66"/>
      <c r="K225" s="66"/>
      <c r="L225" s="66"/>
      <c r="M225" s="66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>
      <c r="A226" s="57">
        <v>46143.0</v>
      </c>
      <c r="B226" s="59" t="s">
        <v>413</v>
      </c>
      <c r="C226" s="13">
        <f>IFERROR(__xludf.DUMMYFUNCTION("IF(OR(B226="""",A226=""""),"""",IFERROR(LET(data,GOOGLEFINANCE(""NSE:""&amp;UPPER(TRIM(B226)),""close"",A226-10,A226,""DAILY""),INDEX(data,ROWS(data),2)),""Not Available""))"),1489.7)</f>
        <v>1489.7</v>
      </c>
      <c r="D226" s="13">
        <f>IFERROR(__xludf.DUMMYFUNCTION("IF(B226="""","""",IFERROR(GOOGLEFINANCE(""NSE:""&amp;UPPER(TRIM(B226)),""price""),""Not Available""))"),1555.0)</f>
        <v>1555</v>
      </c>
      <c r="E226" s="64">
        <f t="shared" si="1"/>
        <v>0.04383432906</v>
      </c>
      <c r="F226" s="66"/>
      <c r="G226" s="13">
        <f t="shared" si="2"/>
        <v>146</v>
      </c>
      <c r="H226" s="66"/>
      <c r="I226" s="66"/>
      <c r="J226" s="66"/>
      <c r="K226" s="66"/>
      <c r="L226" s="66"/>
      <c r="M226" s="66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>
      <c r="A227" s="57">
        <v>46143.0</v>
      </c>
      <c r="B227" s="196" t="s">
        <v>414</v>
      </c>
      <c r="C227" s="13">
        <f>IFERROR(__xludf.DUMMYFUNCTION("IF(OR(B227="""",A227=""""),"""",IFERROR(LET(data,GOOGLEFINANCE(""NSE:""&amp;UPPER(TRIM(B227)),""close"",A227-10,A227,""DAILY""),INDEX(data,ROWS(data),2)),""Not Available""))"),2088.3)</f>
        <v>2088.3</v>
      </c>
      <c r="D227" s="13">
        <f>IFERROR(__xludf.DUMMYFUNCTION("IF(B227="""","""",IFERROR(GOOGLEFINANCE(""NSE:""&amp;UPPER(TRIM(B227)),""price""),""Not Available""))"),1674.4)</f>
        <v>1674.4</v>
      </c>
      <c r="E227" s="64">
        <f t="shared" si="1"/>
        <v>-0.1981994924</v>
      </c>
      <c r="F227" s="66"/>
      <c r="G227" s="13">
        <f t="shared" si="2"/>
        <v>146</v>
      </c>
      <c r="H227" s="66"/>
      <c r="I227" s="66"/>
      <c r="J227" s="66"/>
      <c r="K227" s="66"/>
      <c r="L227" s="66"/>
      <c r="M227" s="66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>
      <c r="A228" s="85">
        <v>46142.0</v>
      </c>
      <c r="B228" s="198" t="s">
        <v>415</v>
      </c>
      <c r="C228" s="69">
        <f>IFERROR(__xludf.DUMMYFUNCTION("IF(OR(B228="""",A228=""""),"""",IFERROR(LET(data,GOOGLEFINANCE(""NSE:""&amp;UPPER(TRIM(B228)),""close"",A228-10,A228,""DAILY""),INDEX(data,ROWS(data),2)),""Not Available""))"),1030.5)</f>
        <v>1030.5</v>
      </c>
      <c r="D228" s="69">
        <f>IFERROR(__xludf.DUMMYFUNCTION("IF(B228="""","""",IFERROR(GOOGLEFINANCE(""NSE:""&amp;UPPER(TRIM(B228)),""price""),""Not Available""))"),1980.5)</f>
        <v>1980.5</v>
      </c>
      <c r="E228" s="87">
        <f t="shared" si="1"/>
        <v>0.9218825813</v>
      </c>
      <c r="F228" s="88"/>
      <c r="G228" s="69">
        <f t="shared" si="2"/>
        <v>147</v>
      </c>
      <c r="H228" s="88"/>
      <c r="I228" s="88"/>
      <c r="J228" s="88"/>
      <c r="K228" s="88"/>
      <c r="L228" s="88"/>
      <c r="M228" s="88"/>
      <c r="N228" s="69"/>
      <c r="O228" s="69"/>
      <c r="P228" s="69"/>
      <c r="Q228" s="69"/>
      <c r="R228" s="69"/>
      <c r="S228" s="69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>
      <c r="A229" s="85">
        <v>46138.0</v>
      </c>
      <c r="B229" s="198" t="s">
        <v>416</v>
      </c>
      <c r="C229" s="69">
        <f>IFERROR(__xludf.DUMMYFUNCTION("IF(OR(B229="""",A229=""""),"""",IFERROR(LET(data,GOOGLEFINANCE(""NSE:""&amp;UPPER(TRIM(B229)),""close"",A229-10,A229,""DAILY""),INDEX(data,ROWS(data),2)),""Not Available""))"),1296.45)</f>
        <v>1296.45</v>
      </c>
      <c r="D229" s="69">
        <f>IFERROR(__xludf.DUMMYFUNCTION("IF(B229="""","""",IFERROR(GOOGLEFINANCE(""NSE:""&amp;UPPER(TRIM(B229)),""price""),""Not Available""))"),1713.1)</f>
        <v>1713.1</v>
      </c>
      <c r="E229" s="87">
        <f t="shared" si="1"/>
        <v>0.3213776081</v>
      </c>
      <c r="F229" s="88"/>
      <c r="G229" s="69">
        <f t="shared" si="2"/>
        <v>151</v>
      </c>
      <c r="H229" s="88"/>
      <c r="I229" s="88"/>
      <c r="J229" s="88"/>
      <c r="K229" s="88"/>
      <c r="L229" s="88"/>
      <c r="M229" s="88"/>
      <c r="N229" s="69"/>
      <c r="O229" s="69"/>
      <c r="P229" s="69"/>
      <c r="Q229" s="69"/>
      <c r="R229" s="69"/>
      <c r="S229" s="69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>
      <c r="A230" s="57">
        <v>46138.0</v>
      </c>
      <c r="B230" s="196" t="s">
        <v>417</v>
      </c>
      <c r="C230" s="13">
        <f>IFERROR(__xludf.DUMMYFUNCTION("IF(OR(B230="""",A230=""""),"""",IFERROR(LET(data,GOOGLEFINANCE(""NSE:""&amp;UPPER(TRIM(B230)),""close"",A230-10,A230,""DAILY""),INDEX(data,ROWS(data),2)),""Not Available""))"),155.27)</f>
        <v>155.27</v>
      </c>
      <c r="D230" s="13">
        <f>IFERROR(__xludf.DUMMYFUNCTION("IF(B230="""","""",IFERROR(GOOGLEFINANCE(""NSE:""&amp;UPPER(TRIM(B230)),""price""),""Not Available""))"),181.63)</f>
        <v>181.63</v>
      </c>
      <c r="E230" s="64">
        <f t="shared" si="1"/>
        <v>0.1697687898</v>
      </c>
      <c r="F230" s="66"/>
      <c r="G230" s="13">
        <f t="shared" si="2"/>
        <v>151</v>
      </c>
      <c r="H230" s="66"/>
      <c r="I230" s="66"/>
      <c r="J230" s="66"/>
      <c r="K230" s="66"/>
      <c r="L230" s="66"/>
      <c r="M230" s="66"/>
      <c r="N230" s="13"/>
      <c r="O230" s="13"/>
      <c r="P230" s="13"/>
      <c r="Q230" s="13"/>
      <c r="R230" s="13"/>
      <c r="S230" s="13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</row>
    <row r="231">
      <c r="A231" s="57">
        <v>46138.0</v>
      </c>
      <c r="B231" s="196" t="s">
        <v>419</v>
      </c>
      <c r="C231" s="13">
        <f>IFERROR(__xludf.DUMMYFUNCTION("IF(OR(B231="""",A231=""""),"""",IFERROR(LET(data,GOOGLEFINANCE(""NSE:""&amp;UPPER(TRIM(B231)),""close"",A231-10,A231,""DAILY""),INDEX(data,ROWS(data),2)),""Not Available""))"),417.55)</f>
        <v>417.55</v>
      </c>
      <c r="D231" s="13">
        <f>IFERROR(__xludf.DUMMYFUNCTION("IF(B231="""","""",IFERROR(GOOGLEFINANCE(""NSE:""&amp;UPPER(TRIM(B231)),""price""),""Not Available""))"),240.4)</f>
        <v>240.4</v>
      </c>
      <c r="E231" s="64">
        <f t="shared" si="1"/>
        <v>-0.4242605676</v>
      </c>
      <c r="F231" s="66"/>
      <c r="G231" s="13">
        <f t="shared" si="2"/>
        <v>151</v>
      </c>
      <c r="H231" s="66"/>
      <c r="I231" s="66"/>
      <c r="J231" s="66"/>
      <c r="K231" s="66"/>
      <c r="L231" s="66"/>
      <c r="M231" s="66"/>
      <c r="N231" s="13"/>
      <c r="O231" s="13"/>
      <c r="P231" s="13"/>
      <c r="Q231" s="13"/>
      <c r="R231" s="13"/>
      <c r="S231" s="13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>
      <c r="A232" s="57">
        <v>46138.0</v>
      </c>
      <c r="B232" s="196" t="s">
        <v>420</v>
      </c>
      <c r="C232" s="13">
        <f>IFERROR(__xludf.DUMMYFUNCTION("IF(OR(B232="""",A232=""""),"""",IFERROR(LET(data,GOOGLEFINANCE(""NSE:""&amp;UPPER(TRIM(B232)),""close"",A232-10,A232,""DAILY""),INDEX(data,ROWS(data),2)),""Not Available""))"),2503.1)</f>
        <v>2503.1</v>
      </c>
      <c r="D232" s="13">
        <f>IFERROR(__xludf.DUMMYFUNCTION("IF(B232="""","""",IFERROR(GOOGLEFINANCE(""NSE:""&amp;UPPER(TRIM(B232)),""price""),""Not Available""))"),3135.6)</f>
        <v>3135.6</v>
      </c>
      <c r="E232" s="64">
        <f t="shared" si="1"/>
        <v>0.2526866685</v>
      </c>
      <c r="F232" s="66"/>
      <c r="G232" s="13">
        <f t="shared" si="2"/>
        <v>151</v>
      </c>
      <c r="H232" s="66"/>
      <c r="I232" s="66"/>
      <c r="J232" s="66"/>
      <c r="K232" s="66"/>
      <c r="L232" s="66"/>
      <c r="M232" s="66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>
      <c r="A233" s="85">
        <v>46138.0</v>
      </c>
      <c r="B233" s="198" t="s">
        <v>421</v>
      </c>
      <c r="C233" s="69">
        <f>IFERROR(__xludf.DUMMYFUNCTION("IF(OR(B233="""",A233=""""),"""",IFERROR(LET(data,GOOGLEFINANCE(""NSE:""&amp;UPPER(TRIM(B233)),""close"",A233-10,A233,""DAILY""),INDEX(data,ROWS(data),2)),""Not Available""))"),489.45)</f>
        <v>489.45</v>
      </c>
      <c r="D233" s="69">
        <f>IFERROR(__xludf.DUMMYFUNCTION("IF(B233="""","""",IFERROR(GOOGLEFINANCE(""NSE:""&amp;UPPER(TRIM(B233)),""price""),""Not Available""))"),710.0)</f>
        <v>710</v>
      </c>
      <c r="E233" s="87">
        <f t="shared" si="1"/>
        <v>0.4506078251</v>
      </c>
      <c r="F233" s="88"/>
      <c r="G233" s="69">
        <f t="shared" si="2"/>
        <v>151</v>
      </c>
      <c r="H233" s="88"/>
      <c r="I233" s="88"/>
      <c r="J233" s="88"/>
      <c r="K233" s="88"/>
      <c r="L233" s="88"/>
      <c r="M233" s="88"/>
      <c r="N233" s="69"/>
      <c r="O233" s="69"/>
      <c r="P233" s="69"/>
      <c r="Q233" s="69"/>
      <c r="R233" s="69"/>
      <c r="S233" s="69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>
      <c r="A234" s="57">
        <v>46138.0</v>
      </c>
      <c r="B234" s="196" t="s">
        <v>423</v>
      </c>
      <c r="C234" s="13">
        <f>IFERROR(__xludf.DUMMYFUNCTION("IF(OR(B234="""",A234=""""),"""",IFERROR(LET(data,GOOGLEFINANCE(""NSE:""&amp;UPPER(TRIM(B234)),""close"",A234-10,A234,""DAILY""),INDEX(data,ROWS(data),2)),""Not Available""))"),167.45)</f>
        <v>167.45</v>
      </c>
      <c r="D234" s="13">
        <f>IFERROR(__xludf.DUMMYFUNCTION("IF(B234="""","""",IFERROR(GOOGLEFINANCE(""NSE:""&amp;UPPER(TRIM(B234)),""price""),""Not Available""))"),135.65)</f>
        <v>135.65</v>
      </c>
      <c r="E234" s="64">
        <f t="shared" si="1"/>
        <v>-0.1899074351</v>
      </c>
      <c r="F234" s="66"/>
      <c r="G234" s="13">
        <f t="shared" si="2"/>
        <v>151</v>
      </c>
      <c r="H234" s="66"/>
      <c r="I234" s="66"/>
      <c r="J234" s="66"/>
      <c r="K234" s="66"/>
      <c r="L234" s="66"/>
      <c r="M234" s="66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>
      <c r="A235" s="57">
        <v>46138.0</v>
      </c>
      <c r="B235" s="196" t="s">
        <v>186</v>
      </c>
      <c r="C235" s="13">
        <f>IFERROR(__xludf.DUMMYFUNCTION("IF(OR(B235="""",A235=""""),"""",IFERROR(LET(data,GOOGLEFINANCE(""NSE:""&amp;UPPER(TRIM(B235)),""close"",A235-10,A235,""DAILY""),INDEX(data,ROWS(data),2)),""Not Available""))"),495.6)</f>
        <v>495.6</v>
      </c>
      <c r="D235" s="13">
        <f>IFERROR(__xludf.DUMMYFUNCTION("IF(B235="""","""",IFERROR(GOOGLEFINANCE(""NSE:""&amp;UPPER(TRIM(B235)),""price""),""Not Available""))"),753.0)</f>
        <v>753</v>
      </c>
      <c r="E235" s="64">
        <f t="shared" si="1"/>
        <v>0.51937046</v>
      </c>
      <c r="F235" s="66"/>
      <c r="G235" s="13">
        <f t="shared" si="2"/>
        <v>151</v>
      </c>
      <c r="H235" s="66"/>
      <c r="I235" s="66"/>
      <c r="J235" s="66"/>
      <c r="K235" s="66"/>
      <c r="L235" s="66"/>
      <c r="M235" s="66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>
      <c r="A236" s="57">
        <v>46138.0</v>
      </c>
      <c r="B236" s="196" t="s">
        <v>425</v>
      </c>
      <c r="C236" s="13">
        <f>IFERROR(__xludf.DUMMYFUNCTION("IF(OR(B236="""",A236=""""),"""",IFERROR(LET(data,GOOGLEFINANCE(""NSE:""&amp;UPPER(TRIM(B236)),""close"",A236-10,A236,""DAILY""),INDEX(data,ROWS(data),2)),""Not Available""))"),259.29)</f>
        <v>259.29</v>
      </c>
      <c r="D236" s="13">
        <f>IFERROR(__xludf.DUMMYFUNCTION("IF(B236="""","""",IFERROR(GOOGLEFINANCE(""NSE:""&amp;UPPER(TRIM(B236)),""price""),""Not Available""))"),244.0)</f>
        <v>244</v>
      </c>
      <c r="E236" s="64">
        <f t="shared" si="1"/>
        <v>-0.05896872228</v>
      </c>
      <c r="F236" s="66"/>
      <c r="G236" s="13">
        <f t="shared" si="2"/>
        <v>151</v>
      </c>
      <c r="H236" s="66"/>
      <c r="I236" s="66"/>
      <c r="J236" s="66"/>
      <c r="K236" s="66"/>
      <c r="L236" s="66"/>
      <c r="M236" s="66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>
      <c r="A237" s="208">
        <v>46135.0</v>
      </c>
      <c r="B237" s="209" t="s">
        <v>427</v>
      </c>
      <c r="C237" s="90">
        <f>IFERROR(__xludf.DUMMYFUNCTION("IF(OR(B237="""",A237=""""),"""",IFERROR(LET(data,GOOGLEFINANCE(""NSE:""&amp;UPPER(TRIM(B237)),""close"",A237-10,A237,""DAILY""),INDEX(data,ROWS(data),2)),""Not Available""))"),1435.4)</f>
        <v>1435.4</v>
      </c>
      <c r="D237" s="90">
        <f>IFERROR(__xludf.DUMMYFUNCTION("IF(B237="""","""",IFERROR(GOOGLEFINANCE(""NSE:""&amp;UPPER(TRIM(B237)),""price""),""Not Available""))"),1726.1)</f>
        <v>1726.1</v>
      </c>
      <c r="E237" s="210">
        <f t="shared" si="1"/>
        <v>0.2025219451</v>
      </c>
      <c r="F237" s="211"/>
      <c r="G237" s="90">
        <f t="shared" si="2"/>
        <v>154</v>
      </c>
      <c r="H237" s="211"/>
      <c r="I237" s="211"/>
      <c r="J237" s="211"/>
      <c r="K237" s="211"/>
      <c r="L237" s="211"/>
      <c r="M237" s="211"/>
      <c r="N237" s="90"/>
      <c r="O237" s="90"/>
      <c r="P237" s="212"/>
      <c r="Q237" s="212"/>
      <c r="R237" s="213" t="str">
        <f t="shared" ref="R237:R239" si="3">Q237/P237</f>
        <v>#DIV/0!</v>
      </c>
      <c r="S237" s="213" t="str">
        <f>O237/O239</f>
        <v>#DIV/0!</v>
      </c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>
      <c r="A238" s="57">
        <v>46135.0</v>
      </c>
      <c r="B238" s="198" t="s">
        <v>429</v>
      </c>
      <c r="C238" s="13">
        <f>IFERROR(__xludf.DUMMYFUNCTION("IF(OR(B238="""",A238=""""),"""",IFERROR(LET(data,GOOGLEFINANCE(""NSE:""&amp;UPPER(TRIM(B238)),""close"",A238-10,A238,""DAILY""),INDEX(data,ROWS(data),2)),""Not Available""))"),1069.3)</f>
        <v>1069.3</v>
      </c>
      <c r="D238" s="13">
        <f>IFERROR(__xludf.DUMMYFUNCTION("IF(B238="""","""",IFERROR(GOOGLEFINANCE(""NSE:""&amp;UPPER(TRIM(B238)),""price""),""Not Available""))"),1374.9)</f>
        <v>1374.9</v>
      </c>
      <c r="E238" s="64">
        <f t="shared" si="1"/>
        <v>0.285794445</v>
      </c>
      <c r="F238" s="66"/>
      <c r="G238" s="13">
        <f t="shared" si="2"/>
        <v>154</v>
      </c>
      <c r="H238" s="66"/>
      <c r="I238" s="66"/>
      <c r="J238" s="66"/>
      <c r="K238" s="66"/>
      <c r="L238" s="66"/>
      <c r="M238" s="66"/>
      <c r="N238" s="13"/>
      <c r="O238" s="13"/>
      <c r="P238" s="214"/>
      <c r="Q238" s="214"/>
      <c r="R238" s="215" t="str">
        <f t="shared" si="3"/>
        <v>#DIV/0!</v>
      </c>
      <c r="S238" s="215" t="str">
        <f>O238/O239</f>
        <v>#DIV/0!</v>
      </c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>
      <c r="A239" s="57">
        <v>46135.0</v>
      </c>
      <c r="B239" s="196" t="s">
        <v>431</v>
      </c>
      <c r="C239" s="13">
        <f>IFERROR(__xludf.DUMMYFUNCTION("IF(OR(B239="""",A239=""""),"""",IFERROR(LET(data,GOOGLEFINANCE(""NSE:""&amp;UPPER(TRIM(B239)),""close"",A239-10,A239,""DAILY""),INDEX(data,ROWS(data),2)),""Not Available""))"),191.89)</f>
        <v>191.89</v>
      </c>
      <c r="D239" s="13">
        <f>IFERROR(__xludf.DUMMYFUNCTION("IF(B239="""","""",IFERROR(GOOGLEFINANCE(""NSE:""&amp;UPPER(TRIM(B239)),""price""),""Not Available""))"),213.41)</f>
        <v>213.41</v>
      </c>
      <c r="E239" s="64">
        <f t="shared" si="1"/>
        <v>0.1121475846</v>
      </c>
      <c r="F239" s="66"/>
      <c r="G239" s="13">
        <f t="shared" si="2"/>
        <v>154</v>
      </c>
      <c r="H239" s="66"/>
      <c r="I239" s="66"/>
      <c r="J239" s="66"/>
      <c r="K239" s="66"/>
      <c r="L239" s="66"/>
      <c r="M239" s="66"/>
      <c r="N239" s="13"/>
      <c r="O239" s="13"/>
      <c r="P239" s="13"/>
      <c r="Q239" s="216"/>
      <c r="R239" s="215" t="str">
        <f t="shared" si="3"/>
        <v>#DIV/0!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>
      <c r="A240" s="85">
        <v>46135.0</v>
      </c>
      <c r="B240" s="198" t="s">
        <v>419</v>
      </c>
      <c r="C240" s="69">
        <f>IFERROR(__xludf.DUMMYFUNCTION("IF(OR(B240="""",A240=""""),"""",IFERROR(LET(data,GOOGLEFINANCE(""NSE:""&amp;UPPER(TRIM(B240)),""close"",A240-10,A240,""DAILY""),INDEX(data,ROWS(data),2)),""Not Available""))"),419.9)</f>
        <v>419.9</v>
      </c>
      <c r="D240" s="69">
        <f>IFERROR(__xludf.DUMMYFUNCTION("IF(B240="""","""",IFERROR(GOOGLEFINANCE(""NSE:""&amp;UPPER(TRIM(B240)),""price""),""Not Available""))"),240.4)</f>
        <v>240.4</v>
      </c>
      <c r="E240" s="87">
        <f t="shared" si="1"/>
        <v>-0.427482734</v>
      </c>
      <c r="F240" s="88"/>
      <c r="G240" s="69">
        <f t="shared" si="2"/>
        <v>154</v>
      </c>
      <c r="H240" s="88"/>
      <c r="I240" s="88"/>
      <c r="J240" s="88"/>
      <c r="K240" s="88"/>
      <c r="L240" s="88"/>
      <c r="M240" s="88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</row>
    <row r="241">
      <c r="A241" s="85">
        <v>46135.0</v>
      </c>
      <c r="B241" s="198" t="s">
        <v>433</v>
      </c>
      <c r="C241" s="69">
        <f>IFERROR(__xludf.DUMMYFUNCTION("IF(OR(B241="""",A241=""""),"""",IFERROR(LET(data,GOOGLEFINANCE(""NSE:""&amp;UPPER(TRIM(B241)),""close"",A241-10,A241,""DAILY""),INDEX(data,ROWS(data),2)),""Not Available""))"),2111.0)</f>
        <v>2111</v>
      </c>
      <c r="D241" s="69">
        <f>IFERROR(__xludf.DUMMYFUNCTION("IF(B241="""","""",IFERROR(GOOGLEFINANCE(""NSE:""&amp;UPPER(TRIM(B241)),""price""),""Not Available""))"),2684.1)</f>
        <v>2684.1</v>
      </c>
      <c r="E241" s="87">
        <f t="shared" si="1"/>
        <v>0.2714827096</v>
      </c>
      <c r="F241" s="88"/>
      <c r="G241" s="69">
        <f t="shared" si="2"/>
        <v>154</v>
      </c>
      <c r="H241" s="88"/>
      <c r="I241" s="88"/>
      <c r="J241" s="88"/>
      <c r="K241" s="88"/>
      <c r="L241" s="88"/>
      <c r="M241" s="88"/>
      <c r="N241" s="69"/>
      <c r="O241" s="69"/>
      <c r="P241" s="69"/>
      <c r="Q241" s="69"/>
      <c r="R241" s="69"/>
      <c r="S241" s="69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>
      <c r="A242" s="57">
        <v>46135.0</v>
      </c>
      <c r="B242" s="196" t="s">
        <v>434</v>
      </c>
      <c r="C242" s="13">
        <f>IFERROR(__xludf.DUMMYFUNCTION("IF(OR(B242="""",A242=""""),"""",IFERROR(LET(data,GOOGLEFINANCE(""NSE:""&amp;UPPER(TRIM(B242)),""close"",A242-10,A242,""DAILY""),INDEX(data,ROWS(data),2)),""Not Available""))"),1254.5)</f>
        <v>1254.5</v>
      </c>
      <c r="D242" s="13">
        <f>IFERROR(__xludf.DUMMYFUNCTION("IF(B242="""","""",IFERROR(GOOGLEFINANCE(""NSE:""&amp;UPPER(TRIM(B242)),""price""),""Not Available""))"),1153.0)</f>
        <v>1153</v>
      </c>
      <c r="E242" s="64">
        <f t="shared" si="1"/>
        <v>-0.08090872858</v>
      </c>
      <c r="F242" s="66"/>
      <c r="G242" s="13">
        <f t="shared" si="2"/>
        <v>154</v>
      </c>
      <c r="H242" s="66"/>
      <c r="I242" s="66"/>
      <c r="J242" s="66"/>
      <c r="K242" s="66"/>
      <c r="L242" s="66"/>
      <c r="M242" s="66"/>
      <c r="N242" s="217" t="s">
        <v>435</v>
      </c>
      <c r="O242" s="218" t="str">
        <f>1-(O236/O239)</f>
        <v>#DIV/0!</v>
      </c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>
      <c r="A243" s="57">
        <v>46135.0</v>
      </c>
      <c r="B243" s="196" t="s">
        <v>436</v>
      </c>
      <c r="C243" s="13">
        <f>IFERROR(__xludf.DUMMYFUNCTION("IF(OR(B243="""",A243=""""),"""",IFERROR(LET(data,GOOGLEFINANCE(""NSE:""&amp;UPPER(TRIM(B243)),""close"",A243-10,A243,""DAILY""),INDEX(data,ROWS(data),2)),""Not Available""))"),1349.5)</f>
        <v>1349.5</v>
      </c>
      <c r="D243" s="13">
        <f>IFERROR(__xludf.DUMMYFUNCTION("IF(B243="""","""",IFERROR(GOOGLEFINANCE(""NSE:""&amp;UPPER(TRIM(B243)),""price""),""Not Available""))"),2089.6)</f>
        <v>2089.6</v>
      </c>
      <c r="E243" s="64">
        <f t="shared" si="1"/>
        <v>0.5484253427</v>
      </c>
      <c r="F243" s="66"/>
      <c r="G243" s="13">
        <f t="shared" si="2"/>
        <v>154</v>
      </c>
      <c r="H243" s="66"/>
      <c r="I243" s="66"/>
      <c r="J243" s="66"/>
      <c r="K243" s="66"/>
      <c r="L243" s="66"/>
      <c r="M243" s="66"/>
      <c r="N243" s="217" t="s">
        <v>437</v>
      </c>
      <c r="O243" s="218" t="str">
        <f>Q239/P239</f>
        <v>#DIV/0!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>
      <c r="A244" s="57">
        <v>46135.0</v>
      </c>
      <c r="B244" s="196" t="s">
        <v>439</v>
      </c>
      <c r="C244" s="13">
        <f>IFERROR(__xludf.DUMMYFUNCTION("IF(OR(B244="""",A244=""""),"""",IFERROR(LET(data,GOOGLEFINANCE(""NSE:""&amp;UPPER(TRIM(B244)),""close"",A244-10,A244,""DAILY""),INDEX(data,ROWS(data),2)),""Not Available""))"),1410.5)</f>
        <v>1410.5</v>
      </c>
      <c r="D244" s="13">
        <f>IFERROR(__xludf.DUMMYFUNCTION("IF(B244="""","""",IFERROR(GOOGLEFINANCE(""NSE:""&amp;UPPER(TRIM(B244)),""price""),""Not Available""))"),1358.6)</f>
        <v>1358.6</v>
      </c>
      <c r="E244" s="64">
        <f t="shared" si="1"/>
        <v>-0.0367954626</v>
      </c>
      <c r="F244" s="66"/>
      <c r="G244" s="13">
        <f t="shared" si="2"/>
        <v>154</v>
      </c>
      <c r="H244" s="66"/>
      <c r="I244" s="66"/>
      <c r="J244" s="66"/>
      <c r="K244" s="66"/>
      <c r="L244" s="66"/>
      <c r="M244" s="66"/>
      <c r="N244" s="59" t="s">
        <v>440</v>
      </c>
      <c r="O244" s="219" t="str">
        <f>(Q233+Q234+Q235+Q237+Q238)/P239</f>
        <v>#DIV/0!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>
      <c r="A245" s="57">
        <v>46135.0</v>
      </c>
      <c r="B245" s="196" t="s">
        <v>355</v>
      </c>
      <c r="C245" s="13">
        <f>IFERROR(__xludf.DUMMYFUNCTION("IF(OR(B245="""",A245=""""),"""",IFERROR(LET(data,GOOGLEFINANCE(""NSE:""&amp;UPPER(TRIM(B245)),""close"",A245-10,A245,""DAILY""),INDEX(data,ROWS(data),2)),""Not Available""))"),78.05)</f>
        <v>78.05</v>
      </c>
      <c r="D245" s="13">
        <f>IFERROR(__xludf.DUMMYFUNCTION("IF(B245="""","""",IFERROR(GOOGLEFINANCE(""NSE:""&amp;UPPER(TRIM(B245)),""price""),""Not Available""))"),76.4)</f>
        <v>76.4</v>
      </c>
      <c r="E245" s="64">
        <f t="shared" si="1"/>
        <v>-0.02114029468</v>
      </c>
      <c r="F245" s="66"/>
      <c r="G245" s="13">
        <f t="shared" si="2"/>
        <v>154</v>
      </c>
      <c r="H245" s="66"/>
      <c r="I245" s="66"/>
      <c r="J245" s="66"/>
      <c r="K245" s="66"/>
      <c r="L245" s="66"/>
      <c r="M245" s="66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>
      <c r="A246" s="57">
        <v>46134.0</v>
      </c>
      <c r="B246" s="59" t="s">
        <v>442</v>
      </c>
      <c r="C246" s="13">
        <f>IFERROR(__xludf.DUMMYFUNCTION("IF(OR(B246="""",A246=""""),"""",IFERROR(LET(data,GOOGLEFINANCE(""NSE:""&amp;UPPER(TRIM(B246)),""close"",A246-10,A246,""DAILY""),INDEX(data,ROWS(data),2)),""Not Available""))"),235.49)</f>
        <v>235.49</v>
      </c>
      <c r="D246" s="13">
        <f>IFERROR(__xludf.DUMMYFUNCTION("IF(B246="""","""",IFERROR(GOOGLEFINANCE(""NSE:""&amp;UPPER(TRIM(B246)),""price""),""Not Available""))"),227.5)</f>
        <v>227.5</v>
      </c>
      <c r="E246" s="64">
        <f t="shared" si="1"/>
        <v>-0.0339292539</v>
      </c>
      <c r="F246" s="221" t="str">
        <f t="array" ref="F246:F995">IF(E246:E995="","",IFS(
E246:E995&lt;0%,"Loss",
E246:E995&lt;=10%,"Up to 10%",
E246:E995&lt;=20%,"&gt;10% to 20%",
E246:E995&lt;=30%,"&gt;20% to 30%",
E246:E995&lt;=40%,"&gt;30% to 40%",
E246:E995&gt;40%,"More than 40%"
))</f>
        <v>Loss</v>
      </c>
      <c r="G246" s="13">
        <f t="shared" si="2"/>
        <v>155</v>
      </c>
      <c r="H246" s="221">
        <f t="array" ref="H246:H995">IF(B246:B995="","",100000)</f>
        <v>100000</v>
      </c>
      <c r="I246" s="222">
        <f t="array" ref="I246:I995">IF(B246:B995="","",100000*(1+E246:E995))</f>
        <v>96607.07461</v>
      </c>
      <c r="J246" s="221">
        <f t="array" ref="J246:J995">IF(B246:B995="","",100000*E246:E995)</f>
        <v>-3392.92539</v>
      </c>
      <c r="K246" s="221" t="str">
        <f t="array" ref="K246:K995">IF(A246:A995="","",TEXT(A246:A995,"dddd"))</f>
        <v>Wednesday</v>
      </c>
      <c r="L246" s="221">
        <f t="array" ref="L246:L995">IF(E246:E995="","",IF(E246:E995&gt;0,1,0))</f>
        <v>0</v>
      </c>
      <c r="M246" s="221" t="s">
        <v>449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>
      <c r="A247" s="85">
        <v>46134.0</v>
      </c>
      <c r="B247" s="86" t="s">
        <v>450</v>
      </c>
      <c r="C247" s="69">
        <f>IFERROR(__xludf.DUMMYFUNCTION("IF(OR(B247="""",A247=""""),"""",IFERROR(LET(data,GOOGLEFINANCE(""NSE:""&amp;UPPER(TRIM(B247)),""close"",A247-10,A247,""DAILY""),INDEX(data,ROWS(data),2)),""Not Available""))"),1658.6)</f>
        <v>1658.6</v>
      </c>
      <c r="D247" s="69">
        <f>IFERROR(__xludf.DUMMYFUNCTION("IF(B247="""","""",IFERROR(GOOGLEFINANCE(""NSE:""&amp;UPPER(TRIM(B247)),""price""),""Not Available""))"),2335.1)</f>
        <v>2335.1</v>
      </c>
      <c r="E247" s="87">
        <f t="shared" si="1"/>
        <v>0.4078741107</v>
      </c>
      <c r="F247" s="88" t="s">
        <v>451</v>
      </c>
      <c r="G247" s="69">
        <f t="shared" si="2"/>
        <v>155</v>
      </c>
      <c r="H247" s="88">
        <v>100000.0</v>
      </c>
      <c r="I247" s="88">
        <v>140787.41106957674</v>
      </c>
      <c r="J247" s="88">
        <v>40787.41106957675</v>
      </c>
      <c r="K247" s="88" t="s">
        <v>452</v>
      </c>
      <c r="L247" s="88">
        <v>1.0</v>
      </c>
      <c r="M247" s="88"/>
      <c r="N247" s="69"/>
      <c r="O247" s="69"/>
      <c r="P247" s="69"/>
      <c r="Q247" s="69"/>
      <c r="R247" s="69"/>
      <c r="S247" s="69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>
      <c r="A248" s="57">
        <v>46134.0</v>
      </c>
      <c r="B248" s="59" t="s">
        <v>117</v>
      </c>
      <c r="C248" s="13">
        <f>IFERROR(__xludf.DUMMYFUNCTION("IF(OR(B248="""",A248=""""),"""",IFERROR(LET(data,GOOGLEFINANCE(""NSE:""&amp;UPPER(TRIM(B248)),""close"",A248-10,A248,""DAILY""),INDEX(data,ROWS(data),2)),""Not Available""))"),4019.6)</f>
        <v>4019.6</v>
      </c>
      <c r="D248" s="13">
        <f>IFERROR(__xludf.DUMMYFUNCTION("IF(B248="""","""",IFERROR(GOOGLEFINANCE(""NSE:""&amp;UPPER(TRIM(B248)),""price""),""Not Available""))"),4666.0)</f>
        <v>4666</v>
      </c>
      <c r="E248" s="64">
        <f t="shared" si="1"/>
        <v>0.1608120211</v>
      </c>
      <c r="F248" s="66" t="s">
        <v>454</v>
      </c>
      <c r="G248" s="13">
        <f t="shared" si="2"/>
        <v>155</v>
      </c>
      <c r="H248" s="66">
        <v>100000.0</v>
      </c>
      <c r="I248" s="66">
        <v>116081.20210966266</v>
      </c>
      <c r="J248" s="66">
        <v>16081.202109662656</v>
      </c>
      <c r="K248" s="66" t="s">
        <v>452</v>
      </c>
      <c r="L248" s="66">
        <v>1.0</v>
      </c>
      <c r="M248" s="66"/>
      <c r="R248" s="217" t="s">
        <v>463</v>
      </c>
      <c r="S248" s="59" t="s">
        <v>464</v>
      </c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>
      <c r="A249" s="57">
        <v>46134.0</v>
      </c>
      <c r="B249" s="59" t="s">
        <v>465</v>
      </c>
      <c r="C249" s="13">
        <f>IFERROR(__xludf.DUMMYFUNCTION("IF(OR(B249="""",A249=""""),"""",IFERROR(LET(data,GOOGLEFINANCE(""NSE:""&amp;UPPER(TRIM(B249)),""close"",A249-10,A249,""DAILY""),INDEX(data,ROWS(data),2)),""Not Available""))"),932.2)</f>
        <v>932.2</v>
      </c>
      <c r="D249" s="13">
        <f>IFERROR(__xludf.DUMMYFUNCTION("IF(B249="""","""",IFERROR(GOOGLEFINANCE(""NSE:""&amp;UPPER(TRIM(B249)),""price""),""Not Available""))"),778.0)</f>
        <v>778</v>
      </c>
      <c r="E249" s="64">
        <f t="shared" si="1"/>
        <v>-0.165415147</v>
      </c>
      <c r="F249" s="66" t="s">
        <v>467</v>
      </c>
      <c r="G249" s="13">
        <f t="shared" si="2"/>
        <v>155</v>
      </c>
      <c r="H249" s="66">
        <v>100000.0</v>
      </c>
      <c r="I249" s="66">
        <v>83458.48530358291</v>
      </c>
      <c r="J249" s="66">
        <v>-16541.51469641708</v>
      </c>
      <c r="K249" s="66" t="s">
        <v>452</v>
      </c>
      <c r="L249" s="66">
        <v>0.0</v>
      </c>
      <c r="M249" s="66"/>
      <c r="R249" s="13"/>
      <c r="S249" s="215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>
      <c r="A250" s="57">
        <v>46134.0</v>
      </c>
      <c r="B250" s="59" t="s">
        <v>468</v>
      </c>
      <c r="C250" s="13">
        <f>IFERROR(__xludf.DUMMYFUNCTION("IF(OR(B250="""",A250=""""),"""",IFERROR(LET(data,GOOGLEFINANCE(""NSE:""&amp;UPPER(TRIM(B250)),""close"",A250-10,A250,""DAILY""),INDEX(data,ROWS(data),2)),""Not Available""))"),323.05)</f>
        <v>323.05</v>
      </c>
      <c r="D250" s="13">
        <f>IFERROR(__xludf.DUMMYFUNCTION("IF(B250="""","""",IFERROR(GOOGLEFINANCE(""NSE:""&amp;UPPER(TRIM(B250)),""price""),""Not Available""))"),278.25)</f>
        <v>278.25</v>
      </c>
      <c r="E250" s="64">
        <f t="shared" si="1"/>
        <v>-0.1386782232</v>
      </c>
      <c r="F250" s="66" t="s">
        <v>467</v>
      </c>
      <c r="G250" s="13">
        <f t="shared" si="2"/>
        <v>155</v>
      </c>
      <c r="H250" s="66">
        <v>100000.0</v>
      </c>
      <c r="I250" s="66">
        <v>86132.17768147345</v>
      </c>
      <c r="J250" s="66">
        <v>-13867.822318526545</v>
      </c>
      <c r="K250" s="66" t="s">
        <v>452</v>
      </c>
      <c r="L250" s="66">
        <v>0.0</v>
      </c>
      <c r="M250" s="66"/>
      <c r="R250" s="215" t="str">
        <f t="shared" ref="R250:R253" si="4">Q250/P250</f>
        <v>#DIV/0!</v>
      </c>
      <c r="S250" s="215" t="str">
        <f>O250/O256</f>
        <v>#DIV/0!</v>
      </c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>
      <c r="A251" s="57">
        <v>46134.0</v>
      </c>
      <c r="B251" s="59" t="s">
        <v>471</v>
      </c>
      <c r="C251" s="13">
        <f>IFERROR(__xludf.DUMMYFUNCTION("IF(OR(B251="""",A251=""""),"""",IFERROR(LET(data,GOOGLEFINANCE(""NSE:""&amp;UPPER(TRIM(B251)),""close"",A251-10,A251,""DAILY""),INDEX(data,ROWS(data),2)),""Not Available""))"),1657.4)</f>
        <v>1657.4</v>
      </c>
      <c r="D251" s="13">
        <f>IFERROR(__xludf.DUMMYFUNCTION("IF(B251="""","""",IFERROR(GOOGLEFINANCE(""NSE:""&amp;UPPER(TRIM(B251)),""price""),""Not Available""))"),1243.1)</f>
        <v>1243.1</v>
      </c>
      <c r="E251" s="64">
        <f t="shared" si="1"/>
        <v>-0.2499698323</v>
      </c>
      <c r="F251" s="66" t="s">
        <v>467</v>
      </c>
      <c r="G251" s="13">
        <f t="shared" si="2"/>
        <v>155</v>
      </c>
      <c r="H251" s="66">
        <v>100000.0</v>
      </c>
      <c r="I251" s="66">
        <v>75003.01677325931</v>
      </c>
      <c r="J251" s="66">
        <v>-24996.98322674069</v>
      </c>
      <c r="K251" s="66" t="s">
        <v>452</v>
      </c>
      <c r="L251" s="66">
        <v>0.0</v>
      </c>
      <c r="M251" s="66"/>
      <c r="R251" s="215">
        <f t="shared" si="4"/>
        <v>0.1608120211</v>
      </c>
      <c r="S251" s="215" t="str">
        <f>O251/O256</f>
        <v>#DIV/0!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>
      <c r="A252" s="208">
        <v>46134.0</v>
      </c>
      <c r="B252" s="224" t="s">
        <v>473</v>
      </c>
      <c r="C252" s="90">
        <f>IFERROR(__xludf.DUMMYFUNCTION("IF(OR(B252="""",A252=""""),"""",IFERROR(LET(data,GOOGLEFINANCE(""NSE:""&amp;UPPER(TRIM(B252)),""close"",A252-10,A252,""DAILY""),INDEX(data,ROWS(data),2)),""Not Available""))"),672.75)</f>
        <v>672.75</v>
      </c>
      <c r="D252" s="90">
        <f>IFERROR(__xludf.DUMMYFUNCTION("IF(B252="""","""",IFERROR(GOOGLEFINANCE(""NSE:""&amp;UPPER(TRIM(B252)),""price""),""Not Available""))"),853.45)</f>
        <v>853.45</v>
      </c>
      <c r="E252" s="210">
        <f t="shared" si="1"/>
        <v>0.2685990338</v>
      </c>
      <c r="F252" s="211" t="s">
        <v>475</v>
      </c>
      <c r="G252" s="90">
        <f t="shared" si="2"/>
        <v>155</v>
      </c>
      <c r="H252" s="211">
        <v>100000.0</v>
      </c>
      <c r="I252" s="211">
        <v>126859.90338164252</v>
      </c>
      <c r="J252" s="211">
        <v>26859.903381642518</v>
      </c>
      <c r="K252" s="211" t="s">
        <v>452</v>
      </c>
      <c r="L252" s="211">
        <v>1.0</v>
      </c>
      <c r="M252" s="211"/>
      <c r="R252" s="213">
        <f t="shared" si="4"/>
        <v>0.2685990338</v>
      </c>
      <c r="S252" s="213" t="str">
        <f>O252/O256</f>
        <v>#DIV/0!</v>
      </c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>
      <c r="A253" s="57">
        <v>46134.0</v>
      </c>
      <c r="B253" s="59" t="s">
        <v>476</v>
      </c>
      <c r="C253" s="13">
        <f>IFERROR(__xludf.DUMMYFUNCTION("IF(OR(B253="""",A253=""""),"""",IFERROR(LET(data,GOOGLEFINANCE(""NSE:""&amp;UPPER(TRIM(B253)),""close"",A253-10,A253,""DAILY""),INDEX(data,ROWS(data),2)),""Not Available""))"),1263.9)</f>
        <v>1263.9</v>
      </c>
      <c r="D253" s="13">
        <f>IFERROR(__xludf.DUMMYFUNCTION("IF(B253="""","""",IFERROR(GOOGLEFINANCE(""NSE:""&amp;UPPER(TRIM(B253)),""price""),""Not Available""))"),1847.7)</f>
        <v>1847.7</v>
      </c>
      <c r="E253" s="64">
        <f t="shared" si="1"/>
        <v>0.4619036316</v>
      </c>
      <c r="F253" s="66" t="s">
        <v>451</v>
      </c>
      <c r="G253" s="13">
        <f t="shared" si="2"/>
        <v>155</v>
      </c>
      <c r="H253" s="66">
        <v>100000.0</v>
      </c>
      <c r="I253" s="66">
        <v>146190.36316164254</v>
      </c>
      <c r="J253" s="66">
        <v>46190.36316164253</v>
      </c>
      <c r="K253" s="66" t="s">
        <v>452</v>
      </c>
      <c r="L253" s="66">
        <v>1.0</v>
      </c>
      <c r="M253" s="66"/>
      <c r="R253" s="215">
        <f t="shared" si="4"/>
        <v>-0.1469981141</v>
      </c>
      <c r="S253" s="225" t="str">
        <f>O253/O256</f>
        <v>#DIV/0!</v>
      </c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>
      <c r="A254" s="226"/>
      <c r="B254" s="13"/>
      <c r="C254" s="13"/>
      <c r="D254" s="13"/>
      <c r="E254" s="64"/>
      <c r="F254" s="66" t="s">
        <v>470</v>
      </c>
      <c r="G254" s="13"/>
      <c r="H254" s="66" t="s">
        <v>470</v>
      </c>
      <c r="I254" s="66" t="s">
        <v>470</v>
      </c>
      <c r="J254" s="66" t="s">
        <v>470</v>
      </c>
      <c r="K254" s="66" t="s">
        <v>470</v>
      </c>
      <c r="L254" s="66" t="s">
        <v>470</v>
      </c>
      <c r="M254" s="66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>
      <c r="A255" s="226"/>
      <c r="B255" s="13"/>
      <c r="C255" s="13"/>
      <c r="D255" s="13"/>
      <c r="E255" s="64"/>
      <c r="F255" s="66" t="s">
        <v>470</v>
      </c>
      <c r="G255" s="13"/>
      <c r="H255" s="66" t="s">
        <v>470</v>
      </c>
      <c r="I255" s="66" t="s">
        <v>470</v>
      </c>
      <c r="J255" s="66" t="s">
        <v>470</v>
      </c>
      <c r="K255" s="66" t="s">
        <v>470</v>
      </c>
      <c r="L255" s="66" t="s">
        <v>470</v>
      </c>
      <c r="M255" s="66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>
      <c r="A256" s="226"/>
      <c r="B256" s="13"/>
      <c r="C256" s="13"/>
      <c r="D256" s="13"/>
      <c r="E256" s="64"/>
      <c r="F256" s="66" t="s">
        <v>470</v>
      </c>
      <c r="G256" s="13"/>
      <c r="H256" s="66" t="s">
        <v>470</v>
      </c>
      <c r="I256" s="66" t="s">
        <v>470</v>
      </c>
      <c r="J256" s="66" t="s">
        <v>470</v>
      </c>
      <c r="K256" s="66" t="s">
        <v>470</v>
      </c>
      <c r="L256" s="66" t="s">
        <v>470</v>
      </c>
      <c r="M256" s="66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>
      <c r="A257" s="226"/>
      <c r="B257" s="13"/>
      <c r="C257" s="13"/>
      <c r="D257" s="13"/>
      <c r="E257" s="64"/>
      <c r="F257" s="66" t="s">
        <v>470</v>
      </c>
      <c r="G257" s="13"/>
      <c r="H257" s="66" t="s">
        <v>470</v>
      </c>
      <c r="I257" s="66" t="s">
        <v>470</v>
      </c>
      <c r="J257" s="66" t="s">
        <v>470</v>
      </c>
      <c r="K257" s="66" t="s">
        <v>470</v>
      </c>
      <c r="L257" s="66" t="s">
        <v>470</v>
      </c>
      <c r="M257" s="66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>
      <c r="A258" s="226"/>
      <c r="B258" s="13"/>
      <c r="C258" s="13"/>
      <c r="D258" s="13"/>
      <c r="E258" s="64"/>
      <c r="F258" s="66" t="s">
        <v>470</v>
      </c>
      <c r="G258" s="13"/>
      <c r="H258" s="66" t="s">
        <v>470</v>
      </c>
      <c r="I258" s="66" t="s">
        <v>470</v>
      </c>
      <c r="J258" s="66" t="s">
        <v>470</v>
      </c>
      <c r="K258" s="66" t="s">
        <v>470</v>
      </c>
      <c r="L258" s="66" t="s">
        <v>470</v>
      </c>
      <c r="M258" s="66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>
      <c r="A259" s="226"/>
      <c r="B259" s="13"/>
      <c r="C259" s="13"/>
      <c r="D259" s="13"/>
      <c r="E259" s="64"/>
      <c r="F259" s="66" t="s">
        <v>470</v>
      </c>
      <c r="G259" s="13"/>
      <c r="H259" s="66" t="s">
        <v>470</v>
      </c>
      <c r="I259" s="66" t="s">
        <v>470</v>
      </c>
      <c r="J259" s="66" t="s">
        <v>470</v>
      </c>
      <c r="K259" s="66" t="s">
        <v>470</v>
      </c>
      <c r="L259" s="66" t="s">
        <v>470</v>
      </c>
      <c r="M259" s="66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>
      <c r="A260" s="226"/>
      <c r="B260" s="13"/>
      <c r="C260" s="13"/>
      <c r="D260" s="13"/>
      <c r="E260" s="64"/>
      <c r="F260" s="66" t="s">
        <v>470</v>
      </c>
      <c r="G260" s="13"/>
      <c r="H260" s="66" t="s">
        <v>470</v>
      </c>
      <c r="I260" s="66" t="s">
        <v>470</v>
      </c>
      <c r="J260" s="66" t="s">
        <v>470</v>
      </c>
      <c r="K260" s="66" t="s">
        <v>470</v>
      </c>
      <c r="L260" s="66" t="s">
        <v>470</v>
      </c>
      <c r="M260" s="66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>
      <c r="A261" s="226"/>
      <c r="B261" s="13"/>
      <c r="C261" s="13"/>
      <c r="D261" s="13"/>
      <c r="E261" s="64"/>
      <c r="F261" s="66" t="s">
        <v>470</v>
      </c>
      <c r="G261" s="13"/>
      <c r="H261" s="66" t="s">
        <v>470</v>
      </c>
      <c r="I261" s="66" t="s">
        <v>470</v>
      </c>
      <c r="J261" s="66" t="s">
        <v>470</v>
      </c>
      <c r="K261" s="66" t="s">
        <v>470</v>
      </c>
      <c r="L261" s="66" t="s">
        <v>470</v>
      </c>
      <c r="M261" s="66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>
      <c r="A262" s="226"/>
      <c r="B262" s="13"/>
      <c r="C262" s="13"/>
      <c r="D262" s="13"/>
      <c r="E262" s="64"/>
      <c r="F262" s="66" t="s">
        <v>470</v>
      </c>
      <c r="G262" s="13"/>
      <c r="H262" s="66" t="s">
        <v>470</v>
      </c>
      <c r="I262" s="66" t="s">
        <v>470</v>
      </c>
      <c r="J262" s="66" t="s">
        <v>470</v>
      </c>
      <c r="K262" s="66" t="s">
        <v>470</v>
      </c>
      <c r="L262" s="66" t="s">
        <v>470</v>
      </c>
      <c r="M262" s="66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>
      <c r="A263" s="226"/>
      <c r="B263" s="13"/>
      <c r="C263" s="13"/>
      <c r="D263" s="13"/>
      <c r="E263" s="64"/>
      <c r="F263" s="66" t="s">
        <v>470</v>
      </c>
      <c r="G263" s="13"/>
      <c r="H263" s="66" t="s">
        <v>470</v>
      </c>
      <c r="I263" s="66" t="s">
        <v>470</v>
      </c>
      <c r="J263" s="66" t="s">
        <v>470</v>
      </c>
      <c r="K263" s="66" t="s">
        <v>470</v>
      </c>
      <c r="L263" s="66" t="s">
        <v>470</v>
      </c>
      <c r="M263" s="66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>
      <c r="A264" s="226"/>
      <c r="B264" s="13"/>
      <c r="C264" s="13"/>
      <c r="D264" s="13"/>
      <c r="E264" s="64"/>
      <c r="F264" s="66" t="s">
        <v>470</v>
      </c>
      <c r="G264" s="13"/>
      <c r="H264" s="66" t="s">
        <v>470</v>
      </c>
      <c r="I264" s="66" t="s">
        <v>470</v>
      </c>
      <c r="J264" s="66" t="s">
        <v>470</v>
      </c>
      <c r="K264" s="66" t="s">
        <v>470</v>
      </c>
      <c r="L264" s="66" t="s">
        <v>470</v>
      </c>
      <c r="M264" s="66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>
      <c r="A265" s="226"/>
      <c r="B265" s="13"/>
      <c r="C265" s="13"/>
      <c r="D265" s="13"/>
      <c r="E265" s="64"/>
      <c r="F265" s="66" t="s">
        <v>470</v>
      </c>
      <c r="G265" s="13"/>
      <c r="H265" s="66" t="s">
        <v>470</v>
      </c>
      <c r="I265" s="66" t="s">
        <v>470</v>
      </c>
      <c r="J265" s="66" t="s">
        <v>470</v>
      </c>
      <c r="K265" s="66" t="s">
        <v>470</v>
      </c>
      <c r="L265" s="66" t="s">
        <v>470</v>
      </c>
      <c r="M265" s="66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>
      <c r="A266" s="226"/>
      <c r="B266" s="13"/>
      <c r="C266" s="13"/>
      <c r="D266" s="13"/>
      <c r="E266" s="64"/>
      <c r="F266" s="66" t="s">
        <v>470</v>
      </c>
      <c r="G266" s="13"/>
      <c r="H266" s="66" t="s">
        <v>470</v>
      </c>
      <c r="I266" s="66" t="s">
        <v>470</v>
      </c>
      <c r="J266" s="66" t="s">
        <v>470</v>
      </c>
      <c r="K266" s="66" t="s">
        <v>470</v>
      </c>
      <c r="L266" s="66" t="s">
        <v>470</v>
      </c>
      <c r="M266" s="66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>
      <c r="A267" s="226"/>
      <c r="B267" s="13"/>
      <c r="C267" s="13"/>
      <c r="D267" s="13"/>
      <c r="E267" s="64"/>
      <c r="F267" s="66" t="s">
        <v>470</v>
      </c>
      <c r="G267" s="13"/>
      <c r="H267" s="66" t="s">
        <v>470</v>
      </c>
      <c r="I267" s="66" t="s">
        <v>470</v>
      </c>
      <c r="J267" s="66" t="s">
        <v>470</v>
      </c>
      <c r="K267" s="66" t="s">
        <v>470</v>
      </c>
      <c r="L267" s="66" t="s">
        <v>470</v>
      </c>
      <c r="M267" s="66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>
      <c r="A268" s="226"/>
      <c r="B268" s="13"/>
      <c r="C268" s="13"/>
      <c r="D268" s="13"/>
      <c r="E268" s="64"/>
      <c r="F268" s="66" t="s">
        <v>470</v>
      </c>
      <c r="G268" s="13"/>
      <c r="H268" s="66" t="s">
        <v>470</v>
      </c>
      <c r="I268" s="66" t="s">
        <v>470</v>
      </c>
      <c r="J268" s="66" t="s">
        <v>470</v>
      </c>
      <c r="K268" s="66" t="s">
        <v>470</v>
      </c>
      <c r="L268" s="66" t="s">
        <v>470</v>
      </c>
      <c r="M268" s="66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>
      <c r="A269" s="226"/>
      <c r="B269" s="13"/>
      <c r="C269" s="13"/>
      <c r="D269" s="13"/>
      <c r="E269" s="64"/>
      <c r="F269" s="66" t="s">
        <v>470</v>
      </c>
      <c r="G269" s="13"/>
      <c r="H269" s="66" t="s">
        <v>470</v>
      </c>
      <c r="I269" s="66" t="s">
        <v>470</v>
      </c>
      <c r="J269" s="66" t="s">
        <v>470</v>
      </c>
      <c r="K269" s="66" t="s">
        <v>470</v>
      </c>
      <c r="L269" s="66" t="s">
        <v>470</v>
      </c>
      <c r="M269" s="66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>
      <c r="A270" s="226"/>
      <c r="B270" s="13"/>
      <c r="C270" s="13"/>
      <c r="D270" s="13"/>
      <c r="E270" s="64"/>
      <c r="F270" s="66" t="s">
        <v>470</v>
      </c>
      <c r="G270" s="13"/>
      <c r="H270" s="66" t="s">
        <v>470</v>
      </c>
      <c r="I270" s="66" t="s">
        <v>470</v>
      </c>
      <c r="J270" s="66" t="s">
        <v>470</v>
      </c>
      <c r="K270" s="66" t="s">
        <v>470</v>
      </c>
      <c r="L270" s="66" t="s">
        <v>470</v>
      </c>
      <c r="M270" s="66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>
      <c r="A271" s="226"/>
      <c r="B271" s="13"/>
      <c r="C271" s="13"/>
      <c r="D271" s="13"/>
      <c r="E271" s="64"/>
      <c r="F271" s="66" t="s">
        <v>470</v>
      </c>
      <c r="G271" s="13"/>
      <c r="H271" s="66" t="s">
        <v>470</v>
      </c>
      <c r="I271" s="66" t="s">
        <v>470</v>
      </c>
      <c r="J271" s="66" t="s">
        <v>470</v>
      </c>
      <c r="K271" s="66" t="s">
        <v>470</v>
      </c>
      <c r="L271" s="66" t="s">
        <v>470</v>
      </c>
      <c r="M271" s="66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>
      <c r="A272" s="226"/>
      <c r="B272" s="13"/>
      <c r="C272" s="13"/>
      <c r="D272" s="13"/>
      <c r="E272" s="64"/>
      <c r="F272" s="66" t="s">
        <v>470</v>
      </c>
      <c r="G272" s="13"/>
      <c r="H272" s="66" t="s">
        <v>470</v>
      </c>
      <c r="I272" s="66" t="s">
        <v>470</v>
      </c>
      <c r="J272" s="66" t="s">
        <v>470</v>
      </c>
      <c r="K272" s="66" t="s">
        <v>470</v>
      </c>
      <c r="L272" s="66" t="s">
        <v>470</v>
      </c>
      <c r="M272" s="66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>
      <c r="A273" s="226"/>
      <c r="B273" s="13"/>
      <c r="C273" s="13"/>
      <c r="D273" s="13"/>
      <c r="E273" s="64"/>
      <c r="F273" s="66" t="s">
        <v>470</v>
      </c>
      <c r="G273" s="13"/>
      <c r="H273" s="66" t="s">
        <v>470</v>
      </c>
      <c r="I273" s="66" t="s">
        <v>470</v>
      </c>
      <c r="J273" s="66" t="s">
        <v>470</v>
      </c>
      <c r="K273" s="66" t="s">
        <v>470</v>
      </c>
      <c r="L273" s="66" t="s">
        <v>470</v>
      </c>
      <c r="M273" s="66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>
      <c r="A274" s="226"/>
      <c r="B274" s="13"/>
      <c r="C274" s="13"/>
      <c r="D274" s="13"/>
      <c r="E274" s="64"/>
      <c r="F274" s="66" t="s">
        <v>470</v>
      </c>
      <c r="G274" s="13"/>
      <c r="H274" s="66" t="s">
        <v>470</v>
      </c>
      <c r="I274" s="66" t="s">
        <v>470</v>
      </c>
      <c r="J274" s="66" t="s">
        <v>470</v>
      </c>
      <c r="K274" s="66" t="s">
        <v>470</v>
      </c>
      <c r="L274" s="66" t="s">
        <v>470</v>
      </c>
      <c r="M274" s="66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>
      <c r="A275" s="226"/>
      <c r="B275" s="13"/>
      <c r="C275" s="13"/>
      <c r="D275" s="13"/>
      <c r="E275" s="64"/>
      <c r="F275" s="66" t="s">
        <v>470</v>
      </c>
      <c r="G275" s="13"/>
      <c r="H275" s="66" t="s">
        <v>470</v>
      </c>
      <c r="I275" s="66" t="s">
        <v>470</v>
      </c>
      <c r="J275" s="66" t="s">
        <v>470</v>
      </c>
      <c r="K275" s="66" t="s">
        <v>470</v>
      </c>
      <c r="L275" s="66" t="s">
        <v>470</v>
      </c>
      <c r="M275" s="66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>
      <c r="A276" s="226"/>
      <c r="B276" s="13"/>
      <c r="C276" s="13"/>
      <c r="D276" s="13"/>
      <c r="E276" s="64"/>
      <c r="F276" s="66" t="s">
        <v>470</v>
      </c>
      <c r="G276" s="13"/>
      <c r="H276" s="66" t="s">
        <v>470</v>
      </c>
      <c r="I276" s="66" t="s">
        <v>470</v>
      </c>
      <c r="J276" s="66" t="s">
        <v>470</v>
      </c>
      <c r="K276" s="66" t="s">
        <v>470</v>
      </c>
      <c r="L276" s="66" t="s">
        <v>470</v>
      </c>
      <c r="M276" s="66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>
      <c r="A277" s="226"/>
      <c r="B277" s="13"/>
      <c r="C277" s="13"/>
      <c r="D277" s="13"/>
      <c r="E277" s="64"/>
      <c r="F277" s="66" t="s">
        <v>470</v>
      </c>
      <c r="G277" s="13"/>
      <c r="H277" s="66" t="s">
        <v>470</v>
      </c>
      <c r="I277" s="66" t="s">
        <v>470</v>
      </c>
      <c r="J277" s="66" t="s">
        <v>470</v>
      </c>
      <c r="K277" s="66" t="s">
        <v>470</v>
      </c>
      <c r="L277" s="66" t="s">
        <v>470</v>
      </c>
      <c r="M277" s="66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>
      <c r="A278" s="226"/>
      <c r="B278" s="13"/>
      <c r="C278" s="13"/>
      <c r="D278" s="13"/>
      <c r="E278" s="64"/>
      <c r="F278" s="66" t="s">
        <v>470</v>
      </c>
      <c r="G278" s="13"/>
      <c r="H278" s="66" t="s">
        <v>470</v>
      </c>
      <c r="I278" s="66" t="s">
        <v>470</v>
      </c>
      <c r="J278" s="66" t="s">
        <v>470</v>
      </c>
      <c r="K278" s="66" t="s">
        <v>470</v>
      </c>
      <c r="L278" s="66" t="s">
        <v>470</v>
      </c>
      <c r="M278" s="66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>
      <c r="A279" s="226"/>
      <c r="B279" s="13"/>
      <c r="C279" s="13"/>
      <c r="D279" s="13"/>
      <c r="E279" s="64"/>
      <c r="F279" s="66" t="s">
        <v>470</v>
      </c>
      <c r="G279" s="13"/>
      <c r="H279" s="66" t="s">
        <v>470</v>
      </c>
      <c r="I279" s="66" t="s">
        <v>470</v>
      </c>
      <c r="J279" s="66" t="s">
        <v>470</v>
      </c>
      <c r="K279" s="66" t="s">
        <v>470</v>
      </c>
      <c r="L279" s="66" t="s">
        <v>470</v>
      </c>
      <c r="M279" s="66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>
      <c r="A280" s="226"/>
      <c r="B280" s="13"/>
      <c r="C280" s="13"/>
      <c r="D280" s="13"/>
      <c r="E280" s="64"/>
      <c r="F280" s="66" t="s">
        <v>470</v>
      </c>
      <c r="G280" s="13"/>
      <c r="H280" s="66" t="s">
        <v>470</v>
      </c>
      <c r="I280" s="66" t="s">
        <v>470</v>
      </c>
      <c r="J280" s="66" t="s">
        <v>470</v>
      </c>
      <c r="K280" s="66" t="s">
        <v>470</v>
      </c>
      <c r="L280" s="66" t="s">
        <v>470</v>
      </c>
      <c r="M280" s="66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>
      <c r="A281" s="226"/>
      <c r="B281" s="13"/>
      <c r="C281" s="13"/>
      <c r="D281" s="13"/>
      <c r="E281" s="64"/>
      <c r="F281" s="66" t="s">
        <v>470</v>
      </c>
      <c r="G281" s="13"/>
      <c r="H281" s="66" t="s">
        <v>470</v>
      </c>
      <c r="I281" s="66" t="s">
        <v>470</v>
      </c>
      <c r="J281" s="66" t="s">
        <v>470</v>
      </c>
      <c r="K281" s="66" t="s">
        <v>470</v>
      </c>
      <c r="L281" s="66" t="s">
        <v>470</v>
      </c>
      <c r="M281" s="66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>
      <c r="A282" s="226"/>
      <c r="B282" s="13"/>
      <c r="C282" s="13"/>
      <c r="D282" s="13"/>
      <c r="E282" s="64"/>
      <c r="F282" s="66" t="s">
        <v>470</v>
      </c>
      <c r="G282" s="13"/>
      <c r="H282" s="66" t="s">
        <v>470</v>
      </c>
      <c r="I282" s="66" t="s">
        <v>470</v>
      </c>
      <c r="J282" s="66" t="s">
        <v>470</v>
      </c>
      <c r="K282" s="66" t="s">
        <v>470</v>
      </c>
      <c r="L282" s="66" t="s">
        <v>470</v>
      </c>
      <c r="M282" s="66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>
      <c r="A283" s="226"/>
      <c r="B283" s="13"/>
      <c r="C283" s="13"/>
      <c r="D283" s="13"/>
      <c r="E283" s="64"/>
      <c r="F283" s="66" t="s">
        <v>470</v>
      </c>
      <c r="G283" s="13"/>
      <c r="H283" s="66" t="s">
        <v>470</v>
      </c>
      <c r="I283" s="66" t="s">
        <v>470</v>
      </c>
      <c r="J283" s="66" t="s">
        <v>470</v>
      </c>
      <c r="K283" s="66" t="s">
        <v>470</v>
      </c>
      <c r="L283" s="66" t="s">
        <v>470</v>
      </c>
      <c r="M283" s="66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>
      <c r="A284" s="226"/>
      <c r="B284" s="13"/>
      <c r="C284" s="13"/>
      <c r="D284" s="13"/>
      <c r="E284" s="64"/>
      <c r="F284" s="66" t="s">
        <v>470</v>
      </c>
      <c r="G284" s="13"/>
      <c r="H284" s="66" t="s">
        <v>470</v>
      </c>
      <c r="I284" s="66" t="s">
        <v>470</v>
      </c>
      <c r="J284" s="66" t="s">
        <v>470</v>
      </c>
      <c r="K284" s="66" t="s">
        <v>470</v>
      </c>
      <c r="L284" s="66" t="s">
        <v>470</v>
      </c>
      <c r="M284" s="66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>
      <c r="A285" s="226"/>
      <c r="B285" s="13"/>
      <c r="C285" s="13"/>
      <c r="D285" s="13"/>
      <c r="E285" s="64"/>
      <c r="F285" s="66" t="s">
        <v>470</v>
      </c>
      <c r="G285" s="13"/>
      <c r="H285" s="66" t="s">
        <v>470</v>
      </c>
      <c r="I285" s="66" t="s">
        <v>470</v>
      </c>
      <c r="J285" s="66" t="s">
        <v>470</v>
      </c>
      <c r="K285" s="66" t="s">
        <v>470</v>
      </c>
      <c r="L285" s="66" t="s">
        <v>470</v>
      </c>
      <c r="M285" s="66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>
      <c r="A286" s="226"/>
      <c r="B286" s="13"/>
      <c r="C286" s="13"/>
      <c r="D286" s="13"/>
      <c r="E286" s="64"/>
      <c r="F286" s="66" t="s">
        <v>470</v>
      </c>
      <c r="G286" s="13"/>
      <c r="H286" s="66" t="s">
        <v>470</v>
      </c>
      <c r="I286" s="66" t="s">
        <v>470</v>
      </c>
      <c r="J286" s="66" t="s">
        <v>470</v>
      </c>
      <c r="K286" s="66" t="s">
        <v>470</v>
      </c>
      <c r="L286" s="66" t="s">
        <v>470</v>
      </c>
      <c r="M286" s="66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>
      <c r="A287" s="226"/>
      <c r="B287" s="13"/>
      <c r="C287" s="13"/>
      <c r="D287" s="13"/>
      <c r="E287" s="64"/>
      <c r="F287" s="66" t="s">
        <v>470</v>
      </c>
      <c r="G287" s="13"/>
      <c r="H287" s="66" t="s">
        <v>470</v>
      </c>
      <c r="I287" s="66" t="s">
        <v>470</v>
      </c>
      <c r="J287" s="66" t="s">
        <v>470</v>
      </c>
      <c r="K287" s="66" t="s">
        <v>470</v>
      </c>
      <c r="L287" s="66" t="s">
        <v>470</v>
      </c>
      <c r="M287" s="66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>
      <c r="A288" s="226"/>
      <c r="B288" s="13"/>
      <c r="C288" s="13"/>
      <c r="D288" s="13"/>
      <c r="E288" s="64"/>
      <c r="F288" s="66" t="s">
        <v>470</v>
      </c>
      <c r="G288" s="13"/>
      <c r="H288" s="66" t="s">
        <v>470</v>
      </c>
      <c r="I288" s="66" t="s">
        <v>470</v>
      </c>
      <c r="J288" s="66" t="s">
        <v>470</v>
      </c>
      <c r="K288" s="66" t="s">
        <v>470</v>
      </c>
      <c r="L288" s="66" t="s">
        <v>470</v>
      </c>
      <c r="M288" s="66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>
      <c r="A289" s="226"/>
      <c r="B289" s="13"/>
      <c r="C289" s="13"/>
      <c r="D289" s="13"/>
      <c r="E289" s="64"/>
      <c r="F289" s="66" t="s">
        <v>470</v>
      </c>
      <c r="G289" s="13"/>
      <c r="H289" s="66" t="s">
        <v>470</v>
      </c>
      <c r="I289" s="66" t="s">
        <v>470</v>
      </c>
      <c r="J289" s="66" t="s">
        <v>470</v>
      </c>
      <c r="K289" s="66" t="s">
        <v>470</v>
      </c>
      <c r="L289" s="66" t="s">
        <v>470</v>
      </c>
      <c r="M289" s="66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>
      <c r="A290" s="226"/>
      <c r="B290" s="13"/>
      <c r="C290" s="13"/>
      <c r="D290" s="13"/>
      <c r="E290" s="64"/>
      <c r="F290" s="66" t="s">
        <v>470</v>
      </c>
      <c r="G290" s="13"/>
      <c r="H290" s="66" t="s">
        <v>470</v>
      </c>
      <c r="I290" s="66" t="s">
        <v>470</v>
      </c>
      <c r="J290" s="66" t="s">
        <v>470</v>
      </c>
      <c r="K290" s="66" t="s">
        <v>470</v>
      </c>
      <c r="L290" s="66" t="s">
        <v>470</v>
      </c>
      <c r="M290" s="66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>
      <c r="A291" s="226"/>
      <c r="B291" s="13"/>
      <c r="C291" s="13"/>
      <c r="D291" s="13"/>
      <c r="E291" s="64"/>
      <c r="F291" s="66" t="s">
        <v>470</v>
      </c>
      <c r="G291" s="13"/>
      <c r="H291" s="66" t="s">
        <v>470</v>
      </c>
      <c r="I291" s="66" t="s">
        <v>470</v>
      </c>
      <c r="J291" s="66" t="s">
        <v>470</v>
      </c>
      <c r="K291" s="66" t="s">
        <v>470</v>
      </c>
      <c r="L291" s="66" t="s">
        <v>470</v>
      </c>
      <c r="M291" s="66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>
      <c r="A292" s="226"/>
      <c r="B292" s="13"/>
      <c r="C292" s="13"/>
      <c r="D292" s="13"/>
      <c r="E292" s="64"/>
      <c r="F292" s="66" t="s">
        <v>470</v>
      </c>
      <c r="G292" s="13"/>
      <c r="H292" s="66" t="s">
        <v>470</v>
      </c>
      <c r="I292" s="66" t="s">
        <v>470</v>
      </c>
      <c r="J292" s="66" t="s">
        <v>470</v>
      </c>
      <c r="K292" s="66" t="s">
        <v>470</v>
      </c>
      <c r="L292" s="66" t="s">
        <v>470</v>
      </c>
      <c r="M292" s="66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>
      <c r="A293" s="226"/>
      <c r="B293" s="13"/>
      <c r="C293" s="13"/>
      <c r="D293" s="13"/>
      <c r="E293" s="64"/>
      <c r="F293" s="66" t="s">
        <v>470</v>
      </c>
      <c r="G293" s="13"/>
      <c r="H293" s="66" t="s">
        <v>470</v>
      </c>
      <c r="I293" s="66" t="s">
        <v>470</v>
      </c>
      <c r="J293" s="66" t="s">
        <v>470</v>
      </c>
      <c r="K293" s="66" t="s">
        <v>470</v>
      </c>
      <c r="L293" s="66" t="s">
        <v>470</v>
      </c>
      <c r="M293" s="66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>
      <c r="A294" s="226"/>
      <c r="B294" s="13"/>
      <c r="C294" s="13"/>
      <c r="D294" s="13"/>
      <c r="E294" s="64"/>
      <c r="F294" s="66" t="s">
        <v>470</v>
      </c>
      <c r="G294" s="13"/>
      <c r="H294" s="66" t="s">
        <v>470</v>
      </c>
      <c r="I294" s="66" t="s">
        <v>470</v>
      </c>
      <c r="J294" s="66" t="s">
        <v>470</v>
      </c>
      <c r="K294" s="66" t="s">
        <v>470</v>
      </c>
      <c r="L294" s="66" t="s">
        <v>470</v>
      </c>
      <c r="M294" s="66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>
      <c r="A295" s="226"/>
      <c r="B295" s="13"/>
      <c r="C295" s="13"/>
      <c r="D295" s="13"/>
      <c r="E295" s="64"/>
      <c r="F295" s="66" t="s">
        <v>470</v>
      </c>
      <c r="G295" s="13"/>
      <c r="H295" s="66" t="s">
        <v>470</v>
      </c>
      <c r="I295" s="66" t="s">
        <v>470</v>
      </c>
      <c r="J295" s="66" t="s">
        <v>470</v>
      </c>
      <c r="K295" s="66" t="s">
        <v>470</v>
      </c>
      <c r="L295" s="66" t="s">
        <v>470</v>
      </c>
      <c r="M295" s="66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>
      <c r="A296" s="226"/>
      <c r="B296" s="13"/>
      <c r="C296" s="13"/>
      <c r="D296" s="13"/>
      <c r="E296" s="64"/>
      <c r="F296" s="66" t="s">
        <v>470</v>
      </c>
      <c r="G296" s="13"/>
      <c r="H296" s="66" t="s">
        <v>470</v>
      </c>
      <c r="I296" s="66" t="s">
        <v>470</v>
      </c>
      <c r="J296" s="66" t="s">
        <v>470</v>
      </c>
      <c r="K296" s="66" t="s">
        <v>470</v>
      </c>
      <c r="L296" s="66" t="s">
        <v>470</v>
      </c>
      <c r="M296" s="66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>
      <c r="A297" s="226"/>
      <c r="B297" s="13"/>
      <c r="C297" s="13"/>
      <c r="D297" s="13"/>
      <c r="E297" s="64"/>
      <c r="F297" s="66" t="s">
        <v>470</v>
      </c>
      <c r="G297" s="13"/>
      <c r="H297" s="66" t="s">
        <v>470</v>
      </c>
      <c r="I297" s="66" t="s">
        <v>470</v>
      </c>
      <c r="J297" s="66" t="s">
        <v>470</v>
      </c>
      <c r="K297" s="66" t="s">
        <v>470</v>
      </c>
      <c r="L297" s="66" t="s">
        <v>470</v>
      </c>
      <c r="M297" s="66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>
      <c r="A298" s="226"/>
      <c r="B298" s="13"/>
      <c r="C298" s="13"/>
      <c r="D298" s="13"/>
      <c r="E298" s="64"/>
      <c r="F298" s="66" t="s">
        <v>470</v>
      </c>
      <c r="G298" s="13"/>
      <c r="H298" s="66" t="s">
        <v>470</v>
      </c>
      <c r="I298" s="66" t="s">
        <v>470</v>
      </c>
      <c r="J298" s="66" t="s">
        <v>470</v>
      </c>
      <c r="K298" s="66" t="s">
        <v>470</v>
      </c>
      <c r="L298" s="66" t="s">
        <v>470</v>
      </c>
      <c r="M298" s="66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>
      <c r="A299" s="226"/>
      <c r="B299" s="13"/>
      <c r="C299" s="13"/>
      <c r="D299" s="13"/>
      <c r="E299" s="64"/>
      <c r="F299" s="66" t="s">
        <v>470</v>
      </c>
      <c r="G299" s="13"/>
      <c r="H299" s="66" t="s">
        <v>470</v>
      </c>
      <c r="I299" s="66" t="s">
        <v>470</v>
      </c>
      <c r="J299" s="66" t="s">
        <v>470</v>
      </c>
      <c r="K299" s="66" t="s">
        <v>470</v>
      </c>
      <c r="L299" s="66" t="s">
        <v>470</v>
      </c>
      <c r="M299" s="66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>
      <c r="A300" s="226"/>
      <c r="B300" s="13"/>
      <c r="C300" s="13"/>
      <c r="D300" s="13"/>
      <c r="E300" s="64"/>
      <c r="F300" s="66" t="s">
        <v>470</v>
      </c>
      <c r="G300" s="13"/>
      <c r="H300" s="66" t="s">
        <v>470</v>
      </c>
      <c r="I300" s="66" t="s">
        <v>470</v>
      </c>
      <c r="J300" s="66" t="s">
        <v>470</v>
      </c>
      <c r="K300" s="66" t="s">
        <v>470</v>
      </c>
      <c r="L300" s="66" t="s">
        <v>470</v>
      </c>
      <c r="M300" s="66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>
      <c r="A301" s="226"/>
      <c r="B301" s="13"/>
      <c r="C301" s="13"/>
      <c r="D301" s="13"/>
      <c r="E301" s="64"/>
      <c r="F301" s="66" t="s">
        <v>470</v>
      </c>
      <c r="G301" s="13"/>
      <c r="H301" s="66" t="s">
        <v>470</v>
      </c>
      <c r="I301" s="66" t="s">
        <v>470</v>
      </c>
      <c r="J301" s="66" t="s">
        <v>470</v>
      </c>
      <c r="K301" s="66" t="s">
        <v>470</v>
      </c>
      <c r="L301" s="66" t="s">
        <v>470</v>
      </c>
      <c r="M301" s="66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>
      <c r="A302" s="226"/>
      <c r="B302" s="13"/>
      <c r="C302" s="13"/>
      <c r="D302" s="13"/>
      <c r="E302" s="64"/>
      <c r="F302" s="66" t="s">
        <v>470</v>
      </c>
      <c r="G302" s="13"/>
      <c r="H302" s="66" t="s">
        <v>470</v>
      </c>
      <c r="I302" s="66" t="s">
        <v>470</v>
      </c>
      <c r="J302" s="66" t="s">
        <v>470</v>
      </c>
      <c r="K302" s="66" t="s">
        <v>470</v>
      </c>
      <c r="L302" s="66" t="s">
        <v>470</v>
      </c>
      <c r="M302" s="66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>
      <c r="A303" s="226"/>
      <c r="B303" s="13"/>
      <c r="C303" s="13"/>
      <c r="D303" s="13"/>
      <c r="E303" s="64"/>
      <c r="F303" s="66" t="s">
        <v>470</v>
      </c>
      <c r="G303" s="13"/>
      <c r="H303" s="66" t="s">
        <v>470</v>
      </c>
      <c r="I303" s="66" t="s">
        <v>470</v>
      </c>
      <c r="J303" s="66" t="s">
        <v>470</v>
      </c>
      <c r="K303" s="66" t="s">
        <v>470</v>
      </c>
      <c r="L303" s="66" t="s">
        <v>470</v>
      </c>
      <c r="M303" s="66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>
      <c r="A304" s="226"/>
      <c r="B304" s="13"/>
      <c r="C304" s="13"/>
      <c r="D304" s="13"/>
      <c r="E304" s="64"/>
      <c r="F304" s="66" t="s">
        <v>470</v>
      </c>
      <c r="G304" s="13"/>
      <c r="H304" s="66" t="s">
        <v>470</v>
      </c>
      <c r="I304" s="66" t="s">
        <v>470</v>
      </c>
      <c r="J304" s="66" t="s">
        <v>470</v>
      </c>
      <c r="K304" s="66" t="s">
        <v>470</v>
      </c>
      <c r="L304" s="66" t="s">
        <v>470</v>
      </c>
      <c r="M304" s="66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>
      <c r="A305" s="226"/>
      <c r="B305" s="13"/>
      <c r="C305" s="13"/>
      <c r="D305" s="13"/>
      <c r="E305" s="64"/>
      <c r="F305" s="66" t="s">
        <v>470</v>
      </c>
      <c r="G305" s="13"/>
      <c r="H305" s="66" t="s">
        <v>470</v>
      </c>
      <c r="I305" s="66" t="s">
        <v>470</v>
      </c>
      <c r="J305" s="66" t="s">
        <v>470</v>
      </c>
      <c r="K305" s="66" t="s">
        <v>470</v>
      </c>
      <c r="L305" s="66" t="s">
        <v>470</v>
      </c>
      <c r="M305" s="66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>
      <c r="A306" s="226"/>
      <c r="B306" s="13"/>
      <c r="C306" s="13"/>
      <c r="D306" s="13"/>
      <c r="E306" s="64"/>
      <c r="F306" s="66" t="s">
        <v>470</v>
      </c>
      <c r="G306" s="13"/>
      <c r="H306" s="66" t="s">
        <v>470</v>
      </c>
      <c r="I306" s="66" t="s">
        <v>470</v>
      </c>
      <c r="J306" s="66" t="s">
        <v>470</v>
      </c>
      <c r="K306" s="66" t="s">
        <v>470</v>
      </c>
      <c r="L306" s="66" t="s">
        <v>470</v>
      </c>
      <c r="M306" s="66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>
      <c r="A307" s="226"/>
      <c r="B307" s="13"/>
      <c r="C307" s="13"/>
      <c r="D307" s="13"/>
      <c r="E307" s="64"/>
      <c r="F307" s="66" t="s">
        <v>470</v>
      </c>
      <c r="G307" s="13"/>
      <c r="H307" s="66" t="s">
        <v>470</v>
      </c>
      <c r="I307" s="66" t="s">
        <v>470</v>
      </c>
      <c r="J307" s="66" t="s">
        <v>470</v>
      </c>
      <c r="K307" s="66" t="s">
        <v>470</v>
      </c>
      <c r="L307" s="66" t="s">
        <v>470</v>
      </c>
      <c r="M307" s="66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>
      <c r="A308" s="226"/>
      <c r="B308" s="13"/>
      <c r="C308" s="13"/>
      <c r="D308" s="13"/>
      <c r="E308" s="64"/>
      <c r="F308" s="66" t="s">
        <v>470</v>
      </c>
      <c r="G308" s="13"/>
      <c r="H308" s="66" t="s">
        <v>470</v>
      </c>
      <c r="I308" s="66" t="s">
        <v>470</v>
      </c>
      <c r="J308" s="66" t="s">
        <v>470</v>
      </c>
      <c r="K308" s="66" t="s">
        <v>470</v>
      </c>
      <c r="L308" s="66" t="s">
        <v>470</v>
      </c>
      <c r="M308" s="66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>
      <c r="A309" s="226"/>
      <c r="B309" s="13"/>
      <c r="C309" s="13"/>
      <c r="D309" s="13"/>
      <c r="E309" s="64"/>
      <c r="F309" s="66" t="s">
        <v>470</v>
      </c>
      <c r="G309" s="13"/>
      <c r="H309" s="66" t="s">
        <v>470</v>
      </c>
      <c r="I309" s="66" t="s">
        <v>470</v>
      </c>
      <c r="J309" s="66" t="s">
        <v>470</v>
      </c>
      <c r="K309" s="66" t="s">
        <v>470</v>
      </c>
      <c r="L309" s="66" t="s">
        <v>470</v>
      </c>
      <c r="M309" s="66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>
      <c r="A310" s="226"/>
      <c r="B310" s="13"/>
      <c r="C310" s="13"/>
      <c r="D310" s="13"/>
      <c r="E310" s="64"/>
      <c r="F310" s="66" t="s">
        <v>470</v>
      </c>
      <c r="G310" s="13"/>
      <c r="H310" s="66" t="s">
        <v>470</v>
      </c>
      <c r="I310" s="66" t="s">
        <v>470</v>
      </c>
      <c r="J310" s="66" t="s">
        <v>470</v>
      </c>
      <c r="K310" s="66" t="s">
        <v>470</v>
      </c>
      <c r="L310" s="66" t="s">
        <v>470</v>
      </c>
      <c r="M310" s="66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>
      <c r="A311" s="226"/>
      <c r="B311" s="13"/>
      <c r="C311" s="13"/>
      <c r="D311" s="13"/>
      <c r="E311" s="64"/>
      <c r="F311" s="66" t="s">
        <v>470</v>
      </c>
      <c r="G311" s="13"/>
      <c r="H311" s="66" t="s">
        <v>470</v>
      </c>
      <c r="I311" s="66" t="s">
        <v>470</v>
      </c>
      <c r="J311" s="66" t="s">
        <v>470</v>
      </c>
      <c r="K311" s="66" t="s">
        <v>470</v>
      </c>
      <c r="L311" s="66" t="s">
        <v>470</v>
      </c>
      <c r="M311" s="66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>
      <c r="A312" s="226"/>
      <c r="B312" s="13"/>
      <c r="C312" s="13"/>
      <c r="D312" s="13"/>
      <c r="E312" s="64"/>
      <c r="F312" s="66" t="s">
        <v>470</v>
      </c>
      <c r="G312" s="13"/>
      <c r="H312" s="66" t="s">
        <v>470</v>
      </c>
      <c r="I312" s="66" t="s">
        <v>470</v>
      </c>
      <c r="J312" s="66" t="s">
        <v>470</v>
      </c>
      <c r="K312" s="66" t="s">
        <v>470</v>
      </c>
      <c r="L312" s="66" t="s">
        <v>470</v>
      </c>
      <c r="M312" s="66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>
      <c r="A313" s="226"/>
      <c r="B313" s="13"/>
      <c r="C313" s="13"/>
      <c r="D313" s="13"/>
      <c r="E313" s="64"/>
      <c r="F313" s="66" t="s">
        <v>470</v>
      </c>
      <c r="G313" s="13"/>
      <c r="H313" s="66" t="s">
        <v>470</v>
      </c>
      <c r="I313" s="66" t="s">
        <v>470</v>
      </c>
      <c r="J313" s="66" t="s">
        <v>470</v>
      </c>
      <c r="K313" s="66" t="s">
        <v>470</v>
      </c>
      <c r="L313" s="66" t="s">
        <v>470</v>
      </c>
      <c r="M313" s="66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>
      <c r="A314" s="226"/>
      <c r="B314" s="13"/>
      <c r="C314" s="13"/>
      <c r="D314" s="13"/>
      <c r="E314" s="64"/>
      <c r="F314" s="66" t="s">
        <v>470</v>
      </c>
      <c r="G314" s="13"/>
      <c r="H314" s="66" t="s">
        <v>470</v>
      </c>
      <c r="I314" s="66" t="s">
        <v>470</v>
      </c>
      <c r="J314" s="66" t="s">
        <v>470</v>
      </c>
      <c r="K314" s="66" t="s">
        <v>470</v>
      </c>
      <c r="L314" s="66" t="s">
        <v>470</v>
      </c>
      <c r="M314" s="66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>
      <c r="A315" s="226"/>
      <c r="B315" s="13"/>
      <c r="C315" s="13"/>
      <c r="D315" s="13"/>
      <c r="E315" s="64"/>
      <c r="F315" s="66" t="s">
        <v>470</v>
      </c>
      <c r="G315" s="13"/>
      <c r="H315" s="66" t="s">
        <v>470</v>
      </c>
      <c r="I315" s="66" t="s">
        <v>470</v>
      </c>
      <c r="J315" s="66" t="s">
        <v>470</v>
      </c>
      <c r="K315" s="66" t="s">
        <v>470</v>
      </c>
      <c r="L315" s="66" t="s">
        <v>470</v>
      </c>
      <c r="M315" s="66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>
      <c r="A316" s="226"/>
      <c r="B316" s="13"/>
      <c r="C316" s="13"/>
      <c r="D316" s="13"/>
      <c r="E316" s="64"/>
      <c r="F316" s="66" t="s">
        <v>470</v>
      </c>
      <c r="G316" s="13"/>
      <c r="H316" s="66" t="s">
        <v>470</v>
      </c>
      <c r="I316" s="66" t="s">
        <v>470</v>
      </c>
      <c r="J316" s="66" t="s">
        <v>470</v>
      </c>
      <c r="K316" s="66" t="s">
        <v>470</v>
      </c>
      <c r="L316" s="66" t="s">
        <v>470</v>
      </c>
      <c r="M316" s="66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>
      <c r="A317" s="226"/>
      <c r="B317" s="13"/>
      <c r="C317" s="13"/>
      <c r="D317" s="13"/>
      <c r="E317" s="64"/>
      <c r="F317" s="66" t="s">
        <v>470</v>
      </c>
      <c r="G317" s="13"/>
      <c r="H317" s="66" t="s">
        <v>470</v>
      </c>
      <c r="I317" s="66" t="s">
        <v>470</v>
      </c>
      <c r="J317" s="66" t="s">
        <v>470</v>
      </c>
      <c r="K317" s="66" t="s">
        <v>470</v>
      </c>
      <c r="L317" s="66" t="s">
        <v>470</v>
      </c>
      <c r="M317" s="66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>
      <c r="A318" s="226"/>
      <c r="B318" s="13"/>
      <c r="C318" s="13"/>
      <c r="D318" s="13"/>
      <c r="E318" s="64"/>
      <c r="F318" s="66" t="s">
        <v>470</v>
      </c>
      <c r="G318" s="13"/>
      <c r="H318" s="66" t="s">
        <v>470</v>
      </c>
      <c r="I318" s="66" t="s">
        <v>470</v>
      </c>
      <c r="J318" s="66" t="s">
        <v>470</v>
      </c>
      <c r="K318" s="66" t="s">
        <v>470</v>
      </c>
      <c r="L318" s="66" t="s">
        <v>470</v>
      </c>
      <c r="M318" s="66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>
      <c r="A319" s="226"/>
      <c r="B319" s="13"/>
      <c r="C319" s="13"/>
      <c r="D319" s="13"/>
      <c r="E319" s="64"/>
      <c r="F319" s="66" t="s">
        <v>470</v>
      </c>
      <c r="G319" s="13"/>
      <c r="H319" s="66" t="s">
        <v>470</v>
      </c>
      <c r="I319" s="66" t="s">
        <v>470</v>
      </c>
      <c r="J319" s="66" t="s">
        <v>470</v>
      </c>
      <c r="K319" s="66" t="s">
        <v>470</v>
      </c>
      <c r="L319" s="66" t="s">
        <v>470</v>
      </c>
      <c r="M319" s="66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>
      <c r="A320" s="226"/>
      <c r="B320" s="13"/>
      <c r="C320" s="13"/>
      <c r="D320" s="13"/>
      <c r="E320" s="64"/>
      <c r="F320" s="66" t="s">
        <v>470</v>
      </c>
      <c r="G320" s="13"/>
      <c r="H320" s="66" t="s">
        <v>470</v>
      </c>
      <c r="I320" s="66" t="s">
        <v>470</v>
      </c>
      <c r="J320" s="66" t="s">
        <v>470</v>
      </c>
      <c r="K320" s="66" t="s">
        <v>470</v>
      </c>
      <c r="L320" s="66" t="s">
        <v>470</v>
      </c>
      <c r="M320" s="66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>
      <c r="A321" s="226"/>
      <c r="B321" s="13"/>
      <c r="C321" s="13"/>
      <c r="D321" s="13"/>
      <c r="E321" s="64"/>
      <c r="F321" s="66" t="s">
        <v>470</v>
      </c>
      <c r="G321" s="13"/>
      <c r="H321" s="66" t="s">
        <v>470</v>
      </c>
      <c r="I321" s="66" t="s">
        <v>470</v>
      </c>
      <c r="J321" s="66" t="s">
        <v>470</v>
      </c>
      <c r="K321" s="66" t="s">
        <v>470</v>
      </c>
      <c r="L321" s="66" t="s">
        <v>470</v>
      </c>
      <c r="M321" s="66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>
      <c r="A322" s="226"/>
      <c r="B322" s="13"/>
      <c r="C322" s="13"/>
      <c r="D322" s="13"/>
      <c r="E322" s="64"/>
      <c r="F322" s="66" t="s">
        <v>470</v>
      </c>
      <c r="G322" s="13"/>
      <c r="H322" s="66" t="s">
        <v>470</v>
      </c>
      <c r="I322" s="66" t="s">
        <v>470</v>
      </c>
      <c r="J322" s="66" t="s">
        <v>470</v>
      </c>
      <c r="K322" s="66" t="s">
        <v>470</v>
      </c>
      <c r="L322" s="66" t="s">
        <v>470</v>
      </c>
      <c r="M322" s="66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>
      <c r="A323" s="226"/>
      <c r="B323" s="13"/>
      <c r="C323" s="13"/>
      <c r="D323" s="13"/>
      <c r="E323" s="64"/>
      <c r="F323" s="66" t="s">
        <v>470</v>
      </c>
      <c r="G323" s="13"/>
      <c r="H323" s="66" t="s">
        <v>470</v>
      </c>
      <c r="I323" s="66" t="s">
        <v>470</v>
      </c>
      <c r="J323" s="66" t="s">
        <v>470</v>
      </c>
      <c r="K323" s="66" t="s">
        <v>470</v>
      </c>
      <c r="L323" s="66" t="s">
        <v>470</v>
      </c>
      <c r="M323" s="66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>
      <c r="A324" s="226"/>
      <c r="B324" s="13"/>
      <c r="C324" s="13"/>
      <c r="D324" s="13"/>
      <c r="E324" s="64"/>
      <c r="F324" s="66" t="s">
        <v>470</v>
      </c>
      <c r="G324" s="13"/>
      <c r="H324" s="66" t="s">
        <v>470</v>
      </c>
      <c r="I324" s="66" t="s">
        <v>470</v>
      </c>
      <c r="J324" s="66" t="s">
        <v>470</v>
      </c>
      <c r="K324" s="66" t="s">
        <v>470</v>
      </c>
      <c r="L324" s="66" t="s">
        <v>470</v>
      </c>
      <c r="M324" s="66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>
      <c r="A325" s="226"/>
      <c r="B325" s="13"/>
      <c r="C325" s="13"/>
      <c r="D325" s="13"/>
      <c r="E325" s="64"/>
      <c r="F325" s="66" t="s">
        <v>470</v>
      </c>
      <c r="G325" s="13"/>
      <c r="H325" s="66" t="s">
        <v>470</v>
      </c>
      <c r="I325" s="66" t="s">
        <v>470</v>
      </c>
      <c r="J325" s="66" t="s">
        <v>470</v>
      </c>
      <c r="K325" s="66" t="s">
        <v>470</v>
      </c>
      <c r="L325" s="66" t="s">
        <v>470</v>
      </c>
      <c r="M325" s="66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>
      <c r="A326" s="226"/>
      <c r="B326" s="13"/>
      <c r="C326" s="13"/>
      <c r="D326" s="13"/>
      <c r="E326" s="64"/>
      <c r="F326" s="66" t="s">
        <v>470</v>
      </c>
      <c r="G326" s="13"/>
      <c r="H326" s="66" t="s">
        <v>470</v>
      </c>
      <c r="I326" s="66" t="s">
        <v>470</v>
      </c>
      <c r="J326" s="66" t="s">
        <v>470</v>
      </c>
      <c r="K326" s="66" t="s">
        <v>470</v>
      </c>
      <c r="L326" s="66" t="s">
        <v>470</v>
      </c>
      <c r="M326" s="66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>
      <c r="A327" s="226"/>
      <c r="B327" s="13"/>
      <c r="C327" s="13"/>
      <c r="D327" s="13"/>
      <c r="E327" s="64"/>
      <c r="F327" s="66" t="s">
        <v>470</v>
      </c>
      <c r="G327" s="13"/>
      <c r="H327" s="66" t="s">
        <v>470</v>
      </c>
      <c r="I327" s="66" t="s">
        <v>470</v>
      </c>
      <c r="J327" s="66" t="s">
        <v>470</v>
      </c>
      <c r="K327" s="66" t="s">
        <v>470</v>
      </c>
      <c r="L327" s="66" t="s">
        <v>470</v>
      </c>
      <c r="M327" s="66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>
      <c r="A328" s="226"/>
      <c r="B328" s="13"/>
      <c r="C328" s="13"/>
      <c r="D328" s="13"/>
      <c r="E328" s="64"/>
      <c r="F328" s="66" t="s">
        <v>470</v>
      </c>
      <c r="G328" s="13"/>
      <c r="H328" s="66" t="s">
        <v>470</v>
      </c>
      <c r="I328" s="66" t="s">
        <v>470</v>
      </c>
      <c r="J328" s="66" t="s">
        <v>470</v>
      </c>
      <c r="K328" s="66" t="s">
        <v>470</v>
      </c>
      <c r="L328" s="66" t="s">
        <v>470</v>
      </c>
      <c r="M328" s="66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>
      <c r="A329" s="226"/>
      <c r="B329" s="13"/>
      <c r="C329" s="13"/>
      <c r="D329" s="13"/>
      <c r="E329" s="64"/>
      <c r="F329" s="66" t="s">
        <v>470</v>
      </c>
      <c r="G329" s="13"/>
      <c r="H329" s="66" t="s">
        <v>470</v>
      </c>
      <c r="I329" s="66" t="s">
        <v>470</v>
      </c>
      <c r="J329" s="66" t="s">
        <v>470</v>
      </c>
      <c r="K329" s="66" t="s">
        <v>470</v>
      </c>
      <c r="L329" s="66" t="s">
        <v>470</v>
      </c>
      <c r="M329" s="66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>
      <c r="A330" s="226"/>
      <c r="B330" s="13"/>
      <c r="C330" s="13"/>
      <c r="D330" s="13"/>
      <c r="E330" s="64"/>
      <c r="F330" s="66" t="s">
        <v>470</v>
      </c>
      <c r="G330" s="13"/>
      <c r="H330" s="66" t="s">
        <v>470</v>
      </c>
      <c r="I330" s="66" t="s">
        <v>470</v>
      </c>
      <c r="J330" s="66" t="s">
        <v>470</v>
      </c>
      <c r="K330" s="66" t="s">
        <v>470</v>
      </c>
      <c r="L330" s="66" t="s">
        <v>470</v>
      </c>
      <c r="M330" s="66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>
      <c r="A331" s="226"/>
      <c r="B331" s="13"/>
      <c r="C331" s="13"/>
      <c r="D331" s="13"/>
      <c r="E331" s="64"/>
      <c r="F331" s="66" t="s">
        <v>470</v>
      </c>
      <c r="G331" s="13"/>
      <c r="H331" s="66" t="s">
        <v>470</v>
      </c>
      <c r="I331" s="66" t="s">
        <v>470</v>
      </c>
      <c r="J331" s="66" t="s">
        <v>470</v>
      </c>
      <c r="K331" s="66" t="s">
        <v>470</v>
      </c>
      <c r="L331" s="66" t="s">
        <v>470</v>
      </c>
      <c r="M331" s="66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>
      <c r="A332" s="226"/>
      <c r="B332" s="13"/>
      <c r="C332" s="13"/>
      <c r="D332" s="13"/>
      <c r="E332" s="64"/>
      <c r="F332" s="66" t="s">
        <v>470</v>
      </c>
      <c r="G332" s="13"/>
      <c r="H332" s="66" t="s">
        <v>470</v>
      </c>
      <c r="I332" s="66" t="s">
        <v>470</v>
      </c>
      <c r="J332" s="66" t="s">
        <v>470</v>
      </c>
      <c r="K332" s="66" t="s">
        <v>470</v>
      </c>
      <c r="L332" s="66" t="s">
        <v>470</v>
      </c>
      <c r="M332" s="66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>
      <c r="A333" s="226"/>
      <c r="B333" s="13"/>
      <c r="C333" s="13"/>
      <c r="D333" s="13"/>
      <c r="E333" s="64"/>
      <c r="F333" s="66" t="s">
        <v>470</v>
      </c>
      <c r="G333" s="13"/>
      <c r="H333" s="66" t="s">
        <v>470</v>
      </c>
      <c r="I333" s="66" t="s">
        <v>470</v>
      </c>
      <c r="J333" s="66" t="s">
        <v>470</v>
      </c>
      <c r="K333" s="66" t="s">
        <v>470</v>
      </c>
      <c r="L333" s="66" t="s">
        <v>470</v>
      </c>
      <c r="M333" s="66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>
      <c r="A334" s="226"/>
      <c r="B334" s="13"/>
      <c r="C334" s="13"/>
      <c r="D334" s="13"/>
      <c r="E334" s="64"/>
      <c r="F334" s="66" t="s">
        <v>470</v>
      </c>
      <c r="G334" s="13"/>
      <c r="H334" s="66" t="s">
        <v>470</v>
      </c>
      <c r="I334" s="66" t="s">
        <v>470</v>
      </c>
      <c r="J334" s="66" t="s">
        <v>470</v>
      </c>
      <c r="K334" s="66" t="s">
        <v>470</v>
      </c>
      <c r="L334" s="66" t="s">
        <v>470</v>
      </c>
      <c r="M334" s="66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>
      <c r="A335" s="226"/>
      <c r="B335" s="13"/>
      <c r="C335" s="13"/>
      <c r="D335" s="13"/>
      <c r="E335" s="64"/>
      <c r="F335" s="66" t="s">
        <v>470</v>
      </c>
      <c r="G335" s="13"/>
      <c r="H335" s="66" t="s">
        <v>470</v>
      </c>
      <c r="I335" s="66" t="s">
        <v>470</v>
      </c>
      <c r="J335" s="66" t="s">
        <v>470</v>
      </c>
      <c r="K335" s="66" t="s">
        <v>470</v>
      </c>
      <c r="L335" s="66" t="s">
        <v>470</v>
      </c>
      <c r="M335" s="66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>
      <c r="A336" s="226"/>
      <c r="B336" s="13"/>
      <c r="C336" s="13"/>
      <c r="D336" s="13"/>
      <c r="E336" s="64"/>
      <c r="F336" s="66" t="s">
        <v>470</v>
      </c>
      <c r="G336" s="13"/>
      <c r="H336" s="66" t="s">
        <v>470</v>
      </c>
      <c r="I336" s="66" t="s">
        <v>470</v>
      </c>
      <c r="J336" s="66" t="s">
        <v>470</v>
      </c>
      <c r="K336" s="66" t="s">
        <v>470</v>
      </c>
      <c r="L336" s="66" t="s">
        <v>470</v>
      </c>
      <c r="M336" s="66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>
      <c r="A337" s="226"/>
      <c r="B337" s="13"/>
      <c r="C337" s="13"/>
      <c r="D337" s="13"/>
      <c r="E337" s="64"/>
      <c r="F337" s="66" t="s">
        <v>470</v>
      </c>
      <c r="G337" s="13"/>
      <c r="H337" s="66" t="s">
        <v>470</v>
      </c>
      <c r="I337" s="66" t="s">
        <v>470</v>
      </c>
      <c r="J337" s="66" t="s">
        <v>470</v>
      </c>
      <c r="K337" s="66" t="s">
        <v>470</v>
      </c>
      <c r="L337" s="66" t="s">
        <v>470</v>
      </c>
      <c r="M337" s="66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>
      <c r="A338" s="226"/>
      <c r="B338" s="13"/>
      <c r="C338" s="13"/>
      <c r="D338" s="13"/>
      <c r="E338" s="64"/>
      <c r="F338" s="66" t="s">
        <v>470</v>
      </c>
      <c r="G338" s="13"/>
      <c r="H338" s="66" t="s">
        <v>470</v>
      </c>
      <c r="I338" s="66" t="s">
        <v>470</v>
      </c>
      <c r="J338" s="66" t="s">
        <v>470</v>
      </c>
      <c r="K338" s="66" t="s">
        <v>470</v>
      </c>
      <c r="L338" s="66" t="s">
        <v>470</v>
      </c>
      <c r="M338" s="66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>
      <c r="A339" s="226"/>
      <c r="B339" s="13"/>
      <c r="C339" s="13"/>
      <c r="D339" s="13"/>
      <c r="E339" s="64"/>
      <c r="F339" s="66" t="s">
        <v>470</v>
      </c>
      <c r="G339" s="13"/>
      <c r="H339" s="66" t="s">
        <v>470</v>
      </c>
      <c r="I339" s="66" t="s">
        <v>470</v>
      </c>
      <c r="J339" s="66" t="s">
        <v>470</v>
      </c>
      <c r="K339" s="66" t="s">
        <v>470</v>
      </c>
      <c r="L339" s="66" t="s">
        <v>470</v>
      </c>
      <c r="M339" s="66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>
      <c r="A340" s="226"/>
      <c r="B340" s="13"/>
      <c r="C340" s="13"/>
      <c r="D340" s="13"/>
      <c r="E340" s="64"/>
      <c r="F340" s="66" t="s">
        <v>470</v>
      </c>
      <c r="G340" s="13"/>
      <c r="H340" s="66" t="s">
        <v>470</v>
      </c>
      <c r="I340" s="66" t="s">
        <v>470</v>
      </c>
      <c r="J340" s="66" t="s">
        <v>470</v>
      </c>
      <c r="K340" s="66" t="s">
        <v>470</v>
      </c>
      <c r="L340" s="66" t="s">
        <v>470</v>
      </c>
      <c r="M340" s="66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>
      <c r="A341" s="226"/>
      <c r="B341" s="13"/>
      <c r="C341" s="13"/>
      <c r="D341" s="13"/>
      <c r="E341" s="64"/>
      <c r="F341" s="66" t="s">
        <v>470</v>
      </c>
      <c r="G341" s="13"/>
      <c r="H341" s="66" t="s">
        <v>470</v>
      </c>
      <c r="I341" s="66" t="s">
        <v>470</v>
      </c>
      <c r="J341" s="66" t="s">
        <v>470</v>
      </c>
      <c r="K341" s="66" t="s">
        <v>470</v>
      </c>
      <c r="L341" s="66" t="s">
        <v>470</v>
      </c>
      <c r="M341" s="66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>
      <c r="A342" s="226"/>
      <c r="B342" s="13"/>
      <c r="C342" s="13"/>
      <c r="D342" s="13"/>
      <c r="E342" s="64"/>
      <c r="F342" s="66" t="s">
        <v>470</v>
      </c>
      <c r="G342" s="13"/>
      <c r="H342" s="66" t="s">
        <v>470</v>
      </c>
      <c r="I342" s="66" t="s">
        <v>470</v>
      </c>
      <c r="J342" s="66" t="s">
        <v>470</v>
      </c>
      <c r="K342" s="66" t="s">
        <v>470</v>
      </c>
      <c r="L342" s="66" t="s">
        <v>470</v>
      </c>
      <c r="M342" s="66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>
      <c r="A343" s="226"/>
      <c r="B343" s="13"/>
      <c r="C343" s="13"/>
      <c r="D343" s="13"/>
      <c r="E343" s="64"/>
      <c r="F343" s="66" t="s">
        <v>470</v>
      </c>
      <c r="G343" s="13"/>
      <c r="H343" s="66" t="s">
        <v>470</v>
      </c>
      <c r="I343" s="66" t="s">
        <v>470</v>
      </c>
      <c r="J343" s="66" t="s">
        <v>470</v>
      </c>
      <c r="K343" s="66" t="s">
        <v>470</v>
      </c>
      <c r="L343" s="66" t="s">
        <v>470</v>
      </c>
      <c r="M343" s="66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>
      <c r="A344" s="226"/>
      <c r="B344" s="13"/>
      <c r="C344" s="13"/>
      <c r="D344" s="13"/>
      <c r="E344" s="64"/>
      <c r="F344" s="66" t="s">
        <v>470</v>
      </c>
      <c r="G344" s="13"/>
      <c r="H344" s="66" t="s">
        <v>470</v>
      </c>
      <c r="I344" s="66" t="s">
        <v>470</v>
      </c>
      <c r="J344" s="66" t="s">
        <v>470</v>
      </c>
      <c r="K344" s="66" t="s">
        <v>470</v>
      </c>
      <c r="L344" s="66" t="s">
        <v>470</v>
      </c>
      <c r="M344" s="66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>
      <c r="A345" s="226"/>
      <c r="B345" s="13"/>
      <c r="C345" s="13"/>
      <c r="D345" s="13"/>
      <c r="E345" s="64"/>
      <c r="F345" s="66" t="s">
        <v>470</v>
      </c>
      <c r="G345" s="13"/>
      <c r="H345" s="66" t="s">
        <v>470</v>
      </c>
      <c r="I345" s="66" t="s">
        <v>470</v>
      </c>
      <c r="J345" s="66" t="s">
        <v>470</v>
      </c>
      <c r="K345" s="66" t="s">
        <v>470</v>
      </c>
      <c r="L345" s="66" t="s">
        <v>470</v>
      </c>
      <c r="M345" s="66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>
      <c r="A346" s="226"/>
      <c r="B346" s="13"/>
      <c r="C346" s="13"/>
      <c r="D346" s="13"/>
      <c r="E346" s="64"/>
      <c r="F346" s="66" t="s">
        <v>470</v>
      </c>
      <c r="G346" s="13"/>
      <c r="H346" s="66" t="s">
        <v>470</v>
      </c>
      <c r="I346" s="66" t="s">
        <v>470</v>
      </c>
      <c r="J346" s="66" t="s">
        <v>470</v>
      </c>
      <c r="K346" s="66" t="s">
        <v>470</v>
      </c>
      <c r="L346" s="66" t="s">
        <v>470</v>
      </c>
      <c r="M346" s="66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>
      <c r="A347" s="226"/>
      <c r="B347" s="13"/>
      <c r="C347" s="13"/>
      <c r="D347" s="13"/>
      <c r="E347" s="64"/>
      <c r="F347" s="66" t="s">
        <v>470</v>
      </c>
      <c r="G347" s="13"/>
      <c r="H347" s="66" t="s">
        <v>470</v>
      </c>
      <c r="I347" s="66" t="s">
        <v>470</v>
      </c>
      <c r="J347" s="66" t="s">
        <v>470</v>
      </c>
      <c r="K347" s="66" t="s">
        <v>470</v>
      </c>
      <c r="L347" s="66" t="s">
        <v>470</v>
      </c>
      <c r="M347" s="66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>
      <c r="A348" s="226"/>
      <c r="B348" s="13"/>
      <c r="C348" s="13"/>
      <c r="D348" s="13"/>
      <c r="E348" s="64"/>
      <c r="F348" s="66" t="s">
        <v>470</v>
      </c>
      <c r="G348" s="13"/>
      <c r="H348" s="66" t="s">
        <v>470</v>
      </c>
      <c r="I348" s="66" t="s">
        <v>470</v>
      </c>
      <c r="J348" s="66" t="s">
        <v>470</v>
      </c>
      <c r="K348" s="66" t="s">
        <v>470</v>
      </c>
      <c r="L348" s="66" t="s">
        <v>470</v>
      </c>
      <c r="M348" s="66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>
      <c r="A349" s="226"/>
      <c r="B349" s="13"/>
      <c r="C349" s="13"/>
      <c r="D349" s="13"/>
      <c r="E349" s="64"/>
      <c r="F349" s="66" t="s">
        <v>470</v>
      </c>
      <c r="G349" s="13"/>
      <c r="H349" s="66" t="s">
        <v>470</v>
      </c>
      <c r="I349" s="66" t="s">
        <v>470</v>
      </c>
      <c r="J349" s="66" t="s">
        <v>470</v>
      </c>
      <c r="K349" s="66" t="s">
        <v>470</v>
      </c>
      <c r="L349" s="66" t="s">
        <v>470</v>
      </c>
      <c r="M349" s="66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>
      <c r="A350" s="226"/>
      <c r="B350" s="13"/>
      <c r="C350" s="13"/>
      <c r="D350" s="13"/>
      <c r="E350" s="64"/>
      <c r="F350" s="66" t="s">
        <v>470</v>
      </c>
      <c r="G350" s="13"/>
      <c r="H350" s="66" t="s">
        <v>470</v>
      </c>
      <c r="I350" s="66" t="s">
        <v>470</v>
      </c>
      <c r="J350" s="66" t="s">
        <v>470</v>
      </c>
      <c r="K350" s="66" t="s">
        <v>470</v>
      </c>
      <c r="L350" s="66" t="s">
        <v>470</v>
      </c>
      <c r="M350" s="66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>
      <c r="A351" s="226"/>
      <c r="B351" s="13"/>
      <c r="C351" s="13"/>
      <c r="D351" s="13"/>
      <c r="E351" s="64"/>
      <c r="F351" s="66" t="s">
        <v>470</v>
      </c>
      <c r="G351" s="13"/>
      <c r="H351" s="66" t="s">
        <v>470</v>
      </c>
      <c r="I351" s="66" t="s">
        <v>470</v>
      </c>
      <c r="J351" s="66" t="s">
        <v>470</v>
      </c>
      <c r="K351" s="66" t="s">
        <v>470</v>
      </c>
      <c r="L351" s="66" t="s">
        <v>470</v>
      </c>
      <c r="M351" s="66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>
      <c r="A352" s="226"/>
      <c r="B352" s="13"/>
      <c r="C352" s="13"/>
      <c r="D352" s="13"/>
      <c r="E352" s="64"/>
      <c r="F352" s="66" t="s">
        <v>470</v>
      </c>
      <c r="G352" s="13"/>
      <c r="H352" s="66" t="s">
        <v>470</v>
      </c>
      <c r="I352" s="66" t="s">
        <v>470</v>
      </c>
      <c r="J352" s="66" t="s">
        <v>470</v>
      </c>
      <c r="K352" s="66" t="s">
        <v>470</v>
      </c>
      <c r="L352" s="66" t="s">
        <v>470</v>
      </c>
      <c r="M352" s="66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>
      <c r="A353" s="226"/>
      <c r="B353" s="13"/>
      <c r="C353" s="13"/>
      <c r="D353" s="13"/>
      <c r="E353" s="64"/>
      <c r="F353" s="66" t="s">
        <v>470</v>
      </c>
      <c r="G353" s="13"/>
      <c r="H353" s="66" t="s">
        <v>470</v>
      </c>
      <c r="I353" s="66" t="s">
        <v>470</v>
      </c>
      <c r="J353" s="66" t="s">
        <v>470</v>
      </c>
      <c r="K353" s="66" t="s">
        <v>470</v>
      </c>
      <c r="L353" s="66" t="s">
        <v>470</v>
      </c>
      <c r="M353" s="66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>
      <c r="A354" s="226"/>
      <c r="B354" s="13"/>
      <c r="C354" s="13"/>
      <c r="D354" s="13"/>
      <c r="E354" s="64"/>
      <c r="F354" s="66" t="s">
        <v>470</v>
      </c>
      <c r="G354" s="13"/>
      <c r="H354" s="66" t="s">
        <v>470</v>
      </c>
      <c r="I354" s="66" t="s">
        <v>470</v>
      </c>
      <c r="J354" s="66" t="s">
        <v>470</v>
      </c>
      <c r="K354" s="66" t="s">
        <v>470</v>
      </c>
      <c r="L354" s="66" t="s">
        <v>470</v>
      </c>
      <c r="M354" s="66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>
      <c r="A355" s="226"/>
      <c r="B355" s="13"/>
      <c r="C355" s="13"/>
      <c r="D355" s="13"/>
      <c r="E355" s="64"/>
      <c r="F355" s="66" t="s">
        <v>470</v>
      </c>
      <c r="G355" s="13"/>
      <c r="H355" s="66" t="s">
        <v>470</v>
      </c>
      <c r="I355" s="66" t="s">
        <v>470</v>
      </c>
      <c r="J355" s="66" t="s">
        <v>470</v>
      </c>
      <c r="K355" s="66" t="s">
        <v>470</v>
      </c>
      <c r="L355" s="66" t="s">
        <v>470</v>
      </c>
      <c r="M355" s="66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>
      <c r="A356" s="226"/>
      <c r="B356" s="13"/>
      <c r="C356" s="13"/>
      <c r="D356" s="13"/>
      <c r="E356" s="64"/>
      <c r="F356" s="66" t="s">
        <v>470</v>
      </c>
      <c r="G356" s="13"/>
      <c r="H356" s="66" t="s">
        <v>470</v>
      </c>
      <c r="I356" s="66" t="s">
        <v>470</v>
      </c>
      <c r="J356" s="66" t="s">
        <v>470</v>
      </c>
      <c r="K356" s="66" t="s">
        <v>470</v>
      </c>
      <c r="L356" s="66" t="s">
        <v>470</v>
      </c>
      <c r="M356" s="66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>
      <c r="A357" s="226"/>
      <c r="B357" s="13"/>
      <c r="C357" s="13"/>
      <c r="D357" s="13"/>
      <c r="E357" s="64"/>
      <c r="F357" s="66" t="s">
        <v>470</v>
      </c>
      <c r="G357" s="13"/>
      <c r="H357" s="66" t="s">
        <v>470</v>
      </c>
      <c r="I357" s="66" t="s">
        <v>470</v>
      </c>
      <c r="J357" s="66" t="s">
        <v>470</v>
      </c>
      <c r="K357" s="66" t="s">
        <v>470</v>
      </c>
      <c r="L357" s="66" t="s">
        <v>470</v>
      </c>
      <c r="M357" s="66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>
      <c r="A358" s="226"/>
      <c r="B358" s="13"/>
      <c r="C358" s="13"/>
      <c r="D358" s="13"/>
      <c r="E358" s="64"/>
      <c r="F358" s="66" t="s">
        <v>470</v>
      </c>
      <c r="G358" s="13"/>
      <c r="H358" s="66" t="s">
        <v>470</v>
      </c>
      <c r="I358" s="66" t="s">
        <v>470</v>
      </c>
      <c r="J358" s="66" t="s">
        <v>470</v>
      </c>
      <c r="K358" s="66" t="s">
        <v>470</v>
      </c>
      <c r="L358" s="66" t="s">
        <v>470</v>
      </c>
      <c r="M358" s="66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>
      <c r="A359" s="226"/>
      <c r="B359" s="13"/>
      <c r="C359" s="13"/>
      <c r="D359" s="13"/>
      <c r="E359" s="64"/>
      <c r="F359" s="66" t="s">
        <v>470</v>
      </c>
      <c r="G359" s="13"/>
      <c r="H359" s="66" t="s">
        <v>470</v>
      </c>
      <c r="I359" s="66" t="s">
        <v>470</v>
      </c>
      <c r="J359" s="66" t="s">
        <v>470</v>
      </c>
      <c r="K359" s="66" t="s">
        <v>470</v>
      </c>
      <c r="L359" s="66" t="s">
        <v>470</v>
      </c>
      <c r="M359" s="66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>
      <c r="A360" s="226"/>
      <c r="B360" s="13"/>
      <c r="C360" s="13"/>
      <c r="D360" s="13"/>
      <c r="E360" s="64"/>
      <c r="F360" s="66" t="s">
        <v>470</v>
      </c>
      <c r="G360" s="13"/>
      <c r="H360" s="66" t="s">
        <v>470</v>
      </c>
      <c r="I360" s="66" t="s">
        <v>470</v>
      </c>
      <c r="J360" s="66" t="s">
        <v>470</v>
      </c>
      <c r="K360" s="66" t="s">
        <v>470</v>
      </c>
      <c r="L360" s="66" t="s">
        <v>470</v>
      </c>
      <c r="M360" s="66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>
      <c r="A361" s="226"/>
      <c r="B361" s="13"/>
      <c r="C361" s="13"/>
      <c r="D361" s="13"/>
      <c r="E361" s="64"/>
      <c r="F361" s="66" t="s">
        <v>470</v>
      </c>
      <c r="G361" s="13"/>
      <c r="H361" s="66" t="s">
        <v>470</v>
      </c>
      <c r="I361" s="66" t="s">
        <v>470</v>
      </c>
      <c r="J361" s="66" t="s">
        <v>470</v>
      </c>
      <c r="K361" s="66" t="s">
        <v>470</v>
      </c>
      <c r="L361" s="66" t="s">
        <v>470</v>
      </c>
      <c r="M361" s="66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>
      <c r="A362" s="226"/>
      <c r="B362" s="13"/>
      <c r="C362" s="13"/>
      <c r="D362" s="13"/>
      <c r="E362" s="64"/>
      <c r="F362" s="66" t="s">
        <v>470</v>
      </c>
      <c r="G362" s="13"/>
      <c r="H362" s="66" t="s">
        <v>470</v>
      </c>
      <c r="I362" s="66" t="s">
        <v>470</v>
      </c>
      <c r="J362" s="66" t="s">
        <v>470</v>
      </c>
      <c r="K362" s="66" t="s">
        <v>470</v>
      </c>
      <c r="L362" s="66" t="s">
        <v>470</v>
      </c>
      <c r="M362" s="66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>
      <c r="A363" s="226"/>
      <c r="B363" s="13"/>
      <c r="C363" s="13"/>
      <c r="D363" s="13"/>
      <c r="E363" s="64"/>
      <c r="F363" s="66" t="s">
        <v>470</v>
      </c>
      <c r="G363" s="13"/>
      <c r="H363" s="66" t="s">
        <v>470</v>
      </c>
      <c r="I363" s="66" t="s">
        <v>470</v>
      </c>
      <c r="J363" s="66" t="s">
        <v>470</v>
      </c>
      <c r="K363" s="66" t="s">
        <v>470</v>
      </c>
      <c r="L363" s="66" t="s">
        <v>470</v>
      </c>
      <c r="M363" s="66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>
      <c r="A364" s="226"/>
      <c r="B364" s="13"/>
      <c r="C364" s="13"/>
      <c r="D364" s="13"/>
      <c r="E364" s="64"/>
      <c r="F364" s="66" t="s">
        <v>470</v>
      </c>
      <c r="G364" s="13"/>
      <c r="H364" s="66" t="s">
        <v>470</v>
      </c>
      <c r="I364" s="66" t="s">
        <v>470</v>
      </c>
      <c r="J364" s="66" t="s">
        <v>470</v>
      </c>
      <c r="K364" s="66" t="s">
        <v>470</v>
      </c>
      <c r="L364" s="66" t="s">
        <v>470</v>
      </c>
      <c r="M364" s="66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>
      <c r="A365" s="226"/>
      <c r="B365" s="13"/>
      <c r="C365" s="13"/>
      <c r="D365" s="13"/>
      <c r="E365" s="64"/>
      <c r="F365" s="66" t="s">
        <v>470</v>
      </c>
      <c r="G365" s="13"/>
      <c r="H365" s="66" t="s">
        <v>470</v>
      </c>
      <c r="I365" s="66" t="s">
        <v>470</v>
      </c>
      <c r="J365" s="66" t="s">
        <v>470</v>
      </c>
      <c r="K365" s="66" t="s">
        <v>470</v>
      </c>
      <c r="L365" s="66" t="s">
        <v>470</v>
      </c>
      <c r="M365" s="66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>
      <c r="A366" s="226"/>
      <c r="B366" s="13"/>
      <c r="C366" s="13"/>
      <c r="D366" s="13"/>
      <c r="E366" s="64"/>
      <c r="F366" s="66" t="s">
        <v>470</v>
      </c>
      <c r="G366" s="13"/>
      <c r="H366" s="66" t="s">
        <v>470</v>
      </c>
      <c r="I366" s="66" t="s">
        <v>470</v>
      </c>
      <c r="J366" s="66" t="s">
        <v>470</v>
      </c>
      <c r="K366" s="66" t="s">
        <v>470</v>
      </c>
      <c r="L366" s="66" t="s">
        <v>470</v>
      </c>
      <c r="M366" s="66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>
      <c r="A367" s="226"/>
      <c r="B367" s="13"/>
      <c r="C367" s="13"/>
      <c r="D367" s="13"/>
      <c r="E367" s="64"/>
      <c r="F367" s="66" t="s">
        <v>470</v>
      </c>
      <c r="G367" s="13"/>
      <c r="H367" s="66" t="s">
        <v>470</v>
      </c>
      <c r="I367" s="66" t="s">
        <v>470</v>
      </c>
      <c r="J367" s="66" t="s">
        <v>470</v>
      </c>
      <c r="K367" s="66" t="s">
        <v>470</v>
      </c>
      <c r="L367" s="66" t="s">
        <v>470</v>
      </c>
      <c r="M367" s="66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>
      <c r="A368" s="226"/>
      <c r="B368" s="13"/>
      <c r="C368" s="13"/>
      <c r="D368" s="13"/>
      <c r="E368" s="64"/>
      <c r="F368" s="66" t="s">
        <v>470</v>
      </c>
      <c r="G368" s="13"/>
      <c r="H368" s="66" t="s">
        <v>470</v>
      </c>
      <c r="I368" s="66" t="s">
        <v>470</v>
      </c>
      <c r="J368" s="66" t="s">
        <v>470</v>
      </c>
      <c r="K368" s="66" t="s">
        <v>470</v>
      </c>
      <c r="L368" s="66" t="s">
        <v>470</v>
      </c>
      <c r="M368" s="66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>
      <c r="A369" s="226"/>
      <c r="B369" s="13"/>
      <c r="C369" s="13"/>
      <c r="D369" s="13"/>
      <c r="E369" s="64"/>
      <c r="F369" s="66" t="s">
        <v>470</v>
      </c>
      <c r="G369" s="13"/>
      <c r="H369" s="66" t="s">
        <v>470</v>
      </c>
      <c r="I369" s="66" t="s">
        <v>470</v>
      </c>
      <c r="J369" s="66" t="s">
        <v>470</v>
      </c>
      <c r="K369" s="66" t="s">
        <v>470</v>
      </c>
      <c r="L369" s="66" t="s">
        <v>470</v>
      </c>
      <c r="M369" s="66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>
      <c r="A370" s="226"/>
      <c r="B370" s="13"/>
      <c r="C370" s="13"/>
      <c r="D370" s="13"/>
      <c r="E370" s="64"/>
      <c r="F370" s="66" t="s">
        <v>470</v>
      </c>
      <c r="G370" s="13"/>
      <c r="H370" s="66" t="s">
        <v>470</v>
      </c>
      <c r="I370" s="66" t="s">
        <v>470</v>
      </c>
      <c r="J370" s="66" t="s">
        <v>470</v>
      </c>
      <c r="K370" s="66" t="s">
        <v>470</v>
      </c>
      <c r="L370" s="66" t="s">
        <v>470</v>
      </c>
      <c r="M370" s="66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>
      <c r="A371" s="226"/>
      <c r="B371" s="13"/>
      <c r="C371" s="13"/>
      <c r="D371" s="13"/>
      <c r="E371" s="64"/>
      <c r="F371" s="66" t="s">
        <v>470</v>
      </c>
      <c r="G371" s="13"/>
      <c r="H371" s="66" t="s">
        <v>470</v>
      </c>
      <c r="I371" s="66" t="s">
        <v>470</v>
      </c>
      <c r="J371" s="66" t="s">
        <v>470</v>
      </c>
      <c r="K371" s="66" t="s">
        <v>470</v>
      </c>
      <c r="L371" s="66" t="s">
        <v>470</v>
      </c>
      <c r="M371" s="66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>
      <c r="A372" s="226"/>
      <c r="B372" s="13"/>
      <c r="C372" s="13"/>
      <c r="D372" s="13"/>
      <c r="E372" s="64"/>
      <c r="F372" s="66" t="s">
        <v>470</v>
      </c>
      <c r="G372" s="13"/>
      <c r="H372" s="66" t="s">
        <v>470</v>
      </c>
      <c r="I372" s="66" t="s">
        <v>470</v>
      </c>
      <c r="J372" s="66" t="s">
        <v>470</v>
      </c>
      <c r="K372" s="66" t="s">
        <v>470</v>
      </c>
      <c r="L372" s="66" t="s">
        <v>470</v>
      </c>
      <c r="M372" s="66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>
      <c r="A373" s="226"/>
      <c r="B373" s="13"/>
      <c r="C373" s="13"/>
      <c r="D373" s="13"/>
      <c r="E373" s="64"/>
      <c r="F373" s="66" t="s">
        <v>470</v>
      </c>
      <c r="G373" s="13"/>
      <c r="H373" s="66" t="s">
        <v>470</v>
      </c>
      <c r="I373" s="66" t="s">
        <v>470</v>
      </c>
      <c r="J373" s="66" t="s">
        <v>470</v>
      </c>
      <c r="K373" s="66" t="s">
        <v>470</v>
      </c>
      <c r="L373" s="66" t="s">
        <v>470</v>
      </c>
      <c r="M373" s="66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>
      <c r="A374" s="226"/>
      <c r="B374" s="13"/>
      <c r="C374" s="13"/>
      <c r="D374" s="13"/>
      <c r="E374" s="64"/>
      <c r="F374" s="66" t="s">
        <v>470</v>
      </c>
      <c r="G374" s="13"/>
      <c r="H374" s="66" t="s">
        <v>470</v>
      </c>
      <c r="I374" s="66" t="s">
        <v>470</v>
      </c>
      <c r="J374" s="66" t="s">
        <v>470</v>
      </c>
      <c r="K374" s="66" t="s">
        <v>470</v>
      </c>
      <c r="L374" s="66" t="s">
        <v>470</v>
      </c>
      <c r="M374" s="66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>
      <c r="A375" s="226"/>
      <c r="B375" s="13"/>
      <c r="C375" s="13"/>
      <c r="D375" s="13"/>
      <c r="E375" s="64"/>
      <c r="F375" s="66" t="s">
        <v>470</v>
      </c>
      <c r="G375" s="13"/>
      <c r="H375" s="66" t="s">
        <v>470</v>
      </c>
      <c r="I375" s="66" t="s">
        <v>470</v>
      </c>
      <c r="J375" s="66" t="s">
        <v>470</v>
      </c>
      <c r="K375" s="66" t="s">
        <v>470</v>
      </c>
      <c r="L375" s="66" t="s">
        <v>470</v>
      </c>
      <c r="M375" s="66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>
      <c r="A376" s="226"/>
      <c r="B376" s="13"/>
      <c r="C376" s="13"/>
      <c r="D376" s="13"/>
      <c r="E376" s="64"/>
      <c r="F376" s="66" t="s">
        <v>470</v>
      </c>
      <c r="G376" s="13"/>
      <c r="H376" s="66" t="s">
        <v>470</v>
      </c>
      <c r="I376" s="66" t="s">
        <v>470</v>
      </c>
      <c r="J376" s="66" t="s">
        <v>470</v>
      </c>
      <c r="K376" s="66" t="s">
        <v>470</v>
      </c>
      <c r="L376" s="66" t="s">
        <v>470</v>
      </c>
      <c r="M376" s="66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>
      <c r="A377" s="226"/>
      <c r="B377" s="13"/>
      <c r="C377" s="13"/>
      <c r="D377" s="13"/>
      <c r="E377" s="64"/>
      <c r="F377" s="66" t="s">
        <v>470</v>
      </c>
      <c r="G377" s="13"/>
      <c r="H377" s="66" t="s">
        <v>470</v>
      </c>
      <c r="I377" s="66" t="s">
        <v>470</v>
      </c>
      <c r="J377" s="66" t="s">
        <v>470</v>
      </c>
      <c r="K377" s="66" t="s">
        <v>470</v>
      </c>
      <c r="L377" s="66" t="s">
        <v>470</v>
      </c>
      <c r="M377" s="66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>
      <c r="A378" s="226"/>
      <c r="B378" s="13"/>
      <c r="C378" s="13"/>
      <c r="D378" s="13"/>
      <c r="E378" s="64"/>
      <c r="F378" s="66" t="s">
        <v>470</v>
      </c>
      <c r="G378" s="13"/>
      <c r="H378" s="66" t="s">
        <v>470</v>
      </c>
      <c r="I378" s="66" t="s">
        <v>470</v>
      </c>
      <c r="J378" s="66" t="s">
        <v>470</v>
      </c>
      <c r="K378" s="66" t="s">
        <v>470</v>
      </c>
      <c r="L378" s="66" t="s">
        <v>470</v>
      </c>
      <c r="M378" s="66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>
      <c r="A379" s="226"/>
      <c r="B379" s="13"/>
      <c r="C379" s="13"/>
      <c r="D379" s="13"/>
      <c r="E379" s="64"/>
      <c r="F379" s="66" t="s">
        <v>470</v>
      </c>
      <c r="G379" s="13"/>
      <c r="H379" s="66" t="s">
        <v>470</v>
      </c>
      <c r="I379" s="66" t="s">
        <v>470</v>
      </c>
      <c r="J379" s="66" t="s">
        <v>470</v>
      </c>
      <c r="K379" s="66" t="s">
        <v>470</v>
      </c>
      <c r="L379" s="66" t="s">
        <v>470</v>
      </c>
      <c r="M379" s="66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>
      <c r="A380" s="226"/>
      <c r="B380" s="13"/>
      <c r="C380" s="13"/>
      <c r="D380" s="13"/>
      <c r="E380" s="64"/>
      <c r="F380" s="66" t="s">
        <v>470</v>
      </c>
      <c r="G380" s="13"/>
      <c r="H380" s="66" t="s">
        <v>470</v>
      </c>
      <c r="I380" s="66" t="s">
        <v>470</v>
      </c>
      <c r="J380" s="66" t="s">
        <v>470</v>
      </c>
      <c r="K380" s="66" t="s">
        <v>470</v>
      </c>
      <c r="L380" s="66" t="s">
        <v>470</v>
      </c>
      <c r="M380" s="66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>
      <c r="A381" s="226"/>
      <c r="B381" s="13"/>
      <c r="C381" s="13"/>
      <c r="D381" s="13"/>
      <c r="E381" s="64"/>
      <c r="F381" s="66" t="s">
        <v>470</v>
      </c>
      <c r="G381" s="13"/>
      <c r="H381" s="66" t="s">
        <v>470</v>
      </c>
      <c r="I381" s="66" t="s">
        <v>470</v>
      </c>
      <c r="J381" s="66" t="s">
        <v>470</v>
      </c>
      <c r="K381" s="66" t="s">
        <v>470</v>
      </c>
      <c r="L381" s="66" t="s">
        <v>470</v>
      </c>
      <c r="M381" s="66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>
      <c r="A382" s="226"/>
      <c r="B382" s="13"/>
      <c r="C382" s="13"/>
      <c r="D382" s="13"/>
      <c r="E382" s="64"/>
      <c r="F382" s="66" t="s">
        <v>470</v>
      </c>
      <c r="G382" s="13"/>
      <c r="H382" s="66" t="s">
        <v>470</v>
      </c>
      <c r="I382" s="66" t="s">
        <v>470</v>
      </c>
      <c r="J382" s="66" t="s">
        <v>470</v>
      </c>
      <c r="K382" s="66" t="s">
        <v>470</v>
      </c>
      <c r="L382" s="66" t="s">
        <v>470</v>
      </c>
      <c r="M382" s="66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>
      <c r="A383" s="226"/>
      <c r="B383" s="13"/>
      <c r="C383" s="13"/>
      <c r="D383" s="13"/>
      <c r="E383" s="64"/>
      <c r="F383" s="66" t="s">
        <v>470</v>
      </c>
      <c r="G383" s="13"/>
      <c r="H383" s="66" t="s">
        <v>470</v>
      </c>
      <c r="I383" s="66" t="s">
        <v>470</v>
      </c>
      <c r="J383" s="66" t="s">
        <v>470</v>
      </c>
      <c r="K383" s="66" t="s">
        <v>470</v>
      </c>
      <c r="L383" s="66" t="s">
        <v>470</v>
      </c>
      <c r="M383" s="66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>
      <c r="A384" s="226"/>
      <c r="B384" s="13"/>
      <c r="C384" s="13"/>
      <c r="D384" s="13"/>
      <c r="E384" s="64"/>
      <c r="F384" s="66" t="s">
        <v>470</v>
      </c>
      <c r="G384" s="13"/>
      <c r="H384" s="66" t="s">
        <v>470</v>
      </c>
      <c r="I384" s="66" t="s">
        <v>470</v>
      </c>
      <c r="J384" s="66" t="s">
        <v>470</v>
      </c>
      <c r="K384" s="66" t="s">
        <v>470</v>
      </c>
      <c r="L384" s="66" t="s">
        <v>470</v>
      </c>
      <c r="M384" s="66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>
      <c r="A385" s="226"/>
      <c r="B385" s="13"/>
      <c r="C385" s="13"/>
      <c r="D385" s="13"/>
      <c r="E385" s="64"/>
      <c r="F385" s="66" t="s">
        <v>470</v>
      </c>
      <c r="G385" s="13"/>
      <c r="H385" s="66" t="s">
        <v>470</v>
      </c>
      <c r="I385" s="66" t="s">
        <v>470</v>
      </c>
      <c r="J385" s="66" t="s">
        <v>470</v>
      </c>
      <c r="K385" s="66" t="s">
        <v>470</v>
      </c>
      <c r="L385" s="66" t="s">
        <v>470</v>
      </c>
      <c r="M385" s="66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>
      <c r="A386" s="226"/>
      <c r="B386" s="13"/>
      <c r="C386" s="13"/>
      <c r="D386" s="13"/>
      <c r="E386" s="64"/>
      <c r="F386" s="66" t="s">
        <v>470</v>
      </c>
      <c r="G386" s="13"/>
      <c r="H386" s="66" t="s">
        <v>470</v>
      </c>
      <c r="I386" s="66" t="s">
        <v>470</v>
      </c>
      <c r="J386" s="66" t="s">
        <v>470</v>
      </c>
      <c r="K386" s="66" t="s">
        <v>470</v>
      </c>
      <c r="L386" s="66" t="s">
        <v>470</v>
      </c>
      <c r="M386" s="66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>
      <c r="A387" s="226"/>
      <c r="B387" s="13"/>
      <c r="C387" s="13"/>
      <c r="D387" s="13"/>
      <c r="E387" s="64"/>
      <c r="F387" s="66" t="s">
        <v>470</v>
      </c>
      <c r="G387" s="13"/>
      <c r="H387" s="66" t="s">
        <v>470</v>
      </c>
      <c r="I387" s="66" t="s">
        <v>470</v>
      </c>
      <c r="J387" s="66" t="s">
        <v>470</v>
      </c>
      <c r="K387" s="66" t="s">
        <v>470</v>
      </c>
      <c r="L387" s="66" t="s">
        <v>470</v>
      </c>
      <c r="M387" s="66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>
      <c r="A388" s="226"/>
      <c r="B388" s="13"/>
      <c r="C388" s="13"/>
      <c r="D388" s="13"/>
      <c r="E388" s="64"/>
      <c r="F388" s="66" t="s">
        <v>470</v>
      </c>
      <c r="G388" s="13"/>
      <c r="H388" s="66" t="s">
        <v>470</v>
      </c>
      <c r="I388" s="66" t="s">
        <v>470</v>
      </c>
      <c r="J388" s="66" t="s">
        <v>470</v>
      </c>
      <c r="K388" s="66" t="s">
        <v>470</v>
      </c>
      <c r="L388" s="66" t="s">
        <v>470</v>
      </c>
      <c r="M388" s="66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>
      <c r="A389" s="226"/>
      <c r="B389" s="13"/>
      <c r="C389" s="13"/>
      <c r="D389" s="13"/>
      <c r="E389" s="64"/>
      <c r="F389" s="66" t="s">
        <v>470</v>
      </c>
      <c r="G389" s="13"/>
      <c r="H389" s="66" t="s">
        <v>470</v>
      </c>
      <c r="I389" s="66" t="s">
        <v>470</v>
      </c>
      <c r="J389" s="66" t="s">
        <v>470</v>
      </c>
      <c r="K389" s="66" t="s">
        <v>470</v>
      </c>
      <c r="L389" s="66" t="s">
        <v>470</v>
      </c>
      <c r="M389" s="66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>
      <c r="A390" s="226"/>
      <c r="B390" s="13"/>
      <c r="C390" s="13"/>
      <c r="D390" s="13"/>
      <c r="E390" s="64"/>
      <c r="F390" s="66" t="s">
        <v>470</v>
      </c>
      <c r="G390" s="13"/>
      <c r="H390" s="66" t="s">
        <v>470</v>
      </c>
      <c r="I390" s="66" t="s">
        <v>470</v>
      </c>
      <c r="J390" s="66" t="s">
        <v>470</v>
      </c>
      <c r="K390" s="66" t="s">
        <v>470</v>
      </c>
      <c r="L390" s="66" t="s">
        <v>470</v>
      </c>
      <c r="M390" s="66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>
      <c r="A391" s="226"/>
      <c r="B391" s="13"/>
      <c r="C391" s="13"/>
      <c r="D391" s="13"/>
      <c r="E391" s="64"/>
      <c r="F391" s="66" t="s">
        <v>470</v>
      </c>
      <c r="G391" s="13"/>
      <c r="H391" s="66" t="s">
        <v>470</v>
      </c>
      <c r="I391" s="66" t="s">
        <v>470</v>
      </c>
      <c r="J391" s="66" t="s">
        <v>470</v>
      </c>
      <c r="K391" s="66" t="s">
        <v>470</v>
      </c>
      <c r="L391" s="66" t="s">
        <v>470</v>
      </c>
      <c r="M391" s="66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>
      <c r="A392" s="226"/>
      <c r="B392" s="13"/>
      <c r="C392" s="13"/>
      <c r="D392" s="13"/>
      <c r="E392" s="64"/>
      <c r="F392" s="66" t="s">
        <v>470</v>
      </c>
      <c r="G392" s="13"/>
      <c r="H392" s="66" t="s">
        <v>470</v>
      </c>
      <c r="I392" s="66" t="s">
        <v>470</v>
      </c>
      <c r="J392" s="66" t="s">
        <v>470</v>
      </c>
      <c r="K392" s="66" t="s">
        <v>470</v>
      </c>
      <c r="L392" s="66" t="s">
        <v>470</v>
      </c>
      <c r="M392" s="66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>
      <c r="A393" s="226"/>
      <c r="B393" s="13"/>
      <c r="C393" s="13"/>
      <c r="D393" s="13"/>
      <c r="E393" s="64"/>
      <c r="F393" s="66" t="s">
        <v>470</v>
      </c>
      <c r="G393" s="13"/>
      <c r="H393" s="66" t="s">
        <v>470</v>
      </c>
      <c r="I393" s="66" t="s">
        <v>470</v>
      </c>
      <c r="J393" s="66" t="s">
        <v>470</v>
      </c>
      <c r="K393" s="66" t="s">
        <v>470</v>
      </c>
      <c r="L393" s="66" t="s">
        <v>470</v>
      </c>
      <c r="M393" s="66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>
      <c r="A394" s="226"/>
      <c r="B394" s="13"/>
      <c r="C394" s="13"/>
      <c r="D394" s="13"/>
      <c r="E394" s="64"/>
      <c r="F394" s="66" t="s">
        <v>470</v>
      </c>
      <c r="G394" s="13"/>
      <c r="H394" s="66" t="s">
        <v>470</v>
      </c>
      <c r="I394" s="66" t="s">
        <v>470</v>
      </c>
      <c r="J394" s="66" t="s">
        <v>470</v>
      </c>
      <c r="K394" s="66" t="s">
        <v>470</v>
      </c>
      <c r="L394" s="66" t="s">
        <v>470</v>
      </c>
      <c r="M394" s="66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>
      <c r="A395" s="226"/>
      <c r="B395" s="13"/>
      <c r="C395" s="13"/>
      <c r="D395" s="13"/>
      <c r="E395" s="64"/>
      <c r="F395" s="66" t="s">
        <v>470</v>
      </c>
      <c r="G395" s="13"/>
      <c r="H395" s="66" t="s">
        <v>470</v>
      </c>
      <c r="I395" s="66" t="s">
        <v>470</v>
      </c>
      <c r="J395" s="66" t="s">
        <v>470</v>
      </c>
      <c r="K395" s="66" t="s">
        <v>470</v>
      </c>
      <c r="L395" s="66" t="s">
        <v>470</v>
      </c>
      <c r="M395" s="66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>
      <c r="A396" s="226"/>
      <c r="B396" s="13"/>
      <c r="C396" s="13"/>
      <c r="D396" s="13"/>
      <c r="E396" s="64"/>
      <c r="F396" s="66" t="s">
        <v>470</v>
      </c>
      <c r="G396" s="13"/>
      <c r="H396" s="66" t="s">
        <v>470</v>
      </c>
      <c r="I396" s="66" t="s">
        <v>470</v>
      </c>
      <c r="J396" s="66" t="s">
        <v>470</v>
      </c>
      <c r="K396" s="66" t="s">
        <v>470</v>
      </c>
      <c r="L396" s="66" t="s">
        <v>470</v>
      </c>
      <c r="M396" s="66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>
      <c r="A397" s="226"/>
      <c r="B397" s="13"/>
      <c r="C397" s="13"/>
      <c r="D397" s="13"/>
      <c r="E397" s="64"/>
      <c r="F397" s="66" t="s">
        <v>470</v>
      </c>
      <c r="G397" s="13"/>
      <c r="H397" s="66" t="s">
        <v>470</v>
      </c>
      <c r="I397" s="66" t="s">
        <v>470</v>
      </c>
      <c r="J397" s="66" t="s">
        <v>470</v>
      </c>
      <c r="K397" s="66" t="s">
        <v>470</v>
      </c>
      <c r="L397" s="66" t="s">
        <v>470</v>
      </c>
      <c r="M397" s="66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>
      <c r="A398" s="226"/>
      <c r="B398" s="13"/>
      <c r="C398" s="13"/>
      <c r="D398" s="13"/>
      <c r="E398" s="64"/>
      <c r="F398" s="66" t="s">
        <v>470</v>
      </c>
      <c r="G398" s="13"/>
      <c r="H398" s="66" t="s">
        <v>470</v>
      </c>
      <c r="I398" s="66" t="s">
        <v>470</v>
      </c>
      <c r="J398" s="66" t="s">
        <v>470</v>
      </c>
      <c r="K398" s="66" t="s">
        <v>470</v>
      </c>
      <c r="L398" s="66" t="s">
        <v>470</v>
      </c>
      <c r="M398" s="66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>
      <c r="A399" s="226"/>
      <c r="B399" s="13"/>
      <c r="C399" s="13"/>
      <c r="D399" s="13"/>
      <c r="E399" s="64"/>
      <c r="F399" s="66" t="s">
        <v>470</v>
      </c>
      <c r="G399" s="13"/>
      <c r="H399" s="66" t="s">
        <v>470</v>
      </c>
      <c r="I399" s="66" t="s">
        <v>470</v>
      </c>
      <c r="J399" s="66" t="s">
        <v>470</v>
      </c>
      <c r="K399" s="66" t="s">
        <v>470</v>
      </c>
      <c r="L399" s="66" t="s">
        <v>470</v>
      </c>
      <c r="M399" s="66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>
      <c r="A400" s="226"/>
      <c r="B400" s="13"/>
      <c r="C400" s="13"/>
      <c r="D400" s="13"/>
      <c r="E400" s="64"/>
      <c r="F400" s="66" t="s">
        <v>470</v>
      </c>
      <c r="G400" s="13"/>
      <c r="H400" s="66" t="s">
        <v>470</v>
      </c>
      <c r="I400" s="66" t="s">
        <v>470</v>
      </c>
      <c r="J400" s="66" t="s">
        <v>470</v>
      </c>
      <c r="K400" s="66" t="s">
        <v>470</v>
      </c>
      <c r="L400" s="66" t="s">
        <v>470</v>
      </c>
      <c r="M400" s="66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>
      <c r="A401" s="226"/>
      <c r="B401" s="13"/>
      <c r="C401" s="13"/>
      <c r="D401" s="13"/>
      <c r="E401" s="64"/>
      <c r="F401" s="66" t="s">
        <v>470</v>
      </c>
      <c r="G401" s="13"/>
      <c r="H401" s="66" t="s">
        <v>470</v>
      </c>
      <c r="I401" s="66" t="s">
        <v>470</v>
      </c>
      <c r="J401" s="66" t="s">
        <v>470</v>
      </c>
      <c r="K401" s="66" t="s">
        <v>470</v>
      </c>
      <c r="L401" s="66" t="s">
        <v>470</v>
      </c>
      <c r="M401" s="66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>
      <c r="A402" s="226"/>
      <c r="B402" s="13"/>
      <c r="C402" s="13"/>
      <c r="D402" s="13"/>
      <c r="E402" s="64"/>
      <c r="F402" s="66" t="s">
        <v>470</v>
      </c>
      <c r="G402" s="13"/>
      <c r="H402" s="66" t="s">
        <v>470</v>
      </c>
      <c r="I402" s="66" t="s">
        <v>470</v>
      </c>
      <c r="J402" s="66" t="s">
        <v>470</v>
      </c>
      <c r="K402" s="66" t="s">
        <v>470</v>
      </c>
      <c r="L402" s="66" t="s">
        <v>470</v>
      </c>
      <c r="M402" s="66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>
      <c r="A403" s="226"/>
      <c r="B403" s="13"/>
      <c r="C403" s="13"/>
      <c r="D403" s="13"/>
      <c r="E403" s="64"/>
      <c r="F403" s="66" t="s">
        <v>470</v>
      </c>
      <c r="G403" s="13"/>
      <c r="H403" s="66" t="s">
        <v>470</v>
      </c>
      <c r="I403" s="66" t="s">
        <v>470</v>
      </c>
      <c r="J403" s="66" t="s">
        <v>470</v>
      </c>
      <c r="K403" s="66" t="s">
        <v>470</v>
      </c>
      <c r="L403" s="66" t="s">
        <v>470</v>
      </c>
      <c r="M403" s="66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>
      <c r="A404" s="226"/>
      <c r="B404" s="13"/>
      <c r="C404" s="13"/>
      <c r="D404" s="13"/>
      <c r="E404" s="64"/>
      <c r="F404" s="66" t="s">
        <v>470</v>
      </c>
      <c r="G404" s="13"/>
      <c r="H404" s="66" t="s">
        <v>470</v>
      </c>
      <c r="I404" s="66" t="s">
        <v>470</v>
      </c>
      <c r="J404" s="66" t="s">
        <v>470</v>
      </c>
      <c r="K404" s="66" t="s">
        <v>470</v>
      </c>
      <c r="L404" s="66" t="s">
        <v>470</v>
      </c>
      <c r="M404" s="66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>
      <c r="A405" s="226"/>
      <c r="B405" s="13"/>
      <c r="C405" s="13"/>
      <c r="D405" s="13"/>
      <c r="E405" s="64"/>
      <c r="F405" s="66" t="s">
        <v>470</v>
      </c>
      <c r="G405" s="13"/>
      <c r="H405" s="66" t="s">
        <v>470</v>
      </c>
      <c r="I405" s="66" t="s">
        <v>470</v>
      </c>
      <c r="J405" s="66" t="s">
        <v>470</v>
      </c>
      <c r="K405" s="66" t="s">
        <v>470</v>
      </c>
      <c r="L405" s="66" t="s">
        <v>470</v>
      </c>
      <c r="M405" s="66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>
      <c r="A406" s="226"/>
      <c r="B406" s="13"/>
      <c r="C406" s="13"/>
      <c r="D406" s="13"/>
      <c r="E406" s="64"/>
      <c r="F406" s="66" t="s">
        <v>470</v>
      </c>
      <c r="G406" s="13"/>
      <c r="H406" s="66" t="s">
        <v>470</v>
      </c>
      <c r="I406" s="66" t="s">
        <v>470</v>
      </c>
      <c r="J406" s="66" t="s">
        <v>470</v>
      </c>
      <c r="K406" s="66" t="s">
        <v>470</v>
      </c>
      <c r="L406" s="66" t="s">
        <v>470</v>
      </c>
      <c r="M406" s="66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>
      <c r="A407" s="226"/>
      <c r="B407" s="13"/>
      <c r="C407" s="13"/>
      <c r="D407" s="13"/>
      <c r="E407" s="64"/>
      <c r="F407" s="66" t="s">
        <v>470</v>
      </c>
      <c r="G407" s="13"/>
      <c r="H407" s="66" t="s">
        <v>470</v>
      </c>
      <c r="I407" s="66" t="s">
        <v>470</v>
      </c>
      <c r="J407" s="66" t="s">
        <v>470</v>
      </c>
      <c r="K407" s="66" t="s">
        <v>470</v>
      </c>
      <c r="L407" s="66" t="s">
        <v>470</v>
      </c>
      <c r="M407" s="66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>
      <c r="A408" s="226"/>
      <c r="B408" s="13"/>
      <c r="C408" s="13"/>
      <c r="D408" s="13"/>
      <c r="E408" s="64"/>
      <c r="F408" s="66" t="s">
        <v>470</v>
      </c>
      <c r="G408" s="13"/>
      <c r="H408" s="66" t="s">
        <v>470</v>
      </c>
      <c r="I408" s="66" t="s">
        <v>470</v>
      </c>
      <c r="J408" s="66" t="s">
        <v>470</v>
      </c>
      <c r="K408" s="66" t="s">
        <v>470</v>
      </c>
      <c r="L408" s="66" t="s">
        <v>470</v>
      </c>
      <c r="M408" s="66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>
      <c r="A409" s="226"/>
      <c r="B409" s="13"/>
      <c r="C409" s="13"/>
      <c r="D409" s="13"/>
      <c r="E409" s="64"/>
      <c r="F409" s="66" t="s">
        <v>470</v>
      </c>
      <c r="G409" s="13"/>
      <c r="H409" s="66" t="s">
        <v>470</v>
      </c>
      <c r="I409" s="66" t="s">
        <v>470</v>
      </c>
      <c r="J409" s="66" t="s">
        <v>470</v>
      </c>
      <c r="K409" s="66" t="s">
        <v>470</v>
      </c>
      <c r="L409" s="66" t="s">
        <v>470</v>
      </c>
      <c r="M409" s="66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>
      <c r="A410" s="226"/>
      <c r="B410" s="13"/>
      <c r="C410" s="13"/>
      <c r="D410" s="13"/>
      <c r="E410" s="64"/>
      <c r="F410" s="66" t="s">
        <v>470</v>
      </c>
      <c r="G410" s="13"/>
      <c r="H410" s="66" t="s">
        <v>470</v>
      </c>
      <c r="I410" s="66" t="s">
        <v>470</v>
      </c>
      <c r="J410" s="66" t="s">
        <v>470</v>
      </c>
      <c r="K410" s="66" t="s">
        <v>470</v>
      </c>
      <c r="L410" s="66" t="s">
        <v>470</v>
      </c>
      <c r="M410" s="66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>
      <c r="A411" s="226"/>
      <c r="B411" s="13"/>
      <c r="C411" s="13"/>
      <c r="D411" s="13"/>
      <c r="E411" s="64"/>
      <c r="F411" s="66" t="s">
        <v>470</v>
      </c>
      <c r="G411" s="13"/>
      <c r="H411" s="66" t="s">
        <v>470</v>
      </c>
      <c r="I411" s="66" t="s">
        <v>470</v>
      </c>
      <c r="J411" s="66" t="s">
        <v>470</v>
      </c>
      <c r="K411" s="66" t="s">
        <v>470</v>
      </c>
      <c r="L411" s="66" t="s">
        <v>470</v>
      </c>
      <c r="M411" s="66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>
      <c r="A412" s="226"/>
      <c r="B412" s="13"/>
      <c r="C412" s="13"/>
      <c r="D412" s="13"/>
      <c r="E412" s="64"/>
      <c r="F412" s="66" t="s">
        <v>470</v>
      </c>
      <c r="G412" s="13"/>
      <c r="H412" s="66" t="s">
        <v>470</v>
      </c>
      <c r="I412" s="66" t="s">
        <v>470</v>
      </c>
      <c r="J412" s="66" t="s">
        <v>470</v>
      </c>
      <c r="K412" s="66" t="s">
        <v>470</v>
      </c>
      <c r="L412" s="66" t="s">
        <v>470</v>
      </c>
      <c r="M412" s="66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>
      <c r="A413" s="226"/>
      <c r="B413" s="13"/>
      <c r="C413" s="13"/>
      <c r="D413" s="13"/>
      <c r="E413" s="64"/>
      <c r="F413" s="66" t="s">
        <v>470</v>
      </c>
      <c r="G413" s="13"/>
      <c r="H413" s="66" t="s">
        <v>470</v>
      </c>
      <c r="I413" s="66" t="s">
        <v>470</v>
      </c>
      <c r="J413" s="66" t="s">
        <v>470</v>
      </c>
      <c r="K413" s="66" t="s">
        <v>470</v>
      </c>
      <c r="L413" s="66" t="s">
        <v>470</v>
      </c>
      <c r="M413" s="66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>
      <c r="A414" s="226"/>
      <c r="B414" s="13"/>
      <c r="C414" s="13"/>
      <c r="D414" s="13"/>
      <c r="E414" s="64"/>
      <c r="F414" s="66" t="s">
        <v>470</v>
      </c>
      <c r="G414" s="13"/>
      <c r="H414" s="66" t="s">
        <v>470</v>
      </c>
      <c r="I414" s="66" t="s">
        <v>470</v>
      </c>
      <c r="J414" s="66" t="s">
        <v>470</v>
      </c>
      <c r="K414" s="66" t="s">
        <v>470</v>
      </c>
      <c r="L414" s="66" t="s">
        <v>470</v>
      </c>
      <c r="M414" s="66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>
      <c r="A415" s="226"/>
      <c r="B415" s="13"/>
      <c r="C415" s="13"/>
      <c r="D415" s="13"/>
      <c r="E415" s="64"/>
      <c r="F415" s="66" t="s">
        <v>470</v>
      </c>
      <c r="G415" s="13"/>
      <c r="H415" s="66" t="s">
        <v>470</v>
      </c>
      <c r="I415" s="66" t="s">
        <v>470</v>
      </c>
      <c r="J415" s="66" t="s">
        <v>470</v>
      </c>
      <c r="K415" s="66" t="s">
        <v>470</v>
      </c>
      <c r="L415" s="66" t="s">
        <v>470</v>
      </c>
      <c r="M415" s="66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>
      <c r="A416" s="226"/>
      <c r="B416" s="13"/>
      <c r="C416" s="13"/>
      <c r="D416" s="13"/>
      <c r="E416" s="64"/>
      <c r="F416" s="66" t="s">
        <v>470</v>
      </c>
      <c r="G416" s="13"/>
      <c r="H416" s="66" t="s">
        <v>470</v>
      </c>
      <c r="I416" s="66" t="s">
        <v>470</v>
      </c>
      <c r="J416" s="66" t="s">
        <v>470</v>
      </c>
      <c r="K416" s="66" t="s">
        <v>470</v>
      </c>
      <c r="L416" s="66" t="s">
        <v>470</v>
      </c>
      <c r="M416" s="66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>
      <c r="A417" s="226"/>
      <c r="B417" s="13"/>
      <c r="C417" s="13"/>
      <c r="D417" s="13"/>
      <c r="E417" s="64"/>
      <c r="F417" s="66" t="s">
        <v>470</v>
      </c>
      <c r="G417" s="13"/>
      <c r="H417" s="66" t="s">
        <v>470</v>
      </c>
      <c r="I417" s="66" t="s">
        <v>470</v>
      </c>
      <c r="J417" s="66" t="s">
        <v>470</v>
      </c>
      <c r="K417" s="66" t="s">
        <v>470</v>
      </c>
      <c r="L417" s="66" t="s">
        <v>470</v>
      </c>
      <c r="M417" s="66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>
      <c r="A418" s="226"/>
      <c r="B418" s="13"/>
      <c r="C418" s="13"/>
      <c r="D418" s="13"/>
      <c r="E418" s="64"/>
      <c r="F418" s="66" t="s">
        <v>470</v>
      </c>
      <c r="G418" s="13"/>
      <c r="H418" s="66" t="s">
        <v>470</v>
      </c>
      <c r="I418" s="66" t="s">
        <v>470</v>
      </c>
      <c r="J418" s="66" t="s">
        <v>470</v>
      </c>
      <c r="K418" s="66" t="s">
        <v>470</v>
      </c>
      <c r="L418" s="66" t="s">
        <v>470</v>
      </c>
      <c r="M418" s="66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>
      <c r="A419" s="226"/>
      <c r="B419" s="13"/>
      <c r="C419" s="13"/>
      <c r="D419" s="13"/>
      <c r="E419" s="64"/>
      <c r="F419" s="66" t="s">
        <v>470</v>
      </c>
      <c r="G419" s="13"/>
      <c r="H419" s="66" t="s">
        <v>470</v>
      </c>
      <c r="I419" s="66" t="s">
        <v>470</v>
      </c>
      <c r="J419" s="66" t="s">
        <v>470</v>
      </c>
      <c r="K419" s="66" t="s">
        <v>470</v>
      </c>
      <c r="L419" s="66" t="s">
        <v>470</v>
      </c>
      <c r="M419" s="66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>
      <c r="A420" s="226"/>
      <c r="B420" s="13"/>
      <c r="C420" s="13"/>
      <c r="D420" s="13"/>
      <c r="E420" s="64"/>
      <c r="F420" s="66" t="s">
        <v>470</v>
      </c>
      <c r="G420" s="13"/>
      <c r="H420" s="66" t="s">
        <v>470</v>
      </c>
      <c r="I420" s="66" t="s">
        <v>470</v>
      </c>
      <c r="J420" s="66" t="s">
        <v>470</v>
      </c>
      <c r="K420" s="66" t="s">
        <v>470</v>
      </c>
      <c r="L420" s="66" t="s">
        <v>470</v>
      </c>
      <c r="M420" s="66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>
      <c r="A421" s="226"/>
      <c r="B421" s="13"/>
      <c r="C421" s="13"/>
      <c r="D421" s="13"/>
      <c r="E421" s="64"/>
      <c r="F421" s="66" t="s">
        <v>470</v>
      </c>
      <c r="G421" s="13"/>
      <c r="H421" s="66" t="s">
        <v>470</v>
      </c>
      <c r="I421" s="66" t="s">
        <v>470</v>
      </c>
      <c r="J421" s="66" t="s">
        <v>470</v>
      </c>
      <c r="K421" s="66" t="s">
        <v>470</v>
      </c>
      <c r="L421" s="66" t="s">
        <v>470</v>
      </c>
      <c r="M421" s="66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>
      <c r="A422" s="226"/>
      <c r="B422" s="13"/>
      <c r="C422" s="13"/>
      <c r="D422" s="13"/>
      <c r="E422" s="64"/>
      <c r="F422" s="66" t="s">
        <v>470</v>
      </c>
      <c r="G422" s="13"/>
      <c r="H422" s="66" t="s">
        <v>470</v>
      </c>
      <c r="I422" s="66" t="s">
        <v>470</v>
      </c>
      <c r="J422" s="66" t="s">
        <v>470</v>
      </c>
      <c r="K422" s="66" t="s">
        <v>470</v>
      </c>
      <c r="L422" s="66" t="s">
        <v>470</v>
      </c>
      <c r="M422" s="66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>
      <c r="A423" s="226"/>
      <c r="B423" s="13"/>
      <c r="C423" s="13"/>
      <c r="D423" s="13"/>
      <c r="E423" s="64"/>
      <c r="F423" s="66" t="s">
        <v>470</v>
      </c>
      <c r="G423" s="13"/>
      <c r="H423" s="66" t="s">
        <v>470</v>
      </c>
      <c r="I423" s="66" t="s">
        <v>470</v>
      </c>
      <c r="J423" s="66" t="s">
        <v>470</v>
      </c>
      <c r="K423" s="66" t="s">
        <v>470</v>
      </c>
      <c r="L423" s="66" t="s">
        <v>470</v>
      </c>
      <c r="M423" s="66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>
      <c r="A424" s="226"/>
      <c r="B424" s="13"/>
      <c r="C424" s="13"/>
      <c r="D424" s="13"/>
      <c r="E424" s="64"/>
      <c r="F424" s="66" t="s">
        <v>470</v>
      </c>
      <c r="G424" s="13"/>
      <c r="H424" s="66" t="s">
        <v>470</v>
      </c>
      <c r="I424" s="66" t="s">
        <v>470</v>
      </c>
      <c r="J424" s="66" t="s">
        <v>470</v>
      </c>
      <c r="K424" s="66" t="s">
        <v>470</v>
      </c>
      <c r="L424" s="66" t="s">
        <v>470</v>
      </c>
      <c r="M424" s="66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>
      <c r="A425" s="226"/>
      <c r="B425" s="13"/>
      <c r="C425" s="13"/>
      <c r="D425" s="13"/>
      <c r="E425" s="64"/>
      <c r="F425" s="66" t="s">
        <v>470</v>
      </c>
      <c r="G425" s="13"/>
      <c r="H425" s="66" t="s">
        <v>470</v>
      </c>
      <c r="I425" s="66" t="s">
        <v>470</v>
      </c>
      <c r="J425" s="66" t="s">
        <v>470</v>
      </c>
      <c r="K425" s="66" t="s">
        <v>470</v>
      </c>
      <c r="L425" s="66" t="s">
        <v>470</v>
      </c>
      <c r="M425" s="66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>
      <c r="A426" s="226"/>
      <c r="B426" s="13"/>
      <c r="C426" s="13"/>
      <c r="D426" s="13"/>
      <c r="E426" s="64"/>
      <c r="F426" s="66" t="s">
        <v>470</v>
      </c>
      <c r="G426" s="13"/>
      <c r="H426" s="66" t="s">
        <v>470</v>
      </c>
      <c r="I426" s="66" t="s">
        <v>470</v>
      </c>
      <c r="J426" s="66" t="s">
        <v>470</v>
      </c>
      <c r="K426" s="66" t="s">
        <v>470</v>
      </c>
      <c r="L426" s="66" t="s">
        <v>470</v>
      </c>
      <c r="M426" s="66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>
      <c r="A427" s="226"/>
      <c r="B427" s="13"/>
      <c r="C427" s="13"/>
      <c r="D427" s="13"/>
      <c r="E427" s="64"/>
      <c r="F427" s="66" t="s">
        <v>470</v>
      </c>
      <c r="G427" s="13"/>
      <c r="H427" s="66" t="s">
        <v>470</v>
      </c>
      <c r="I427" s="66" t="s">
        <v>470</v>
      </c>
      <c r="J427" s="66" t="s">
        <v>470</v>
      </c>
      <c r="K427" s="66" t="s">
        <v>470</v>
      </c>
      <c r="L427" s="66" t="s">
        <v>470</v>
      </c>
      <c r="M427" s="66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>
      <c r="A428" s="226"/>
      <c r="B428" s="13"/>
      <c r="C428" s="13"/>
      <c r="D428" s="13"/>
      <c r="E428" s="64"/>
      <c r="F428" s="66" t="s">
        <v>470</v>
      </c>
      <c r="G428" s="13"/>
      <c r="H428" s="66" t="s">
        <v>470</v>
      </c>
      <c r="I428" s="66" t="s">
        <v>470</v>
      </c>
      <c r="J428" s="66" t="s">
        <v>470</v>
      </c>
      <c r="K428" s="66" t="s">
        <v>470</v>
      </c>
      <c r="L428" s="66" t="s">
        <v>470</v>
      </c>
      <c r="M428" s="66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>
      <c r="A429" s="226"/>
      <c r="B429" s="13"/>
      <c r="C429" s="13"/>
      <c r="D429" s="13"/>
      <c r="E429" s="64"/>
      <c r="F429" s="66" t="s">
        <v>470</v>
      </c>
      <c r="G429" s="13"/>
      <c r="H429" s="66" t="s">
        <v>470</v>
      </c>
      <c r="I429" s="66" t="s">
        <v>470</v>
      </c>
      <c r="J429" s="66" t="s">
        <v>470</v>
      </c>
      <c r="K429" s="66" t="s">
        <v>470</v>
      </c>
      <c r="L429" s="66" t="s">
        <v>470</v>
      </c>
      <c r="M429" s="66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>
      <c r="A430" s="226"/>
      <c r="B430" s="13"/>
      <c r="C430" s="13"/>
      <c r="D430" s="13"/>
      <c r="E430" s="64"/>
      <c r="F430" s="66" t="s">
        <v>470</v>
      </c>
      <c r="G430" s="13"/>
      <c r="H430" s="66" t="s">
        <v>470</v>
      </c>
      <c r="I430" s="66" t="s">
        <v>470</v>
      </c>
      <c r="J430" s="66" t="s">
        <v>470</v>
      </c>
      <c r="K430" s="66" t="s">
        <v>470</v>
      </c>
      <c r="L430" s="66" t="s">
        <v>470</v>
      </c>
      <c r="M430" s="66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>
      <c r="A431" s="226"/>
      <c r="B431" s="13"/>
      <c r="C431" s="13"/>
      <c r="D431" s="13"/>
      <c r="E431" s="64"/>
      <c r="F431" s="66" t="s">
        <v>470</v>
      </c>
      <c r="G431" s="13"/>
      <c r="H431" s="66" t="s">
        <v>470</v>
      </c>
      <c r="I431" s="66" t="s">
        <v>470</v>
      </c>
      <c r="J431" s="66" t="s">
        <v>470</v>
      </c>
      <c r="K431" s="66" t="s">
        <v>470</v>
      </c>
      <c r="L431" s="66" t="s">
        <v>470</v>
      </c>
      <c r="M431" s="66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>
      <c r="A432" s="226"/>
      <c r="B432" s="13"/>
      <c r="C432" s="13"/>
      <c r="D432" s="13"/>
      <c r="E432" s="64"/>
      <c r="F432" s="66" t="s">
        <v>470</v>
      </c>
      <c r="G432" s="13"/>
      <c r="H432" s="66" t="s">
        <v>470</v>
      </c>
      <c r="I432" s="66" t="s">
        <v>470</v>
      </c>
      <c r="J432" s="66" t="s">
        <v>470</v>
      </c>
      <c r="K432" s="66" t="s">
        <v>470</v>
      </c>
      <c r="L432" s="66" t="s">
        <v>470</v>
      </c>
      <c r="M432" s="66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>
      <c r="A433" s="226"/>
      <c r="B433" s="13"/>
      <c r="C433" s="13"/>
      <c r="D433" s="13"/>
      <c r="E433" s="64"/>
      <c r="F433" s="66" t="s">
        <v>470</v>
      </c>
      <c r="G433" s="13"/>
      <c r="H433" s="66" t="s">
        <v>470</v>
      </c>
      <c r="I433" s="66" t="s">
        <v>470</v>
      </c>
      <c r="J433" s="66" t="s">
        <v>470</v>
      </c>
      <c r="K433" s="66" t="s">
        <v>470</v>
      </c>
      <c r="L433" s="66" t="s">
        <v>470</v>
      </c>
      <c r="M433" s="66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>
      <c r="A434" s="226"/>
      <c r="B434" s="13"/>
      <c r="C434" s="13"/>
      <c r="D434" s="13"/>
      <c r="E434" s="64"/>
      <c r="F434" s="66" t="s">
        <v>470</v>
      </c>
      <c r="G434" s="13"/>
      <c r="H434" s="66" t="s">
        <v>470</v>
      </c>
      <c r="I434" s="66" t="s">
        <v>470</v>
      </c>
      <c r="J434" s="66" t="s">
        <v>470</v>
      </c>
      <c r="K434" s="66" t="s">
        <v>470</v>
      </c>
      <c r="L434" s="66" t="s">
        <v>470</v>
      </c>
      <c r="M434" s="66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>
      <c r="A435" s="226"/>
      <c r="B435" s="13"/>
      <c r="C435" s="13"/>
      <c r="D435" s="13"/>
      <c r="E435" s="64"/>
      <c r="F435" s="66" t="s">
        <v>470</v>
      </c>
      <c r="G435" s="13"/>
      <c r="H435" s="66" t="s">
        <v>470</v>
      </c>
      <c r="I435" s="66" t="s">
        <v>470</v>
      </c>
      <c r="J435" s="66" t="s">
        <v>470</v>
      </c>
      <c r="K435" s="66" t="s">
        <v>470</v>
      </c>
      <c r="L435" s="66" t="s">
        <v>470</v>
      </c>
      <c r="M435" s="66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>
      <c r="A436" s="226"/>
      <c r="B436" s="13"/>
      <c r="C436" s="13"/>
      <c r="D436" s="13"/>
      <c r="E436" s="64"/>
      <c r="F436" s="66" t="s">
        <v>470</v>
      </c>
      <c r="G436" s="13"/>
      <c r="H436" s="66" t="s">
        <v>470</v>
      </c>
      <c r="I436" s="66" t="s">
        <v>470</v>
      </c>
      <c r="J436" s="66" t="s">
        <v>470</v>
      </c>
      <c r="K436" s="66" t="s">
        <v>470</v>
      </c>
      <c r="L436" s="66" t="s">
        <v>470</v>
      </c>
      <c r="M436" s="66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>
      <c r="A437" s="226"/>
      <c r="B437" s="13"/>
      <c r="C437" s="13"/>
      <c r="D437" s="13"/>
      <c r="E437" s="64"/>
      <c r="F437" s="66" t="s">
        <v>470</v>
      </c>
      <c r="G437" s="13"/>
      <c r="H437" s="66" t="s">
        <v>470</v>
      </c>
      <c r="I437" s="66" t="s">
        <v>470</v>
      </c>
      <c r="J437" s="66" t="s">
        <v>470</v>
      </c>
      <c r="K437" s="66" t="s">
        <v>470</v>
      </c>
      <c r="L437" s="66" t="s">
        <v>470</v>
      </c>
      <c r="M437" s="66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>
      <c r="A438" s="226"/>
      <c r="B438" s="13"/>
      <c r="C438" s="13"/>
      <c r="D438" s="13"/>
      <c r="E438" s="64"/>
      <c r="F438" s="66" t="s">
        <v>470</v>
      </c>
      <c r="G438" s="13"/>
      <c r="H438" s="66" t="s">
        <v>470</v>
      </c>
      <c r="I438" s="66" t="s">
        <v>470</v>
      </c>
      <c r="J438" s="66" t="s">
        <v>470</v>
      </c>
      <c r="K438" s="66" t="s">
        <v>470</v>
      </c>
      <c r="L438" s="66" t="s">
        <v>470</v>
      </c>
      <c r="M438" s="66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>
      <c r="A439" s="226"/>
      <c r="B439" s="13"/>
      <c r="C439" s="13"/>
      <c r="D439" s="13"/>
      <c r="E439" s="64"/>
      <c r="F439" s="66" t="s">
        <v>470</v>
      </c>
      <c r="G439" s="13"/>
      <c r="H439" s="66" t="s">
        <v>470</v>
      </c>
      <c r="I439" s="66" t="s">
        <v>470</v>
      </c>
      <c r="J439" s="66" t="s">
        <v>470</v>
      </c>
      <c r="K439" s="66" t="s">
        <v>470</v>
      </c>
      <c r="L439" s="66" t="s">
        <v>470</v>
      </c>
      <c r="M439" s="66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>
      <c r="A440" s="226"/>
      <c r="B440" s="13"/>
      <c r="C440" s="13"/>
      <c r="D440" s="13"/>
      <c r="E440" s="64"/>
      <c r="F440" s="66" t="s">
        <v>470</v>
      </c>
      <c r="G440" s="13"/>
      <c r="H440" s="66" t="s">
        <v>470</v>
      </c>
      <c r="I440" s="66" t="s">
        <v>470</v>
      </c>
      <c r="J440" s="66" t="s">
        <v>470</v>
      </c>
      <c r="K440" s="66" t="s">
        <v>470</v>
      </c>
      <c r="L440" s="66" t="s">
        <v>470</v>
      </c>
      <c r="M440" s="66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>
      <c r="A441" s="226"/>
      <c r="B441" s="13"/>
      <c r="C441" s="13"/>
      <c r="D441" s="13"/>
      <c r="E441" s="64"/>
      <c r="F441" s="66" t="s">
        <v>470</v>
      </c>
      <c r="G441" s="13"/>
      <c r="H441" s="66" t="s">
        <v>470</v>
      </c>
      <c r="I441" s="66" t="s">
        <v>470</v>
      </c>
      <c r="J441" s="66" t="s">
        <v>470</v>
      </c>
      <c r="K441" s="66" t="s">
        <v>470</v>
      </c>
      <c r="L441" s="66" t="s">
        <v>470</v>
      </c>
      <c r="M441" s="66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>
      <c r="A442" s="226"/>
      <c r="B442" s="13"/>
      <c r="C442" s="13"/>
      <c r="D442" s="13"/>
      <c r="E442" s="64"/>
      <c r="F442" s="66" t="s">
        <v>470</v>
      </c>
      <c r="G442" s="13"/>
      <c r="H442" s="66" t="s">
        <v>470</v>
      </c>
      <c r="I442" s="66" t="s">
        <v>470</v>
      </c>
      <c r="J442" s="66" t="s">
        <v>470</v>
      </c>
      <c r="K442" s="66" t="s">
        <v>470</v>
      </c>
      <c r="L442" s="66" t="s">
        <v>470</v>
      </c>
      <c r="M442" s="66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>
      <c r="A443" s="226"/>
      <c r="B443" s="13"/>
      <c r="C443" s="13"/>
      <c r="D443" s="13"/>
      <c r="E443" s="64"/>
      <c r="F443" s="66" t="s">
        <v>470</v>
      </c>
      <c r="G443" s="13"/>
      <c r="H443" s="66" t="s">
        <v>470</v>
      </c>
      <c r="I443" s="66" t="s">
        <v>470</v>
      </c>
      <c r="J443" s="66" t="s">
        <v>470</v>
      </c>
      <c r="K443" s="66" t="s">
        <v>470</v>
      </c>
      <c r="L443" s="66" t="s">
        <v>470</v>
      </c>
      <c r="M443" s="66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>
      <c r="A444" s="226"/>
      <c r="B444" s="13"/>
      <c r="C444" s="13"/>
      <c r="D444" s="13"/>
      <c r="E444" s="64"/>
      <c r="F444" s="66" t="s">
        <v>470</v>
      </c>
      <c r="G444" s="13"/>
      <c r="H444" s="66" t="s">
        <v>470</v>
      </c>
      <c r="I444" s="66" t="s">
        <v>470</v>
      </c>
      <c r="J444" s="66" t="s">
        <v>470</v>
      </c>
      <c r="K444" s="66" t="s">
        <v>470</v>
      </c>
      <c r="L444" s="66" t="s">
        <v>470</v>
      </c>
      <c r="M444" s="66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>
      <c r="A445" s="226"/>
      <c r="B445" s="13"/>
      <c r="C445" s="13"/>
      <c r="D445" s="13"/>
      <c r="E445" s="64"/>
      <c r="F445" s="66" t="s">
        <v>470</v>
      </c>
      <c r="G445" s="13"/>
      <c r="H445" s="66" t="s">
        <v>470</v>
      </c>
      <c r="I445" s="66" t="s">
        <v>470</v>
      </c>
      <c r="J445" s="66" t="s">
        <v>470</v>
      </c>
      <c r="K445" s="66" t="s">
        <v>470</v>
      </c>
      <c r="L445" s="66" t="s">
        <v>470</v>
      </c>
      <c r="M445" s="66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>
      <c r="A446" s="226"/>
      <c r="B446" s="13"/>
      <c r="C446" s="13"/>
      <c r="D446" s="13"/>
      <c r="E446" s="64"/>
      <c r="F446" s="66" t="s">
        <v>470</v>
      </c>
      <c r="G446" s="13"/>
      <c r="H446" s="66" t="s">
        <v>470</v>
      </c>
      <c r="I446" s="66" t="s">
        <v>470</v>
      </c>
      <c r="J446" s="66" t="s">
        <v>470</v>
      </c>
      <c r="K446" s="66" t="s">
        <v>470</v>
      </c>
      <c r="L446" s="66" t="s">
        <v>470</v>
      </c>
      <c r="M446" s="66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>
      <c r="A447" s="226"/>
      <c r="B447" s="13"/>
      <c r="C447" s="13"/>
      <c r="D447" s="13"/>
      <c r="E447" s="64"/>
      <c r="F447" s="66" t="s">
        <v>470</v>
      </c>
      <c r="G447" s="13"/>
      <c r="H447" s="66" t="s">
        <v>470</v>
      </c>
      <c r="I447" s="66" t="s">
        <v>470</v>
      </c>
      <c r="J447" s="66" t="s">
        <v>470</v>
      </c>
      <c r="K447" s="66" t="s">
        <v>470</v>
      </c>
      <c r="L447" s="66" t="s">
        <v>470</v>
      </c>
      <c r="M447" s="66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>
      <c r="A448" s="226"/>
      <c r="B448" s="13"/>
      <c r="C448" s="13"/>
      <c r="D448" s="13"/>
      <c r="E448" s="64"/>
      <c r="F448" s="66" t="s">
        <v>470</v>
      </c>
      <c r="G448" s="13"/>
      <c r="H448" s="66" t="s">
        <v>470</v>
      </c>
      <c r="I448" s="66" t="s">
        <v>470</v>
      </c>
      <c r="J448" s="66" t="s">
        <v>470</v>
      </c>
      <c r="K448" s="66" t="s">
        <v>470</v>
      </c>
      <c r="L448" s="66" t="s">
        <v>470</v>
      </c>
      <c r="M448" s="66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>
      <c r="A449" s="226"/>
      <c r="B449" s="13"/>
      <c r="C449" s="13"/>
      <c r="D449" s="13"/>
      <c r="E449" s="64"/>
      <c r="F449" s="66" t="s">
        <v>470</v>
      </c>
      <c r="G449" s="13"/>
      <c r="H449" s="66" t="s">
        <v>470</v>
      </c>
      <c r="I449" s="66" t="s">
        <v>470</v>
      </c>
      <c r="J449" s="66" t="s">
        <v>470</v>
      </c>
      <c r="K449" s="66" t="s">
        <v>470</v>
      </c>
      <c r="L449" s="66" t="s">
        <v>470</v>
      </c>
      <c r="M449" s="66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>
      <c r="A450" s="226"/>
      <c r="B450" s="13"/>
      <c r="C450" s="13"/>
      <c r="D450" s="13"/>
      <c r="E450" s="64"/>
      <c r="F450" s="66" t="s">
        <v>470</v>
      </c>
      <c r="G450" s="13"/>
      <c r="H450" s="66" t="s">
        <v>470</v>
      </c>
      <c r="I450" s="66" t="s">
        <v>470</v>
      </c>
      <c r="J450" s="66" t="s">
        <v>470</v>
      </c>
      <c r="K450" s="66" t="s">
        <v>470</v>
      </c>
      <c r="L450" s="66" t="s">
        <v>470</v>
      </c>
      <c r="M450" s="66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>
      <c r="A451" s="226"/>
      <c r="B451" s="13"/>
      <c r="C451" s="13"/>
      <c r="D451" s="13"/>
      <c r="E451" s="64"/>
      <c r="F451" s="66" t="s">
        <v>470</v>
      </c>
      <c r="G451" s="13"/>
      <c r="H451" s="66" t="s">
        <v>470</v>
      </c>
      <c r="I451" s="66" t="s">
        <v>470</v>
      </c>
      <c r="J451" s="66" t="s">
        <v>470</v>
      </c>
      <c r="K451" s="66" t="s">
        <v>470</v>
      </c>
      <c r="L451" s="66" t="s">
        <v>470</v>
      </c>
      <c r="M451" s="66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>
      <c r="A452" s="226"/>
      <c r="B452" s="13"/>
      <c r="C452" s="13"/>
      <c r="D452" s="13"/>
      <c r="E452" s="64"/>
      <c r="F452" s="66" t="s">
        <v>470</v>
      </c>
      <c r="G452" s="13"/>
      <c r="H452" s="66" t="s">
        <v>470</v>
      </c>
      <c r="I452" s="66" t="s">
        <v>470</v>
      </c>
      <c r="J452" s="66" t="s">
        <v>470</v>
      </c>
      <c r="K452" s="66" t="s">
        <v>470</v>
      </c>
      <c r="L452" s="66" t="s">
        <v>470</v>
      </c>
      <c r="M452" s="66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>
      <c r="A453" s="226"/>
      <c r="B453" s="13"/>
      <c r="C453" s="13"/>
      <c r="D453" s="13"/>
      <c r="E453" s="64"/>
      <c r="F453" s="66" t="s">
        <v>470</v>
      </c>
      <c r="G453" s="13"/>
      <c r="H453" s="66" t="s">
        <v>470</v>
      </c>
      <c r="I453" s="66" t="s">
        <v>470</v>
      </c>
      <c r="J453" s="66" t="s">
        <v>470</v>
      </c>
      <c r="K453" s="66" t="s">
        <v>470</v>
      </c>
      <c r="L453" s="66" t="s">
        <v>470</v>
      </c>
      <c r="M453" s="66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>
      <c r="A454" s="226"/>
      <c r="B454" s="13"/>
      <c r="C454" s="13"/>
      <c r="D454" s="13"/>
      <c r="E454" s="64"/>
      <c r="F454" s="66" t="s">
        <v>470</v>
      </c>
      <c r="G454" s="13"/>
      <c r="H454" s="66" t="s">
        <v>470</v>
      </c>
      <c r="I454" s="66" t="s">
        <v>470</v>
      </c>
      <c r="J454" s="66" t="s">
        <v>470</v>
      </c>
      <c r="K454" s="66" t="s">
        <v>470</v>
      </c>
      <c r="L454" s="66" t="s">
        <v>470</v>
      </c>
      <c r="M454" s="66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>
      <c r="A455" s="226"/>
      <c r="B455" s="13"/>
      <c r="C455" s="13"/>
      <c r="D455" s="13"/>
      <c r="E455" s="64"/>
      <c r="F455" s="66" t="s">
        <v>470</v>
      </c>
      <c r="G455" s="13"/>
      <c r="H455" s="66" t="s">
        <v>470</v>
      </c>
      <c r="I455" s="66" t="s">
        <v>470</v>
      </c>
      <c r="J455" s="66" t="s">
        <v>470</v>
      </c>
      <c r="K455" s="66" t="s">
        <v>470</v>
      </c>
      <c r="L455" s="66" t="s">
        <v>470</v>
      </c>
      <c r="M455" s="66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>
      <c r="A456" s="226"/>
      <c r="B456" s="13"/>
      <c r="C456" s="13"/>
      <c r="D456" s="13"/>
      <c r="E456" s="64"/>
      <c r="F456" s="66" t="s">
        <v>470</v>
      </c>
      <c r="G456" s="13"/>
      <c r="H456" s="66" t="s">
        <v>470</v>
      </c>
      <c r="I456" s="66" t="s">
        <v>470</v>
      </c>
      <c r="J456" s="66" t="s">
        <v>470</v>
      </c>
      <c r="K456" s="66" t="s">
        <v>470</v>
      </c>
      <c r="L456" s="66" t="s">
        <v>470</v>
      </c>
      <c r="M456" s="66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>
      <c r="A457" s="226"/>
      <c r="B457" s="13"/>
      <c r="C457" s="13"/>
      <c r="D457" s="13"/>
      <c r="E457" s="64"/>
      <c r="F457" s="66" t="s">
        <v>470</v>
      </c>
      <c r="G457" s="13"/>
      <c r="H457" s="66" t="s">
        <v>470</v>
      </c>
      <c r="I457" s="66" t="s">
        <v>470</v>
      </c>
      <c r="J457" s="66" t="s">
        <v>470</v>
      </c>
      <c r="K457" s="66" t="s">
        <v>470</v>
      </c>
      <c r="L457" s="66" t="s">
        <v>470</v>
      </c>
      <c r="M457" s="66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>
      <c r="A458" s="226"/>
      <c r="B458" s="13"/>
      <c r="C458" s="13"/>
      <c r="D458" s="13"/>
      <c r="E458" s="64"/>
      <c r="F458" s="66" t="s">
        <v>470</v>
      </c>
      <c r="G458" s="13"/>
      <c r="H458" s="66" t="s">
        <v>470</v>
      </c>
      <c r="I458" s="66" t="s">
        <v>470</v>
      </c>
      <c r="J458" s="66" t="s">
        <v>470</v>
      </c>
      <c r="K458" s="66" t="s">
        <v>470</v>
      </c>
      <c r="L458" s="66" t="s">
        <v>470</v>
      </c>
      <c r="M458" s="66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>
      <c r="A459" s="226"/>
      <c r="B459" s="13"/>
      <c r="C459" s="13"/>
      <c r="D459" s="13"/>
      <c r="E459" s="64"/>
      <c r="F459" s="66" t="s">
        <v>470</v>
      </c>
      <c r="G459" s="13"/>
      <c r="H459" s="66" t="s">
        <v>470</v>
      </c>
      <c r="I459" s="66" t="s">
        <v>470</v>
      </c>
      <c r="J459" s="66" t="s">
        <v>470</v>
      </c>
      <c r="K459" s="66" t="s">
        <v>470</v>
      </c>
      <c r="L459" s="66" t="s">
        <v>470</v>
      </c>
      <c r="M459" s="66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>
      <c r="A460" s="226"/>
      <c r="B460" s="13"/>
      <c r="C460" s="13"/>
      <c r="D460" s="13"/>
      <c r="E460" s="64"/>
      <c r="F460" s="66" t="s">
        <v>470</v>
      </c>
      <c r="G460" s="13"/>
      <c r="H460" s="66" t="s">
        <v>470</v>
      </c>
      <c r="I460" s="66" t="s">
        <v>470</v>
      </c>
      <c r="J460" s="66" t="s">
        <v>470</v>
      </c>
      <c r="K460" s="66" t="s">
        <v>470</v>
      </c>
      <c r="L460" s="66" t="s">
        <v>470</v>
      </c>
      <c r="M460" s="66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>
      <c r="A461" s="226"/>
      <c r="B461" s="13"/>
      <c r="C461" s="13"/>
      <c r="D461" s="13"/>
      <c r="E461" s="64"/>
      <c r="F461" s="66" t="s">
        <v>470</v>
      </c>
      <c r="G461" s="13"/>
      <c r="H461" s="66" t="s">
        <v>470</v>
      </c>
      <c r="I461" s="66" t="s">
        <v>470</v>
      </c>
      <c r="J461" s="66" t="s">
        <v>470</v>
      </c>
      <c r="K461" s="66" t="s">
        <v>470</v>
      </c>
      <c r="L461" s="66" t="s">
        <v>470</v>
      </c>
      <c r="M461" s="66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>
      <c r="A462" s="226"/>
      <c r="B462" s="13"/>
      <c r="C462" s="13"/>
      <c r="D462" s="13"/>
      <c r="E462" s="64"/>
      <c r="F462" s="66" t="s">
        <v>470</v>
      </c>
      <c r="G462" s="13"/>
      <c r="H462" s="66" t="s">
        <v>470</v>
      </c>
      <c r="I462" s="66" t="s">
        <v>470</v>
      </c>
      <c r="J462" s="66" t="s">
        <v>470</v>
      </c>
      <c r="K462" s="66" t="s">
        <v>470</v>
      </c>
      <c r="L462" s="66" t="s">
        <v>470</v>
      </c>
      <c r="M462" s="66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>
      <c r="A463" s="226"/>
      <c r="B463" s="13"/>
      <c r="C463" s="13"/>
      <c r="D463" s="13"/>
      <c r="E463" s="64"/>
      <c r="F463" s="66" t="s">
        <v>470</v>
      </c>
      <c r="G463" s="13"/>
      <c r="H463" s="66" t="s">
        <v>470</v>
      </c>
      <c r="I463" s="66" t="s">
        <v>470</v>
      </c>
      <c r="J463" s="66" t="s">
        <v>470</v>
      </c>
      <c r="K463" s="66" t="s">
        <v>470</v>
      </c>
      <c r="L463" s="66" t="s">
        <v>470</v>
      </c>
      <c r="M463" s="66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>
      <c r="A464" s="226"/>
      <c r="B464" s="13"/>
      <c r="C464" s="13"/>
      <c r="D464" s="13"/>
      <c r="E464" s="64"/>
      <c r="F464" s="66" t="s">
        <v>470</v>
      </c>
      <c r="G464" s="13"/>
      <c r="H464" s="66" t="s">
        <v>470</v>
      </c>
      <c r="I464" s="66" t="s">
        <v>470</v>
      </c>
      <c r="J464" s="66" t="s">
        <v>470</v>
      </c>
      <c r="K464" s="66" t="s">
        <v>470</v>
      </c>
      <c r="L464" s="66" t="s">
        <v>470</v>
      </c>
      <c r="M464" s="66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>
      <c r="A465" s="226"/>
      <c r="B465" s="13"/>
      <c r="C465" s="13"/>
      <c r="D465" s="13"/>
      <c r="E465" s="64"/>
      <c r="F465" s="66" t="s">
        <v>470</v>
      </c>
      <c r="G465" s="13"/>
      <c r="H465" s="66" t="s">
        <v>470</v>
      </c>
      <c r="I465" s="66" t="s">
        <v>470</v>
      </c>
      <c r="J465" s="66" t="s">
        <v>470</v>
      </c>
      <c r="K465" s="66" t="s">
        <v>470</v>
      </c>
      <c r="L465" s="66" t="s">
        <v>470</v>
      </c>
      <c r="M465" s="66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>
      <c r="A466" s="226"/>
      <c r="B466" s="13"/>
      <c r="C466" s="13"/>
      <c r="D466" s="13"/>
      <c r="E466" s="64"/>
      <c r="F466" s="66" t="s">
        <v>470</v>
      </c>
      <c r="G466" s="13"/>
      <c r="H466" s="66" t="s">
        <v>470</v>
      </c>
      <c r="I466" s="66" t="s">
        <v>470</v>
      </c>
      <c r="J466" s="66" t="s">
        <v>470</v>
      </c>
      <c r="K466" s="66" t="s">
        <v>470</v>
      </c>
      <c r="L466" s="66" t="s">
        <v>470</v>
      </c>
      <c r="M466" s="66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>
      <c r="A467" s="226"/>
      <c r="B467" s="13"/>
      <c r="C467" s="13"/>
      <c r="D467" s="13"/>
      <c r="E467" s="64"/>
      <c r="F467" s="66" t="s">
        <v>470</v>
      </c>
      <c r="G467" s="13"/>
      <c r="H467" s="66" t="s">
        <v>470</v>
      </c>
      <c r="I467" s="66" t="s">
        <v>470</v>
      </c>
      <c r="J467" s="66" t="s">
        <v>470</v>
      </c>
      <c r="K467" s="66" t="s">
        <v>470</v>
      </c>
      <c r="L467" s="66" t="s">
        <v>470</v>
      </c>
      <c r="M467" s="66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>
      <c r="A468" s="226"/>
      <c r="B468" s="13"/>
      <c r="C468" s="13"/>
      <c r="D468" s="13"/>
      <c r="E468" s="64"/>
      <c r="F468" s="66" t="s">
        <v>470</v>
      </c>
      <c r="G468" s="13"/>
      <c r="H468" s="66" t="s">
        <v>470</v>
      </c>
      <c r="I468" s="66" t="s">
        <v>470</v>
      </c>
      <c r="J468" s="66" t="s">
        <v>470</v>
      </c>
      <c r="K468" s="66" t="s">
        <v>470</v>
      </c>
      <c r="L468" s="66" t="s">
        <v>470</v>
      </c>
      <c r="M468" s="66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>
      <c r="A469" s="226"/>
      <c r="B469" s="13"/>
      <c r="C469" s="13"/>
      <c r="D469" s="13"/>
      <c r="E469" s="64"/>
      <c r="F469" s="66" t="s">
        <v>470</v>
      </c>
      <c r="G469" s="13"/>
      <c r="H469" s="66" t="s">
        <v>470</v>
      </c>
      <c r="I469" s="66" t="s">
        <v>470</v>
      </c>
      <c r="J469" s="66" t="s">
        <v>470</v>
      </c>
      <c r="K469" s="66" t="s">
        <v>470</v>
      </c>
      <c r="L469" s="66" t="s">
        <v>470</v>
      </c>
      <c r="M469" s="66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>
      <c r="A470" s="226"/>
      <c r="B470" s="13"/>
      <c r="C470" s="13"/>
      <c r="D470" s="13"/>
      <c r="E470" s="64"/>
      <c r="F470" s="66" t="s">
        <v>470</v>
      </c>
      <c r="G470" s="13"/>
      <c r="H470" s="66" t="s">
        <v>470</v>
      </c>
      <c r="I470" s="66" t="s">
        <v>470</v>
      </c>
      <c r="J470" s="66" t="s">
        <v>470</v>
      </c>
      <c r="K470" s="66" t="s">
        <v>470</v>
      </c>
      <c r="L470" s="66" t="s">
        <v>470</v>
      </c>
      <c r="M470" s="66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>
      <c r="A471" s="226"/>
      <c r="B471" s="13"/>
      <c r="C471" s="13"/>
      <c r="D471" s="13"/>
      <c r="E471" s="64"/>
      <c r="F471" s="66" t="s">
        <v>470</v>
      </c>
      <c r="G471" s="13"/>
      <c r="H471" s="66" t="s">
        <v>470</v>
      </c>
      <c r="I471" s="66" t="s">
        <v>470</v>
      </c>
      <c r="J471" s="66" t="s">
        <v>470</v>
      </c>
      <c r="K471" s="66" t="s">
        <v>470</v>
      </c>
      <c r="L471" s="66" t="s">
        <v>470</v>
      </c>
      <c r="M471" s="66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>
      <c r="A472" s="226"/>
      <c r="B472" s="13"/>
      <c r="C472" s="13"/>
      <c r="D472" s="13"/>
      <c r="E472" s="64"/>
      <c r="F472" s="66" t="s">
        <v>470</v>
      </c>
      <c r="G472" s="13"/>
      <c r="H472" s="66" t="s">
        <v>470</v>
      </c>
      <c r="I472" s="66" t="s">
        <v>470</v>
      </c>
      <c r="J472" s="66" t="s">
        <v>470</v>
      </c>
      <c r="K472" s="66" t="s">
        <v>470</v>
      </c>
      <c r="L472" s="66" t="s">
        <v>470</v>
      </c>
      <c r="M472" s="66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>
      <c r="A473" s="226"/>
      <c r="B473" s="13"/>
      <c r="C473" s="13"/>
      <c r="D473" s="13"/>
      <c r="E473" s="64"/>
      <c r="F473" s="66" t="s">
        <v>470</v>
      </c>
      <c r="G473" s="13"/>
      <c r="H473" s="66" t="s">
        <v>470</v>
      </c>
      <c r="I473" s="66" t="s">
        <v>470</v>
      </c>
      <c r="J473" s="66" t="s">
        <v>470</v>
      </c>
      <c r="K473" s="66" t="s">
        <v>470</v>
      </c>
      <c r="L473" s="66" t="s">
        <v>470</v>
      </c>
      <c r="M473" s="66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>
      <c r="A474" s="226"/>
      <c r="B474" s="13"/>
      <c r="C474" s="13"/>
      <c r="D474" s="13"/>
      <c r="E474" s="64"/>
      <c r="F474" s="66" t="s">
        <v>470</v>
      </c>
      <c r="G474" s="13"/>
      <c r="H474" s="66" t="s">
        <v>470</v>
      </c>
      <c r="I474" s="66" t="s">
        <v>470</v>
      </c>
      <c r="J474" s="66" t="s">
        <v>470</v>
      </c>
      <c r="K474" s="66" t="s">
        <v>470</v>
      </c>
      <c r="L474" s="66" t="s">
        <v>470</v>
      </c>
      <c r="M474" s="66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>
      <c r="A475" s="226"/>
      <c r="B475" s="13"/>
      <c r="C475" s="13"/>
      <c r="D475" s="13"/>
      <c r="E475" s="64"/>
      <c r="F475" s="66" t="s">
        <v>470</v>
      </c>
      <c r="G475" s="13"/>
      <c r="H475" s="66" t="s">
        <v>470</v>
      </c>
      <c r="I475" s="66" t="s">
        <v>470</v>
      </c>
      <c r="J475" s="66" t="s">
        <v>470</v>
      </c>
      <c r="K475" s="66" t="s">
        <v>470</v>
      </c>
      <c r="L475" s="66" t="s">
        <v>470</v>
      </c>
      <c r="M475" s="66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>
      <c r="A476" s="226"/>
      <c r="B476" s="13"/>
      <c r="C476" s="13"/>
      <c r="D476" s="13"/>
      <c r="E476" s="64"/>
      <c r="F476" s="66" t="s">
        <v>470</v>
      </c>
      <c r="G476" s="13"/>
      <c r="H476" s="66" t="s">
        <v>470</v>
      </c>
      <c r="I476" s="66" t="s">
        <v>470</v>
      </c>
      <c r="J476" s="66" t="s">
        <v>470</v>
      </c>
      <c r="K476" s="66" t="s">
        <v>470</v>
      </c>
      <c r="L476" s="66" t="s">
        <v>470</v>
      </c>
      <c r="M476" s="66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>
      <c r="A477" s="226"/>
      <c r="B477" s="13"/>
      <c r="C477" s="13"/>
      <c r="D477" s="13"/>
      <c r="E477" s="64"/>
      <c r="F477" s="66" t="s">
        <v>470</v>
      </c>
      <c r="G477" s="13"/>
      <c r="H477" s="66" t="s">
        <v>470</v>
      </c>
      <c r="I477" s="66" t="s">
        <v>470</v>
      </c>
      <c r="J477" s="66" t="s">
        <v>470</v>
      </c>
      <c r="K477" s="66" t="s">
        <v>470</v>
      </c>
      <c r="L477" s="66" t="s">
        <v>470</v>
      </c>
      <c r="M477" s="66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>
      <c r="A478" s="226"/>
      <c r="B478" s="13"/>
      <c r="C478" s="13"/>
      <c r="D478" s="13"/>
      <c r="E478" s="64"/>
      <c r="F478" s="66" t="s">
        <v>470</v>
      </c>
      <c r="G478" s="13"/>
      <c r="H478" s="66" t="s">
        <v>470</v>
      </c>
      <c r="I478" s="66" t="s">
        <v>470</v>
      </c>
      <c r="J478" s="66" t="s">
        <v>470</v>
      </c>
      <c r="K478" s="66" t="s">
        <v>470</v>
      </c>
      <c r="L478" s="66" t="s">
        <v>470</v>
      </c>
      <c r="M478" s="66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>
      <c r="A479" s="226"/>
      <c r="B479" s="13"/>
      <c r="C479" s="13"/>
      <c r="D479" s="13"/>
      <c r="E479" s="64"/>
      <c r="F479" s="66" t="s">
        <v>470</v>
      </c>
      <c r="G479" s="13"/>
      <c r="H479" s="66" t="s">
        <v>470</v>
      </c>
      <c r="I479" s="66" t="s">
        <v>470</v>
      </c>
      <c r="J479" s="66" t="s">
        <v>470</v>
      </c>
      <c r="K479" s="66" t="s">
        <v>470</v>
      </c>
      <c r="L479" s="66" t="s">
        <v>470</v>
      </c>
      <c r="M479" s="66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>
      <c r="A480" s="226"/>
      <c r="B480" s="13"/>
      <c r="C480" s="13"/>
      <c r="D480" s="13"/>
      <c r="E480" s="64"/>
      <c r="F480" s="66" t="s">
        <v>470</v>
      </c>
      <c r="G480" s="13"/>
      <c r="H480" s="66" t="s">
        <v>470</v>
      </c>
      <c r="I480" s="66" t="s">
        <v>470</v>
      </c>
      <c r="J480" s="66" t="s">
        <v>470</v>
      </c>
      <c r="K480" s="66" t="s">
        <v>470</v>
      </c>
      <c r="L480" s="66" t="s">
        <v>470</v>
      </c>
      <c r="M480" s="66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>
      <c r="A481" s="226"/>
      <c r="B481" s="13"/>
      <c r="C481" s="13"/>
      <c r="D481" s="13"/>
      <c r="E481" s="64"/>
      <c r="F481" s="66" t="s">
        <v>470</v>
      </c>
      <c r="G481" s="13"/>
      <c r="H481" s="66" t="s">
        <v>470</v>
      </c>
      <c r="I481" s="66" t="s">
        <v>470</v>
      </c>
      <c r="J481" s="66" t="s">
        <v>470</v>
      </c>
      <c r="K481" s="66" t="s">
        <v>470</v>
      </c>
      <c r="L481" s="66" t="s">
        <v>470</v>
      </c>
      <c r="M481" s="66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>
      <c r="A482" s="226"/>
      <c r="B482" s="13"/>
      <c r="C482" s="13"/>
      <c r="D482" s="13"/>
      <c r="E482" s="64"/>
      <c r="F482" s="66" t="s">
        <v>470</v>
      </c>
      <c r="G482" s="13"/>
      <c r="H482" s="66" t="s">
        <v>470</v>
      </c>
      <c r="I482" s="66" t="s">
        <v>470</v>
      </c>
      <c r="J482" s="66" t="s">
        <v>470</v>
      </c>
      <c r="K482" s="66" t="s">
        <v>470</v>
      </c>
      <c r="L482" s="66" t="s">
        <v>470</v>
      </c>
      <c r="M482" s="66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>
      <c r="A483" s="226"/>
      <c r="B483" s="13"/>
      <c r="C483" s="13"/>
      <c r="D483" s="13"/>
      <c r="E483" s="64"/>
      <c r="F483" s="66" t="s">
        <v>470</v>
      </c>
      <c r="G483" s="13"/>
      <c r="H483" s="66" t="s">
        <v>470</v>
      </c>
      <c r="I483" s="66" t="s">
        <v>470</v>
      </c>
      <c r="J483" s="66" t="s">
        <v>470</v>
      </c>
      <c r="K483" s="66" t="s">
        <v>470</v>
      </c>
      <c r="L483" s="66" t="s">
        <v>470</v>
      </c>
      <c r="M483" s="66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>
      <c r="A484" s="226"/>
      <c r="B484" s="13"/>
      <c r="C484" s="13"/>
      <c r="D484" s="13"/>
      <c r="E484" s="64"/>
      <c r="F484" s="66" t="s">
        <v>470</v>
      </c>
      <c r="G484" s="13"/>
      <c r="H484" s="66" t="s">
        <v>470</v>
      </c>
      <c r="I484" s="66" t="s">
        <v>470</v>
      </c>
      <c r="J484" s="66" t="s">
        <v>470</v>
      </c>
      <c r="K484" s="66" t="s">
        <v>470</v>
      </c>
      <c r="L484" s="66" t="s">
        <v>470</v>
      </c>
      <c r="M484" s="66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>
      <c r="A485" s="226"/>
      <c r="B485" s="13"/>
      <c r="C485" s="13"/>
      <c r="D485" s="13"/>
      <c r="E485" s="64"/>
      <c r="F485" s="66" t="s">
        <v>470</v>
      </c>
      <c r="G485" s="13"/>
      <c r="H485" s="66" t="s">
        <v>470</v>
      </c>
      <c r="I485" s="66" t="s">
        <v>470</v>
      </c>
      <c r="J485" s="66" t="s">
        <v>470</v>
      </c>
      <c r="K485" s="66" t="s">
        <v>470</v>
      </c>
      <c r="L485" s="66" t="s">
        <v>470</v>
      </c>
      <c r="M485" s="66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>
      <c r="A486" s="226"/>
      <c r="B486" s="13"/>
      <c r="C486" s="13"/>
      <c r="D486" s="13"/>
      <c r="E486" s="64"/>
      <c r="F486" s="66" t="s">
        <v>470</v>
      </c>
      <c r="G486" s="13"/>
      <c r="H486" s="66" t="s">
        <v>470</v>
      </c>
      <c r="I486" s="66" t="s">
        <v>470</v>
      </c>
      <c r="J486" s="66" t="s">
        <v>470</v>
      </c>
      <c r="K486" s="66" t="s">
        <v>470</v>
      </c>
      <c r="L486" s="66" t="s">
        <v>470</v>
      </c>
      <c r="M486" s="66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>
      <c r="A487" s="226"/>
      <c r="B487" s="13"/>
      <c r="C487" s="13"/>
      <c r="D487" s="13"/>
      <c r="E487" s="64"/>
      <c r="F487" s="66" t="s">
        <v>470</v>
      </c>
      <c r="G487" s="13"/>
      <c r="H487" s="66" t="s">
        <v>470</v>
      </c>
      <c r="I487" s="66" t="s">
        <v>470</v>
      </c>
      <c r="J487" s="66" t="s">
        <v>470</v>
      </c>
      <c r="K487" s="66" t="s">
        <v>470</v>
      </c>
      <c r="L487" s="66" t="s">
        <v>470</v>
      </c>
      <c r="M487" s="66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>
      <c r="A488" s="226"/>
      <c r="B488" s="13"/>
      <c r="C488" s="13"/>
      <c r="D488" s="13"/>
      <c r="E488" s="64"/>
      <c r="F488" s="66" t="s">
        <v>470</v>
      </c>
      <c r="G488" s="13"/>
      <c r="H488" s="66" t="s">
        <v>470</v>
      </c>
      <c r="I488" s="66" t="s">
        <v>470</v>
      </c>
      <c r="J488" s="66" t="s">
        <v>470</v>
      </c>
      <c r="K488" s="66" t="s">
        <v>470</v>
      </c>
      <c r="L488" s="66" t="s">
        <v>470</v>
      </c>
      <c r="M488" s="66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>
      <c r="A489" s="226"/>
      <c r="B489" s="13"/>
      <c r="C489" s="13"/>
      <c r="D489" s="13"/>
      <c r="E489" s="64"/>
      <c r="F489" s="66" t="s">
        <v>470</v>
      </c>
      <c r="G489" s="13"/>
      <c r="H489" s="66" t="s">
        <v>470</v>
      </c>
      <c r="I489" s="66" t="s">
        <v>470</v>
      </c>
      <c r="J489" s="66" t="s">
        <v>470</v>
      </c>
      <c r="K489" s="66" t="s">
        <v>470</v>
      </c>
      <c r="L489" s="66" t="s">
        <v>470</v>
      </c>
      <c r="M489" s="66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>
      <c r="A490" s="226"/>
      <c r="B490" s="13"/>
      <c r="C490" s="13"/>
      <c r="D490" s="13"/>
      <c r="E490" s="64"/>
      <c r="F490" s="66" t="s">
        <v>470</v>
      </c>
      <c r="G490" s="13"/>
      <c r="H490" s="66" t="s">
        <v>470</v>
      </c>
      <c r="I490" s="66" t="s">
        <v>470</v>
      </c>
      <c r="J490" s="66" t="s">
        <v>470</v>
      </c>
      <c r="K490" s="66" t="s">
        <v>470</v>
      </c>
      <c r="L490" s="66" t="s">
        <v>470</v>
      </c>
      <c r="M490" s="66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>
      <c r="A491" s="226"/>
      <c r="B491" s="13"/>
      <c r="C491" s="13"/>
      <c r="D491" s="13"/>
      <c r="E491" s="64"/>
      <c r="F491" s="66" t="s">
        <v>470</v>
      </c>
      <c r="G491" s="13"/>
      <c r="H491" s="66" t="s">
        <v>470</v>
      </c>
      <c r="I491" s="66" t="s">
        <v>470</v>
      </c>
      <c r="J491" s="66" t="s">
        <v>470</v>
      </c>
      <c r="K491" s="66" t="s">
        <v>470</v>
      </c>
      <c r="L491" s="66" t="s">
        <v>470</v>
      </c>
      <c r="M491" s="66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>
      <c r="A492" s="226"/>
      <c r="B492" s="13"/>
      <c r="C492" s="13"/>
      <c r="D492" s="13"/>
      <c r="E492" s="64"/>
      <c r="F492" s="66" t="s">
        <v>470</v>
      </c>
      <c r="G492" s="13"/>
      <c r="H492" s="66" t="s">
        <v>470</v>
      </c>
      <c r="I492" s="66" t="s">
        <v>470</v>
      </c>
      <c r="J492" s="66" t="s">
        <v>470</v>
      </c>
      <c r="K492" s="66" t="s">
        <v>470</v>
      </c>
      <c r="L492" s="66" t="s">
        <v>470</v>
      </c>
      <c r="M492" s="66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>
      <c r="A493" s="226"/>
      <c r="B493" s="13"/>
      <c r="C493" s="13"/>
      <c r="D493" s="13"/>
      <c r="E493" s="64"/>
      <c r="F493" s="66" t="s">
        <v>470</v>
      </c>
      <c r="G493" s="13"/>
      <c r="H493" s="66" t="s">
        <v>470</v>
      </c>
      <c r="I493" s="66" t="s">
        <v>470</v>
      </c>
      <c r="J493" s="66" t="s">
        <v>470</v>
      </c>
      <c r="K493" s="66" t="s">
        <v>470</v>
      </c>
      <c r="L493" s="66" t="s">
        <v>470</v>
      </c>
      <c r="M493" s="66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>
      <c r="A494" s="226"/>
      <c r="B494" s="13"/>
      <c r="C494" s="13"/>
      <c r="D494" s="13"/>
      <c r="E494" s="64"/>
      <c r="F494" s="66" t="s">
        <v>470</v>
      </c>
      <c r="G494" s="13"/>
      <c r="H494" s="66" t="s">
        <v>470</v>
      </c>
      <c r="I494" s="66" t="s">
        <v>470</v>
      </c>
      <c r="J494" s="66" t="s">
        <v>470</v>
      </c>
      <c r="K494" s="66" t="s">
        <v>470</v>
      </c>
      <c r="L494" s="66" t="s">
        <v>470</v>
      </c>
      <c r="M494" s="66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>
      <c r="A495" s="226"/>
      <c r="B495" s="13"/>
      <c r="C495" s="13"/>
      <c r="D495" s="13"/>
      <c r="E495" s="64"/>
      <c r="F495" s="66" t="s">
        <v>470</v>
      </c>
      <c r="G495" s="13"/>
      <c r="H495" s="66" t="s">
        <v>470</v>
      </c>
      <c r="I495" s="66" t="s">
        <v>470</v>
      </c>
      <c r="J495" s="66" t="s">
        <v>470</v>
      </c>
      <c r="K495" s="66" t="s">
        <v>470</v>
      </c>
      <c r="L495" s="66" t="s">
        <v>470</v>
      </c>
      <c r="M495" s="66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>
      <c r="A496" s="226"/>
      <c r="B496" s="13"/>
      <c r="C496" s="13"/>
      <c r="D496" s="13"/>
      <c r="E496" s="64"/>
      <c r="F496" s="66" t="s">
        <v>470</v>
      </c>
      <c r="G496" s="13"/>
      <c r="H496" s="66" t="s">
        <v>470</v>
      </c>
      <c r="I496" s="66" t="s">
        <v>470</v>
      </c>
      <c r="J496" s="66" t="s">
        <v>470</v>
      </c>
      <c r="K496" s="66" t="s">
        <v>470</v>
      </c>
      <c r="L496" s="66" t="s">
        <v>470</v>
      </c>
      <c r="M496" s="66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>
      <c r="A497" s="226"/>
      <c r="B497" s="13"/>
      <c r="C497" s="13"/>
      <c r="D497" s="13"/>
      <c r="E497" s="64"/>
      <c r="F497" s="66" t="s">
        <v>470</v>
      </c>
      <c r="G497" s="13"/>
      <c r="H497" s="66" t="s">
        <v>470</v>
      </c>
      <c r="I497" s="66" t="s">
        <v>470</v>
      </c>
      <c r="J497" s="66" t="s">
        <v>470</v>
      </c>
      <c r="K497" s="66" t="s">
        <v>470</v>
      </c>
      <c r="L497" s="66" t="s">
        <v>470</v>
      </c>
      <c r="M497" s="66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>
      <c r="A498" s="226"/>
      <c r="B498" s="13"/>
      <c r="C498" s="13"/>
      <c r="D498" s="13"/>
      <c r="E498" s="64"/>
      <c r="F498" s="66" t="s">
        <v>470</v>
      </c>
      <c r="G498" s="13"/>
      <c r="H498" s="66" t="s">
        <v>470</v>
      </c>
      <c r="I498" s="66" t="s">
        <v>470</v>
      </c>
      <c r="J498" s="66" t="s">
        <v>470</v>
      </c>
      <c r="K498" s="66" t="s">
        <v>470</v>
      </c>
      <c r="L498" s="66" t="s">
        <v>470</v>
      </c>
      <c r="M498" s="66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>
      <c r="A499" s="226"/>
      <c r="B499" s="13"/>
      <c r="C499" s="13"/>
      <c r="D499" s="13"/>
      <c r="E499" s="64"/>
      <c r="F499" s="66" t="s">
        <v>470</v>
      </c>
      <c r="G499" s="13"/>
      <c r="H499" s="66" t="s">
        <v>470</v>
      </c>
      <c r="I499" s="66" t="s">
        <v>470</v>
      </c>
      <c r="J499" s="66" t="s">
        <v>470</v>
      </c>
      <c r="K499" s="66" t="s">
        <v>470</v>
      </c>
      <c r="L499" s="66" t="s">
        <v>470</v>
      </c>
      <c r="M499" s="66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>
      <c r="A500" s="226"/>
      <c r="B500" s="13"/>
      <c r="C500" s="13"/>
      <c r="D500" s="13"/>
      <c r="E500" s="64"/>
      <c r="F500" s="66" t="s">
        <v>470</v>
      </c>
      <c r="G500" s="13"/>
      <c r="H500" s="66" t="s">
        <v>470</v>
      </c>
      <c r="I500" s="66" t="s">
        <v>470</v>
      </c>
      <c r="J500" s="66" t="s">
        <v>470</v>
      </c>
      <c r="K500" s="66" t="s">
        <v>470</v>
      </c>
      <c r="L500" s="66" t="s">
        <v>470</v>
      </c>
      <c r="M500" s="66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>
      <c r="A501" s="226"/>
      <c r="B501" s="13"/>
      <c r="C501" s="13"/>
      <c r="D501" s="13"/>
      <c r="E501" s="64"/>
      <c r="F501" s="66" t="s">
        <v>470</v>
      </c>
      <c r="G501" s="13"/>
      <c r="H501" s="66" t="s">
        <v>470</v>
      </c>
      <c r="I501" s="66" t="s">
        <v>470</v>
      </c>
      <c r="J501" s="66" t="s">
        <v>470</v>
      </c>
      <c r="K501" s="66" t="s">
        <v>470</v>
      </c>
      <c r="L501" s="66" t="s">
        <v>470</v>
      </c>
      <c r="M501" s="66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>
      <c r="A502" s="226"/>
      <c r="B502" s="13"/>
      <c r="C502" s="13"/>
      <c r="D502" s="13"/>
      <c r="E502" s="64"/>
      <c r="F502" s="66" t="s">
        <v>470</v>
      </c>
      <c r="G502" s="13"/>
      <c r="H502" s="66" t="s">
        <v>470</v>
      </c>
      <c r="I502" s="66" t="s">
        <v>470</v>
      </c>
      <c r="J502" s="66" t="s">
        <v>470</v>
      </c>
      <c r="K502" s="66" t="s">
        <v>470</v>
      </c>
      <c r="L502" s="66" t="s">
        <v>470</v>
      </c>
      <c r="M502" s="66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>
      <c r="A503" s="226"/>
      <c r="B503" s="13"/>
      <c r="C503" s="13"/>
      <c r="D503" s="13"/>
      <c r="E503" s="64"/>
      <c r="F503" s="66" t="s">
        <v>470</v>
      </c>
      <c r="G503" s="13"/>
      <c r="H503" s="66" t="s">
        <v>470</v>
      </c>
      <c r="I503" s="66" t="s">
        <v>470</v>
      </c>
      <c r="J503" s="66" t="s">
        <v>470</v>
      </c>
      <c r="K503" s="66" t="s">
        <v>470</v>
      </c>
      <c r="L503" s="66" t="s">
        <v>470</v>
      </c>
      <c r="M503" s="66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>
      <c r="A504" s="226"/>
      <c r="B504" s="13"/>
      <c r="C504" s="13"/>
      <c r="D504" s="13"/>
      <c r="E504" s="64"/>
      <c r="F504" s="66" t="s">
        <v>470</v>
      </c>
      <c r="G504" s="13"/>
      <c r="H504" s="66" t="s">
        <v>470</v>
      </c>
      <c r="I504" s="66" t="s">
        <v>470</v>
      </c>
      <c r="J504" s="66" t="s">
        <v>470</v>
      </c>
      <c r="K504" s="66" t="s">
        <v>470</v>
      </c>
      <c r="L504" s="66" t="s">
        <v>470</v>
      </c>
      <c r="M504" s="66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>
      <c r="A505" s="226"/>
      <c r="B505" s="13"/>
      <c r="C505" s="13"/>
      <c r="D505" s="13"/>
      <c r="E505" s="64"/>
      <c r="F505" s="66" t="s">
        <v>470</v>
      </c>
      <c r="G505" s="13"/>
      <c r="H505" s="66" t="s">
        <v>470</v>
      </c>
      <c r="I505" s="66" t="s">
        <v>470</v>
      </c>
      <c r="J505" s="66" t="s">
        <v>470</v>
      </c>
      <c r="K505" s="66" t="s">
        <v>470</v>
      </c>
      <c r="L505" s="66" t="s">
        <v>470</v>
      </c>
      <c r="M505" s="66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>
      <c r="A506" s="226"/>
      <c r="B506" s="13"/>
      <c r="C506" s="13"/>
      <c r="D506" s="13"/>
      <c r="E506" s="64"/>
      <c r="F506" s="66" t="s">
        <v>470</v>
      </c>
      <c r="G506" s="13"/>
      <c r="H506" s="66" t="s">
        <v>470</v>
      </c>
      <c r="I506" s="66" t="s">
        <v>470</v>
      </c>
      <c r="J506" s="66" t="s">
        <v>470</v>
      </c>
      <c r="K506" s="66" t="s">
        <v>470</v>
      </c>
      <c r="L506" s="66" t="s">
        <v>470</v>
      </c>
      <c r="M506" s="66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>
      <c r="A507" s="226"/>
      <c r="B507" s="13"/>
      <c r="C507" s="13"/>
      <c r="D507" s="13"/>
      <c r="E507" s="64"/>
      <c r="F507" s="66" t="s">
        <v>470</v>
      </c>
      <c r="G507" s="13"/>
      <c r="H507" s="66" t="s">
        <v>470</v>
      </c>
      <c r="I507" s="66" t="s">
        <v>470</v>
      </c>
      <c r="J507" s="66" t="s">
        <v>470</v>
      </c>
      <c r="K507" s="66" t="s">
        <v>470</v>
      </c>
      <c r="L507" s="66" t="s">
        <v>470</v>
      </c>
      <c r="M507" s="66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>
      <c r="A508" s="226"/>
      <c r="B508" s="13"/>
      <c r="C508" s="13"/>
      <c r="D508" s="13"/>
      <c r="E508" s="64"/>
      <c r="F508" s="66" t="s">
        <v>470</v>
      </c>
      <c r="G508" s="13"/>
      <c r="H508" s="66" t="s">
        <v>470</v>
      </c>
      <c r="I508" s="66" t="s">
        <v>470</v>
      </c>
      <c r="J508" s="66" t="s">
        <v>470</v>
      </c>
      <c r="K508" s="66" t="s">
        <v>470</v>
      </c>
      <c r="L508" s="66" t="s">
        <v>470</v>
      </c>
      <c r="M508" s="66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>
      <c r="A509" s="226"/>
      <c r="B509" s="13"/>
      <c r="C509" s="13"/>
      <c r="D509" s="13"/>
      <c r="E509" s="64"/>
      <c r="F509" s="66" t="s">
        <v>470</v>
      </c>
      <c r="G509" s="13"/>
      <c r="H509" s="66" t="s">
        <v>470</v>
      </c>
      <c r="I509" s="66" t="s">
        <v>470</v>
      </c>
      <c r="J509" s="66" t="s">
        <v>470</v>
      </c>
      <c r="K509" s="66" t="s">
        <v>470</v>
      </c>
      <c r="L509" s="66" t="s">
        <v>470</v>
      </c>
      <c r="M509" s="66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>
      <c r="A510" s="226"/>
      <c r="B510" s="13"/>
      <c r="C510" s="13"/>
      <c r="D510" s="13"/>
      <c r="E510" s="64"/>
      <c r="F510" s="66" t="s">
        <v>470</v>
      </c>
      <c r="G510" s="13"/>
      <c r="H510" s="66" t="s">
        <v>470</v>
      </c>
      <c r="I510" s="66" t="s">
        <v>470</v>
      </c>
      <c r="J510" s="66" t="s">
        <v>470</v>
      </c>
      <c r="K510" s="66" t="s">
        <v>470</v>
      </c>
      <c r="L510" s="66" t="s">
        <v>470</v>
      </c>
      <c r="M510" s="66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>
      <c r="A511" s="226"/>
      <c r="B511" s="13"/>
      <c r="C511" s="13"/>
      <c r="D511" s="13"/>
      <c r="E511" s="64"/>
      <c r="F511" s="66" t="s">
        <v>470</v>
      </c>
      <c r="G511" s="13"/>
      <c r="H511" s="66" t="s">
        <v>470</v>
      </c>
      <c r="I511" s="66" t="s">
        <v>470</v>
      </c>
      <c r="J511" s="66" t="s">
        <v>470</v>
      </c>
      <c r="K511" s="66" t="s">
        <v>470</v>
      </c>
      <c r="L511" s="66" t="s">
        <v>470</v>
      </c>
      <c r="M511" s="66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>
      <c r="A512" s="226"/>
      <c r="B512" s="13"/>
      <c r="C512" s="13"/>
      <c r="D512" s="13"/>
      <c r="E512" s="64"/>
      <c r="F512" s="66" t="s">
        <v>470</v>
      </c>
      <c r="G512" s="13"/>
      <c r="H512" s="66" t="s">
        <v>470</v>
      </c>
      <c r="I512" s="66" t="s">
        <v>470</v>
      </c>
      <c r="J512" s="66" t="s">
        <v>470</v>
      </c>
      <c r="K512" s="66" t="s">
        <v>470</v>
      </c>
      <c r="L512" s="66" t="s">
        <v>470</v>
      </c>
      <c r="M512" s="66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>
      <c r="A513" s="226"/>
      <c r="B513" s="13"/>
      <c r="C513" s="13"/>
      <c r="D513" s="13"/>
      <c r="E513" s="64"/>
      <c r="F513" s="66" t="s">
        <v>470</v>
      </c>
      <c r="G513" s="13"/>
      <c r="H513" s="66" t="s">
        <v>470</v>
      </c>
      <c r="I513" s="66" t="s">
        <v>470</v>
      </c>
      <c r="J513" s="66" t="s">
        <v>470</v>
      </c>
      <c r="K513" s="66" t="s">
        <v>470</v>
      </c>
      <c r="L513" s="66" t="s">
        <v>470</v>
      </c>
      <c r="M513" s="66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>
      <c r="A514" s="226"/>
      <c r="B514" s="13"/>
      <c r="C514" s="13"/>
      <c r="D514" s="13"/>
      <c r="E514" s="64"/>
      <c r="F514" s="66" t="s">
        <v>470</v>
      </c>
      <c r="G514" s="13"/>
      <c r="H514" s="66" t="s">
        <v>470</v>
      </c>
      <c r="I514" s="66" t="s">
        <v>470</v>
      </c>
      <c r="J514" s="66" t="s">
        <v>470</v>
      </c>
      <c r="K514" s="66" t="s">
        <v>470</v>
      </c>
      <c r="L514" s="66" t="s">
        <v>470</v>
      </c>
      <c r="M514" s="66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>
      <c r="A515" s="226"/>
      <c r="B515" s="13"/>
      <c r="C515" s="13"/>
      <c r="D515" s="13"/>
      <c r="E515" s="64"/>
      <c r="F515" s="66" t="s">
        <v>470</v>
      </c>
      <c r="G515" s="13"/>
      <c r="H515" s="66" t="s">
        <v>470</v>
      </c>
      <c r="I515" s="66" t="s">
        <v>470</v>
      </c>
      <c r="J515" s="66" t="s">
        <v>470</v>
      </c>
      <c r="K515" s="66" t="s">
        <v>470</v>
      </c>
      <c r="L515" s="66" t="s">
        <v>470</v>
      </c>
      <c r="M515" s="66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>
      <c r="A516" s="226"/>
      <c r="B516" s="13"/>
      <c r="C516" s="13"/>
      <c r="D516" s="13"/>
      <c r="E516" s="64"/>
      <c r="F516" s="66" t="s">
        <v>470</v>
      </c>
      <c r="G516" s="13"/>
      <c r="H516" s="66" t="s">
        <v>470</v>
      </c>
      <c r="I516" s="66" t="s">
        <v>470</v>
      </c>
      <c r="J516" s="66" t="s">
        <v>470</v>
      </c>
      <c r="K516" s="66" t="s">
        <v>470</v>
      </c>
      <c r="L516" s="66" t="s">
        <v>470</v>
      </c>
      <c r="M516" s="66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>
      <c r="A517" s="226"/>
      <c r="B517" s="13"/>
      <c r="C517" s="13"/>
      <c r="D517" s="13"/>
      <c r="E517" s="64"/>
      <c r="F517" s="66" t="s">
        <v>470</v>
      </c>
      <c r="G517" s="13"/>
      <c r="H517" s="66" t="s">
        <v>470</v>
      </c>
      <c r="I517" s="66" t="s">
        <v>470</v>
      </c>
      <c r="J517" s="66" t="s">
        <v>470</v>
      </c>
      <c r="K517" s="66" t="s">
        <v>470</v>
      </c>
      <c r="L517" s="66" t="s">
        <v>470</v>
      </c>
      <c r="M517" s="66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>
      <c r="A518" s="226"/>
      <c r="B518" s="13"/>
      <c r="C518" s="13"/>
      <c r="D518" s="13"/>
      <c r="E518" s="64"/>
      <c r="F518" s="66" t="s">
        <v>470</v>
      </c>
      <c r="G518" s="13"/>
      <c r="H518" s="66" t="s">
        <v>470</v>
      </c>
      <c r="I518" s="66" t="s">
        <v>470</v>
      </c>
      <c r="J518" s="66" t="s">
        <v>470</v>
      </c>
      <c r="K518" s="66" t="s">
        <v>470</v>
      </c>
      <c r="L518" s="66" t="s">
        <v>470</v>
      </c>
      <c r="M518" s="66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>
      <c r="A519" s="226"/>
      <c r="B519" s="13"/>
      <c r="C519" s="13"/>
      <c r="D519" s="13"/>
      <c r="E519" s="64"/>
      <c r="F519" s="66" t="s">
        <v>470</v>
      </c>
      <c r="G519" s="13"/>
      <c r="H519" s="66" t="s">
        <v>470</v>
      </c>
      <c r="I519" s="66" t="s">
        <v>470</v>
      </c>
      <c r="J519" s="66" t="s">
        <v>470</v>
      </c>
      <c r="K519" s="66" t="s">
        <v>470</v>
      </c>
      <c r="L519" s="66" t="s">
        <v>470</v>
      </c>
      <c r="M519" s="66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>
      <c r="A520" s="226"/>
      <c r="B520" s="13"/>
      <c r="C520" s="13"/>
      <c r="D520" s="13"/>
      <c r="E520" s="64"/>
      <c r="F520" s="66" t="s">
        <v>470</v>
      </c>
      <c r="G520" s="13"/>
      <c r="H520" s="66" t="s">
        <v>470</v>
      </c>
      <c r="I520" s="66" t="s">
        <v>470</v>
      </c>
      <c r="J520" s="66" t="s">
        <v>470</v>
      </c>
      <c r="K520" s="66" t="s">
        <v>470</v>
      </c>
      <c r="L520" s="66" t="s">
        <v>470</v>
      </c>
      <c r="M520" s="66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>
      <c r="A521" s="226"/>
      <c r="B521" s="13"/>
      <c r="C521" s="13"/>
      <c r="D521" s="13"/>
      <c r="E521" s="64"/>
      <c r="F521" s="66" t="s">
        <v>470</v>
      </c>
      <c r="G521" s="13"/>
      <c r="H521" s="66" t="s">
        <v>470</v>
      </c>
      <c r="I521" s="66" t="s">
        <v>470</v>
      </c>
      <c r="J521" s="66" t="s">
        <v>470</v>
      </c>
      <c r="K521" s="66" t="s">
        <v>470</v>
      </c>
      <c r="L521" s="66" t="s">
        <v>470</v>
      </c>
      <c r="M521" s="66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>
      <c r="A522" s="226"/>
      <c r="B522" s="13"/>
      <c r="C522" s="13"/>
      <c r="D522" s="13"/>
      <c r="E522" s="64"/>
      <c r="F522" s="66" t="s">
        <v>470</v>
      </c>
      <c r="G522" s="13"/>
      <c r="H522" s="66" t="s">
        <v>470</v>
      </c>
      <c r="I522" s="66" t="s">
        <v>470</v>
      </c>
      <c r="J522" s="66" t="s">
        <v>470</v>
      </c>
      <c r="K522" s="66" t="s">
        <v>470</v>
      </c>
      <c r="L522" s="66" t="s">
        <v>470</v>
      </c>
      <c r="M522" s="66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>
      <c r="A523" s="226"/>
      <c r="B523" s="13"/>
      <c r="C523" s="13"/>
      <c r="D523" s="13"/>
      <c r="E523" s="64"/>
      <c r="F523" s="66" t="s">
        <v>470</v>
      </c>
      <c r="G523" s="13"/>
      <c r="H523" s="66" t="s">
        <v>470</v>
      </c>
      <c r="I523" s="66" t="s">
        <v>470</v>
      </c>
      <c r="J523" s="66" t="s">
        <v>470</v>
      </c>
      <c r="K523" s="66" t="s">
        <v>470</v>
      </c>
      <c r="L523" s="66" t="s">
        <v>470</v>
      </c>
      <c r="M523" s="66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>
      <c r="A524" s="226"/>
      <c r="B524" s="13"/>
      <c r="C524" s="13"/>
      <c r="D524" s="13"/>
      <c r="E524" s="64"/>
      <c r="F524" s="66" t="s">
        <v>470</v>
      </c>
      <c r="G524" s="13"/>
      <c r="H524" s="66" t="s">
        <v>470</v>
      </c>
      <c r="I524" s="66" t="s">
        <v>470</v>
      </c>
      <c r="J524" s="66" t="s">
        <v>470</v>
      </c>
      <c r="K524" s="66" t="s">
        <v>470</v>
      </c>
      <c r="L524" s="66" t="s">
        <v>470</v>
      </c>
      <c r="M524" s="66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>
      <c r="A525" s="226"/>
      <c r="B525" s="13"/>
      <c r="C525" s="13"/>
      <c r="D525" s="13"/>
      <c r="E525" s="64"/>
      <c r="F525" s="66" t="s">
        <v>470</v>
      </c>
      <c r="G525" s="13"/>
      <c r="H525" s="66" t="s">
        <v>470</v>
      </c>
      <c r="I525" s="66" t="s">
        <v>470</v>
      </c>
      <c r="J525" s="66" t="s">
        <v>470</v>
      </c>
      <c r="K525" s="66" t="s">
        <v>470</v>
      </c>
      <c r="L525" s="66" t="s">
        <v>470</v>
      </c>
      <c r="M525" s="66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>
      <c r="A526" s="226"/>
      <c r="B526" s="13"/>
      <c r="C526" s="13"/>
      <c r="D526" s="13"/>
      <c r="E526" s="64"/>
      <c r="F526" s="66" t="s">
        <v>470</v>
      </c>
      <c r="G526" s="13"/>
      <c r="H526" s="66" t="s">
        <v>470</v>
      </c>
      <c r="I526" s="66" t="s">
        <v>470</v>
      </c>
      <c r="J526" s="66" t="s">
        <v>470</v>
      </c>
      <c r="K526" s="66" t="s">
        <v>470</v>
      </c>
      <c r="L526" s="66" t="s">
        <v>470</v>
      </c>
      <c r="M526" s="66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>
      <c r="A527" s="226"/>
      <c r="B527" s="13"/>
      <c r="C527" s="13"/>
      <c r="D527" s="13"/>
      <c r="E527" s="64"/>
      <c r="F527" s="66" t="s">
        <v>470</v>
      </c>
      <c r="G527" s="13"/>
      <c r="H527" s="66" t="s">
        <v>470</v>
      </c>
      <c r="I527" s="66" t="s">
        <v>470</v>
      </c>
      <c r="J527" s="66" t="s">
        <v>470</v>
      </c>
      <c r="K527" s="66" t="s">
        <v>470</v>
      </c>
      <c r="L527" s="66" t="s">
        <v>470</v>
      </c>
      <c r="M527" s="66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>
      <c r="A528" s="226"/>
      <c r="B528" s="13"/>
      <c r="C528" s="13"/>
      <c r="D528" s="13"/>
      <c r="E528" s="64"/>
      <c r="F528" s="66" t="s">
        <v>470</v>
      </c>
      <c r="G528" s="13"/>
      <c r="H528" s="66" t="s">
        <v>470</v>
      </c>
      <c r="I528" s="66" t="s">
        <v>470</v>
      </c>
      <c r="J528" s="66" t="s">
        <v>470</v>
      </c>
      <c r="K528" s="66" t="s">
        <v>470</v>
      </c>
      <c r="L528" s="66" t="s">
        <v>470</v>
      </c>
      <c r="M528" s="66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>
      <c r="A529" s="226"/>
      <c r="B529" s="13"/>
      <c r="C529" s="13"/>
      <c r="D529" s="13"/>
      <c r="E529" s="64"/>
      <c r="F529" s="66" t="s">
        <v>470</v>
      </c>
      <c r="G529" s="13"/>
      <c r="H529" s="66" t="s">
        <v>470</v>
      </c>
      <c r="I529" s="66" t="s">
        <v>470</v>
      </c>
      <c r="J529" s="66" t="s">
        <v>470</v>
      </c>
      <c r="K529" s="66" t="s">
        <v>470</v>
      </c>
      <c r="L529" s="66" t="s">
        <v>470</v>
      </c>
      <c r="M529" s="66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>
      <c r="A530" s="226"/>
      <c r="B530" s="13"/>
      <c r="C530" s="13"/>
      <c r="D530" s="13"/>
      <c r="E530" s="64"/>
      <c r="F530" s="66" t="s">
        <v>470</v>
      </c>
      <c r="G530" s="13"/>
      <c r="H530" s="66" t="s">
        <v>470</v>
      </c>
      <c r="I530" s="66" t="s">
        <v>470</v>
      </c>
      <c r="J530" s="66" t="s">
        <v>470</v>
      </c>
      <c r="K530" s="66" t="s">
        <v>470</v>
      </c>
      <c r="L530" s="66" t="s">
        <v>470</v>
      </c>
      <c r="M530" s="66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>
      <c r="A531" s="226"/>
      <c r="B531" s="13"/>
      <c r="C531" s="13"/>
      <c r="D531" s="13"/>
      <c r="E531" s="64"/>
      <c r="F531" s="66" t="s">
        <v>470</v>
      </c>
      <c r="G531" s="13"/>
      <c r="H531" s="66" t="s">
        <v>470</v>
      </c>
      <c r="I531" s="66" t="s">
        <v>470</v>
      </c>
      <c r="J531" s="66" t="s">
        <v>470</v>
      </c>
      <c r="K531" s="66" t="s">
        <v>470</v>
      </c>
      <c r="L531" s="66" t="s">
        <v>470</v>
      </c>
      <c r="M531" s="66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>
      <c r="A532" s="226"/>
      <c r="B532" s="13"/>
      <c r="C532" s="13"/>
      <c r="D532" s="13"/>
      <c r="E532" s="64"/>
      <c r="F532" s="66" t="s">
        <v>470</v>
      </c>
      <c r="G532" s="13"/>
      <c r="H532" s="66" t="s">
        <v>470</v>
      </c>
      <c r="I532" s="66" t="s">
        <v>470</v>
      </c>
      <c r="J532" s="66" t="s">
        <v>470</v>
      </c>
      <c r="K532" s="66" t="s">
        <v>470</v>
      </c>
      <c r="L532" s="66" t="s">
        <v>470</v>
      </c>
      <c r="M532" s="66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>
      <c r="A533" s="226"/>
      <c r="B533" s="13"/>
      <c r="C533" s="13"/>
      <c r="D533" s="13"/>
      <c r="E533" s="64"/>
      <c r="F533" s="66" t="s">
        <v>470</v>
      </c>
      <c r="G533" s="13"/>
      <c r="H533" s="66" t="s">
        <v>470</v>
      </c>
      <c r="I533" s="66" t="s">
        <v>470</v>
      </c>
      <c r="J533" s="66" t="s">
        <v>470</v>
      </c>
      <c r="K533" s="66" t="s">
        <v>470</v>
      </c>
      <c r="L533" s="66" t="s">
        <v>470</v>
      </c>
      <c r="M533" s="66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>
      <c r="A534" s="226"/>
      <c r="B534" s="13"/>
      <c r="C534" s="13"/>
      <c r="D534" s="13"/>
      <c r="E534" s="64"/>
      <c r="F534" s="66" t="s">
        <v>470</v>
      </c>
      <c r="G534" s="13"/>
      <c r="H534" s="66" t="s">
        <v>470</v>
      </c>
      <c r="I534" s="66" t="s">
        <v>470</v>
      </c>
      <c r="J534" s="66" t="s">
        <v>470</v>
      </c>
      <c r="K534" s="66" t="s">
        <v>470</v>
      </c>
      <c r="L534" s="66" t="s">
        <v>470</v>
      </c>
      <c r="M534" s="66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>
      <c r="A535" s="226"/>
      <c r="B535" s="13"/>
      <c r="C535" s="13"/>
      <c r="D535" s="13"/>
      <c r="E535" s="64"/>
      <c r="F535" s="66" t="s">
        <v>470</v>
      </c>
      <c r="G535" s="13"/>
      <c r="H535" s="66" t="s">
        <v>470</v>
      </c>
      <c r="I535" s="66" t="s">
        <v>470</v>
      </c>
      <c r="J535" s="66" t="s">
        <v>470</v>
      </c>
      <c r="K535" s="66" t="s">
        <v>470</v>
      </c>
      <c r="L535" s="66" t="s">
        <v>470</v>
      </c>
      <c r="M535" s="66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>
      <c r="A536" s="226"/>
      <c r="B536" s="13"/>
      <c r="C536" s="13"/>
      <c r="D536" s="13"/>
      <c r="E536" s="64"/>
      <c r="F536" s="66" t="s">
        <v>470</v>
      </c>
      <c r="G536" s="13"/>
      <c r="H536" s="66" t="s">
        <v>470</v>
      </c>
      <c r="I536" s="66" t="s">
        <v>470</v>
      </c>
      <c r="J536" s="66" t="s">
        <v>470</v>
      </c>
      <c r="K536" s="66" t="s">
        <v>470</v>
      </c>
      <c r="L536" s="66" t="s">
        <v>470</v>
      </c>
      <c r="M536" s="66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>
      <c r="A537" s="226"/>
      <c r="B537" s="13"/>
      <c r="C537" s="13"/>
      <c r="D537" s="13"/>
      <c r="E537" s="64"/>
      <c r="F537" s="66" t="s">
        <v>470</v>
      </c>
      <c r="G537" s="13"/>
      <c r="H537" s="66" t="s">
        <v>470</v>
      </c>
      <c r="I537" s="66" t="s">
        <v>470</v>
      </c>
      <c r="J537" s="66" t="s">
        <v>470</v>
      </c>
      <c r="K537" s="66" t="s">
        <v>470</v>
      </c>
      <c r="L537" s="66" t="s">
        <v>470</v>
      </c>
      <c r="M537" s="66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>
      <c r="A538" s="226"/>
      <c r="B538" s="13"/>
      <c r="C538" s="13"/>
      <c r="D538" s="13"/>
      <c r="E538" s="64"/>
      <c r="F538" s="66" t="s">
        <v>470</v>
      </c>
      <c r="G538" s="13"/>
      <c r="H538" s="66" t="s">
        <v>470</v>
      </c>
      <c r="I538" s="66" t="s">
        <v>470</v>
      </c>
      <c r="J538" s="66" t="s">
        <v>470</v>
      </c>
      <c r="K538" s="66" t="s">
        <v>470</v>
      </c>
      <c r="L538" s="66" t="s">
        <v>470</v>
      </c>
      <c r="M538" s="66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>
      <c r="A539" s="226"/>
      <c r="B539" s="13"/>
      <c r="C539" s="13"/>
      <c r="D539" s="13"/>
      <c r="E539" s="64"/>
      <c r="F539" s="66" t="s">
        <v>470</v>
      </c>
      <c r="G539" s="13"/>
      <c r="H539" s="66" t="s">
        <v>470</v>
      </c>
      <c r="I539" s="66" t="s">
        <v>470</v>
      </c>
      <c r="J539" s="66" t="s">
        <v>470</v>
      </c>
      <c r="K539" s="66" t="s">
        <v>470</v>
      </c>
      <c r="L539" s="66" t="s">
        <v>470</v>
      </c>
      <c r="M539" s="66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>
      <c r="A540" s="226"/>
      <c r="B540" s="13"/>
      <c r="C540" s="13"/>
      <c r="D540" s="13"/>
      <c r="E540" s="64"/>
      <c r="F540" s="66" t="s">
        <v>470</v>
      </c>
      <c r="G540" s="13"/>
      <c r="H540" s="66" t="s">
        <v>470</v>
      </c>
      <c r="I540" s="66" t="s">
        <v>470</v>
      </c>
      <c r="J540" s="66" t="s">
        <v>470</v>
      </c>
      <c r="K540" s="66" t="s">
        <v>470</v>
      </c>
      <c r="L540" s="66" t="s">
        <v>470</v>
      </c>
      <c r="M540" s="66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>
      <c r="A541" s="226"/>
      <c r="B541" s="13"/>
      <c r="C541" s="13"/>
      <c r="D541" s="13"/>
      <c r="E541" s="64"/>
      <c r="F541" s="66" t="s">
        <v>470</v>
      </c>
      <c r="G541" s="13"/>
      <c r="H541" s="66" t="s">
        <v>470</v>
      </c>
      <c r="I541" s="66" t="s">
        <v>470</v>
      </c>
      <c r="J541" s="66" t="s">
        <v>470</v>
      </c>
      <c r="K541" s="66" t="s">
        <v>470</v>
      </c>
      <c r="L541" s="66" t="s">
        <v>470</v>
      </c>
      <c r="M541" s="66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>
      <c r="A542" s="226"/>
      <c r="B542" s="13"/>
      <c r="C542" s="13"/>
      <c r="D542" s="13"/>
      <c r="E542" s="64"/>
      <c r="F542" s="66" t="s">
        <v>470</v>
      </c>
      <c r="G542" s="13"/>
      <c r="H542" s="66" t="s">
        <v>470</v>
      </c>
      <c r="I542" s="66" t="s">
        <v>470</v>
      </c>
      <c r="J542" s="66" t="s">
        <v>470</v>
      </c>
      <c r="K542" s="66" t="s">
        <v>470</v>
      </c>
      <c r="L542" s="66" t="s">
        <v>470</v>
      </c>
      <c r="M542" s="66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>
      <c r="A543" s="226"/>
      <c r="B543" s="13"/>
      <c r="C543" s="13"/>
      <c r="D543" s="13"/>
      <c r="E543" s="64"/>
      <c r="F543" s="66" t="s">
        <v>470</v>
      </c>
      <c r="G543" s="13"/>
      <c r="H543" s="66" t="s">
        <v>470</v>
      </c>
      <c r="I543" s="66" t="s">
        <v>470</v>
      </c>
      <c r="J543" s="66" t="s">
        <v>470</v>
      </c>
      <c r="K543" s="66" t="s">
        <v>470</v>
      </c>
      <c r="L543" s="66" t="s">
        <v>470</v>
      </c>
      <c r="M543" s="66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>
      <c r="A544" s="226"/>
      <c r="B544" s="13"/>
      <c r="C544" s="13"/>
      <c r="D544" s="13"/>
      <c r="E544" s="64"/>
      <c r="F544" s="66" t="s">
        <v>470</v>
      </c>
      <c r="G544" s="13"/>
      <c r="H544" s="66" t="s">
        <v>470</v>
      </c>
      <c r="I544" s="66" t="s">
        <v>470</v>
      </c>
      <c r="J544" s="66" t="s">
        <v>470</v>
      </c>
      <c r="K544" s="66" t="s">
        <v>470</v>
      </c>
      <c r="L544" s="66" t="s">
        <v>470</v>
      </c>
      <c r="M544" s="66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>
      <c r="A545" s="226"/>
      <c r="B545" s="13"/>
      <c r="C545" s="13"/>
      <c r="D545" s="13"/>
      <c r="E545" s="64"/>
      <c r="F545" s="66" t="s">
        <v>470</v>
      </c>
      <c r="G545" s="13"/>
      <c r="H545" s="66" t="s">
        <v>470</v>
      </c>
      <c r="I545" s="66" t="s">
        <v>470</v>
      </c>
      <c r="J545" s="66" t="s">
        <v>470</v>
      </c>
      <c r="K545" s="66" t="s">
        <v>470</v>
      </c>
      <c r="L545" s="66" t="s">
        <v>470</v>
      </c>
      <c r="M545" s="66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>
      <c r="A546" s="226"/>
      <c r="B546" s="13"/>
      <c r="C546" s="13"/>
      <c r="D546" s="13"/>
      <c r="E546" s="64"/>
      <c r="F546" s="66" t="s">
        <v>470</v>
      </c>
      <c r="G546" s="13"/>
      <c r="H546" s="66" t="s">
        <v>470</v>
      </c>
      <c r="I546" s="66" t="s">
        <v>470</v>
      </c>
      <c r="J546" s="66" t="s">
        <v>470</v>
      </c>
      <c r="K546" s="66" t="s">
        <v>470</v>
      </c>
      <c r="L546" s="66" t="s">
        <v>470</v>
      </c>
      <c r="M546" s="66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>
      <c r="A547" s="226"/>
      <c r="B547" s="13"/>
      <c r="C547" s="13"/>
      <c r="D547" s="13"/>
      <c r="E547" s="64"/>
      <c r="F547" s="66" t="s">
        <v>470</v>
      </c>
      <c r="G547" s="13"/>
      <c r="H547" s="66" t="s">
        <v>470</v>
      </c>
      <c r="I547" s="66" t="s">
        <v>470</v>
      </c>
      <c r="J547" s="66" t="s">
        <v>470</v>
      </c>
      <c r="K547" s="66" t="s">
        <v>470</v>
      </c>
      <c r="L547" s="66" t="s">
        <v>470</v>
      </c>
      <c r="M547" s="66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>
      <c r="A548" s="226"/>
      <c r="B548" s="13"/>
      <c r="C548" s="13"/>
      <c r="D548" s="13"/>
      <c r="E548" s="64"/>
      <c r="F548" s="66" t="s">
        <v>470</v>
      </c>
      <c r="G548" s="13"/>
      <c r="H548" s="66" t="s">
        <v>470</v>
      </c>
      <c r="I548" s="66" t="s">
        <v>470</v>
      </c>
      <c r="J548" s="66" t="s">
        <v>470</v>
      </c>
      <c r="K548" s="66" t="s">
        <v>470</v>
      </c>
      <c r="L548" s="66" t="s">
        <v>470</v>
      </c>
      <c r="M548" s="66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>
      <c r="A549" s="226"/>
      <c r="B549" s="13"/>
      <c r="C549" s="13"/>
      <c r="D549" s="13"/>
      <c r="E549" s="64"/>
      <c r="F549" s="66" t="s">
        <v>470</v>
      </c>
      <c r="G549" s="13"/>
      <c r="H549" s="66" t="s">
        <v>470</v>
      </c>
      <c r="I549" s="66" t="s">
        <v>470</v>
      </c>
      <c r="J549" s="66" t="s">
        <v>470</v>
      </c>
      <c r="K549" s="66" t="s">
        <v>470</v>
      </c>
      <c r="L549" s="66" t="s">
        <v>470</v>
      </c>
      <c r="M549" s="66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>
      <c r="A550" s="226"/>
      <c r="B550" s="13"/>
      <c r="C550" s="13"/>
      <c r="D550" s="13"/>
      <c r="E550" s="64"/>
      <c r="F550" s="66" t="s">
        <v>470</v>
      </c>
      <c r="G550" s="13"/>
      <c r="H550" s="66" t="s">
        <v>470</v>
      </c>
      <c r="I550" s="66" t="s">
        <v>470</v>
      </c>
      <c r="J550" s="66" t="s">
        <v>470</v>
      </c>
      <c r="K550" s="66" t="s">
        <v>470</v>
      </c>
      <c r="L550" s="66" t="s">
        <v>470</v>
      </c>
      <c r="M550" s="66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>
      <c r="A551" s="226"/>
      <c r="B551" s="13"/>
      <c r="C551" s="13"/>
      <c r="D551" s="13"/>
      <c r="E551" s="64"/>
      <c r="F551" s="66" t="s">
        <v>470</v>
      </c>
      <c r="G551" s="13"/>
      <c r="H551" s="66" t="s">
        <v>470</v>
      </c>
      <c r="I551" s="66" t="s">
        <v>470</v>
      </c>
      <c r="J551" s="66" t="s">
        <v>470</v>
      </c>
      <c r="K551" s="66" t="s">
        <v>470</v>
      </c>
      <c r="L551" s="66" t="s">
        <v>470</v>
      </c>
      <c r="M551" s="66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>
      <c r="A552" s="226"/>
      <c r="B552" s="13"/>
      <c r="C552" s="13"/>
      <c r="D552" s="13"/>
      <c r="E552" s="64"/>
      <c r="F552" s="66" t="s">
        <v>470</v>
      </c>
      <c r="G552" s="13"/>
      <c r="H552" s="66" t="s">
        <v>470</v>
      </c>
      <c r="I552" s="66" t="s">
        <v>470</v>
      </c>
      <c r="J552" s="66" t="s">
        <v>470</v>
      </c>
      <c r="K552" s="66" t="s">
        <v>470</v>
      </c>
      <c r="L552" s="66" t="s">
        <v>470</v>
      </c>
      <c r="M552" s="66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>
      <c r="A553" s="226"/>
      <c r="B553" s="13"/>
      <c r="C553" s="13"/>
      <c r="D553" s="13"/>
      <c r="E553" s="64"/>
      <c r="F553" s="66" t="s">
        <v>470</v>
      </c>
      <c r="G553" s="13"/>
      <c r="H553" s="66" t="s">
        <v>470</v>
      </c>
      <c r="I553" s="66" t="s">
        <v>470</v>
      </c>
      <c r="J553" s="66" t="s">
        <v>470</v>
      </c>
      <c r="K553" s="66" t="s">
        <v>470</v>
      </c>
      <c r="L553" s="66" t="s">
        <v>470</v>
      </c>
      <c r="M553" s="66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>
      <c r="A554" s="226"/>
      <c r="B554" s="13"/>
      <c r="C554" s="13"/>
      <c r="D554" s="13"/>
      <c r="E554" s="64"/>
      <c r="F554" s="66" t="s">
        <v>470</v>
      </c>
      <c r="G554" s="13"/>
      <c r="H554" s="66" t="s">
        <v>470</v>
      </c>
      <c r="I554" s="66" t="s">
        <v>470</v>
      </c>
      <c r="J554" s="66" t="s">
        <v>470</v>
      </c>
      <c r="K554" s="66" t="s">
        <v>470</v>
      </c>
      <c r="L554" s="66" t="s">
        <v>470</v>
      </c>
      <c r="M554" s="66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>
      <c r="A555" s="226"/>
      <c r="B555" s="13"/>
      <c r="C555" s="13"/>
      <c r="D555" s="13"/>
      <c r="E555" s="64"/>
      <c r="F555" s="66" t="s">
        <v>470</v>
      </c>
      <c r="G555" s="13"/>
      <c r="H555" s="66" t="s">
        <v>470</v>
      </c>
      <c r="I555" s="66" t="s">
        <v>470</v>
      </c>
      <c r="J555" s="66" t="s">
        <v>470</v>
      </c>
      <c r="K555" s="66" t="s">
        <v>470</v>
      </c>
      <c r="L555" s="66" t="s">
        <v>470</v>
      </c>
      <c r="M555" s="66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>
      <c r="A556" s="226"/>
      <c r="B556" s="13"/>
      <c r="C556" s="13"/>
      <c r="D556" s="13"/>
      <c r="E556" s="64"/>
      <c r="F556" s="66" t="s">
        <v>470</v>
      </c>
      <c r="G556" s="13"/>
      <c r="H556" s="66" t="s">
        <v>470</v>
      </c>
      <c r="I556" s="66" t="s">
        <v>470</v>
      </c>
      <c r="J556" s="66" t="s">
        <v>470</v>
      </c>
      <c r="K556" s="66" t="s">
        <v>470</v>
      </c>
      <c r="L556" s="66" t="s">
        <v>470</v>
      </c>
      <c r="M556" s="66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>
      <c r="A557" s="226"/>
      <c r="B557" s="13"/>
      <c r="C557" s="13"/>
      <c r="D557" s="13"/>
      <c r="E557" s="64"/>
      <c r="F557" s="66" t="s">
        <v>470</v>
      </c>
      <c r="G557" s="13"/>
      <c r="H557" s="66" t="s">
        <v>470</v>
      </c>
      <c r="I557" s="66" t="s">
        <v>470</v>
      </c>
      <c r="J557" s="66" t="s">
        <v>470</v>
      </c>
      <c r="K557" s="66" t="s">
        <v>470</v>
      </c>
      <c r="L557" s="66" t="s">
        <v>470</v>
      </c>
      <c r="M557" s="66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>
      <c r="A558" s="226"/>
      <c r="B558" s="13"/>
      <c r="C558" s="13"/>
      <c r="D558" s="13"/>
      <c r="E558" s="64"/>
      <c r="F558" s="66" t="s">
        <v>470</v>
      </c>
      <c r="G558" s="13"/>
      <c r="H558" s="66" t="s">
        <v>470</v>
      </c>
      <c r="I558" s="66" t="s">
        <v>470</v>
      </c>
      <c r="J558" s="66" t="s">
        <v>470</v>
      </c>
      <c r="K558" s="66" t="s">
        <v>470</v>
      </c>
      <c r="L558" s="66" t="s">
        <v>470</v>
      </c>
      <c r="M558" s="66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>
      <c r="A559" s="226"/>
      <c r="B559" s="13"/>
      <c r="C559" s="13"/>
      <c r="D559" s="13"/>
      <c r="E559" s="64"/>
      <c r="F559" s="66" t="s">
        <v>470</v>
      </c>
      <c r="G559" s="13"/>
      <c r="H559" s="66" t="s">
        <v>470</v>
      </c>
      <c r="I559" s="66" t="s">
        <v>470</v>
      </c>
      <c r="J559" s="66" t="s">
        <v>470</v>
      </c>
      <c r="K559" s="66" t="s">
        <v>470</v>
      </c>
      <c r="L559" s="66" t="s">
        <v>470</v>
      </c>
      <c r="M559" s="66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>
      <c r="A560" s="226"/>
      <c r="B560" s="13"/>
      <c r="C560" s="13"/>
      <c r="D560" s="13"/>
      <c r="E560" s="64"/>
      <c r="F560" s="66" t="s">
        <v>470</v>
      </c>
      <c r="G560" s="13"/>
      <c r="H560" s="66" t="s">
        <v>470</v>
      </c>
      <c r="I560" s="66" t="s">
        <v>470</v>
      </c>
      <c r="J560" s="66" t="s">
        <v>470</v>
      </c>
      <c r="K560" s="66" t="s">
        <v>470</v>
      </c>
      <c r="L560" s="66" t="s">
        <v>470</v>
      </c>
      <c r="M560" s="66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>
      <c r="A561" s="226"/>
      <c r="B561" s="13"/>
      <c r="C561" s="13"/>
      <c r="D561" s="13"/>
      <c r="E561" s="64"/>
      <c r="F561" s="66" t="s">
        <v>470</v>
      </c>
      <c r="G561" s="13"/>
      <c r="H561" s="66" t="s">
        <v>470</v>
      </c>
      <c r="I561" s="66" t="s">
        <v>470</v>
      </c>
      <c r="J561" s="66" t="s">
        <v>470</v>
      </c>
      <c r="K561" s="66" t="s">
        <v>470</v>
      </c>
      <c r="L561" s="66" t="s">
        <v>470</v>
      </c>
      <c r="M561" s="66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>
      <c r="A562" s="226"/>
      <c r="B562" s="13"/>
      <c r="C562" s="13"/>
      <c r="D562" s="13"/>
      <c r="E562" s="64"/>
      <c r="F562" s="66" t="s">
        <v>470</v>
      </c>
      <c r="G562" s="13"/>
      <c r="H562" s="66" t="s">
        <v>470</v>
      </c>
      <c r="I562" s="66" t="s">
        <v>470</v>
      </c>
      <c r="J562" s="66" t="s">
        <v>470</v>
      </c>
      <c r="K562" s="66" t="s">
        <v>470</v>
      </c>
      <c r="L562" s="66" t="s">
        <v>470</v>
      </c>
      <c r="M562" s="66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>
      <c r="A563" s="226"/>
      <c r="B563" s="13"/>
      <c r="C563" s="13"/>
      <c r="D563" s="13"/>
      <c r="E563" s="64"/>
      <c r="F563" s="66" t="s">
        <v>470</v>
      </c>
      <c r="G563" s="13"/>
      <c r="H563" s="66" t="s">
        <v>470</v>
      </c>
      <c r="I563" s="66" t="s">
        <v>470</v>
      </c>
      <c r="J563" s="66" t="s">
        <v>470</v>
      </c>
      <c r="K563" s="66" t="s">
        <v>470</v>
      </c>
      <c r="L563" s="66" t="s">
        <v>470</v>
      </c>
      <c r="M563" s="66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>
      <c r="A564" s="226"/>
      <c r="B564" s="13"/>
      <c r="C564" s="13"/>
      <c r="D564" s="13"/>
      <c r="E564" s="64"/>
      <c r="F564" s="66" t="s">
        <v>470</v>
      </c>
      <c r="G564" s="13"/>
      <c r="H564" s="66" t="s">
        <v>470</v>
      </c>
      <c r="I564" s="66" t="s">
        <v>470</v>
      </c>
      <c r="J564" s="66" t="s">
        <v>470</v>
      </c>
      <c r="K564" s="66" t="s">
        <v>470</v>
      </c>
      <c r="L564" s="66" t="s">
        <v>470</v>
      </c>
      <c r="M564" s="66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>
      <c r="A565" s="226"/>
      <c r="B565" s="13"/>
      <c r="C565" s="13"/>
      <c r="D565" s="13"/>
      <c r="E565" s="64"/>
      <c r="F565" s="66" t="s">
        <v>470</v>
      </c>
      <c r="G565" s="13"/>
      <c r="H565" s="66" t="s">
        <v>470</v>
      </c>
      <c r="I565" s="66" t="s">
        <v>470</v>
      </c>
      <c r="J565" s="66" t="s">
        <v>470</v>
      </c>
      <c r="K565" s="66" t="s">
        <v>470</v>
      </c>
      <c r="L565" s="66" t="s">
        <v>470</v>
      </c>
      <c r="M565" s="66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>
      <c r="A566" s="226"/>
      <c r="B566" s="13"/>
      <c r="C566" s="13"/>
      <c r="D566" s="13"/>
      <c r="E566" s="64"/>
      <c r="F566" s="66" t="s">
        <v>470</v>
      </c>
      <c r="G566" s="13"/>
      <c r="H566" s="66" t="s">
        <v>470</v>
      </c>
      <c r="I566" s="66" t="s">
        <v>470</v>
      </c>
      <c r="J566" s="66" t="s">
        <v>470</v>
      </c>
      <c r="K566" s="66" t="s">
        <v>470</v>
      </c>
      <c r="L566" s="66" t="s">
        <v>470</v>
      </c>
      <c r="M566" s="66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>
      <c r="A567" s="226"/>
      <c r="B567" s="13"/>
      <c r="C567" s="13"/>
      <c r="D567" s="13"/>
      <c r="E567" s="64"/>
      <c r="F567" s="66" t="s">
        <v>470</v>
      </c>
      <c r="G567" s="13"/>
      <c r="H567" s="66" t="s">
        <v>470</v>
      </c>
      <c r="I567" s="66" t="s">
        <v>470</v>
      </c>
      <c r="J567" s="66" t="s">
        <v>470</v>
      </c>
      <c r="K567" s="66" t="s">
        <v>470</v>
      </c>
      <c r="L567" s="66" t="s">
        <v>470</v>
      </c>
      <c r="M567" s="66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>
      <c r="A568" s="226"/>
      <c r="B568" s="13"/>
      <c r="C568" s="13"/>
      <c r="D568" s="13"/>
      <c r="E568" s="64"/>
      <c r="F568" s="66" t="s">
        <v>470</v>
      </c>
      <c r="G568" s="13"/>
      <c r="H568" s="66" t="s">
        <v>470</v>
      </c>
      <c r="I568" s="66" t="s">
        <v>470</v>
      </c>
      <c r="J568" s="66" t="s">
        <v>470</v>
      </c>
      <c r="K568" s="66" t="s">
        <v>470</v>
      </c>
      <c r="L568" s="66" t="s">
        <v>470</v>
      </c>
      <c r="M568" s="66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>
      <c r="A569" s="226"/>
      <c r="B569" s="13"/>
      <c r="C569" s="13"/>
      <c r="D569" s="13"/>
      <c r="E569" s="64"/>
      <c r="F569" s="66" t="s">
        <v>470</v>
      </c>
      <c r="G569" s="13"/>
      <c r="H569" s="66" t="s">
        <v>470</v>
      </c>
      <c r="I569" s="66" t="s">
        <v>470</v>
      </c>
      <c r="J569" s="66" t="s">
        <v>470</v>
      </c>
      <c r="K569" s="66" t="s">
        <v>470</v>
      </c>
      <c r="L569" s="66" t="s">
        <v>470</v>
      </c>
      <c r="M569" s="66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>
      <c r="A570" s="226"/>
      <c r="B570" s="13"/>
      <c r="C570" s="13"/>
      <c r="D570" s="13"/>
      <c r="E570" s="64"/>
      <c r="F570" s="66" t="s">
        <v>470</v>
      </c>
      <c r="G570" s="13"/>
      <c r="H570" s="66" t="s">
        <v>470</v>
      </c>
      <c r="I570" s="66" t="s">
        <v>470</v>
      </c>
      <c r="J570" s="66" t="s">
        <v>470</v>
      </c>
      <c r="K570" s="66" t="s">
        <v>470</v>
      </c>
      <c r="L570" s="66" t="s">
        <v>470</v>
      </c>
      <c r="M570" s="66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>
      <c r="A571" s="226"/>
      <c r="B571" s="13"/>
      <c r="C571" s="13"/>
      <c r="D571" s="13"/>
      <c r="E571" s="64"/>
      <c r="F571" s="66" t="s">
        <v>470</v>
      </c>
      <c r="G571" s="13"/>
      <c r="H571" s="66" t="s">
        <v>470</v>
      </c>
      <c r="I571" s="66" t="s">
        <v>470</v>
      </c>
      <c r="J571" s="66" t="s">
        <v>470</v>
      </c>
      <c r="K571" s="66" t="s">
        <v>470</v>
      </c>
      <c r="L571" s="66" t="s">
        <v>470</v>
      </c>
      <c r="M571" s="66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>
      <c r="A572" s="226"/>
      <c r="B572" s="13"/>
      <c r="C572" s="13"/>
      <c r="D572" s="13"/>
      <c r="E572" s="64"/>
      <c r="F572" s="66" t="s">
        <v>470</v>
      </c>
      <c r="G572" s="13"/>
      <c r="H572" s="66" t="s">
        <v>470</v>
      </c>
      <c r="I572" s="66" t="s">
        <v>470</v>
      </c>
      <c r="J572" s="66" t="s">
        <v>470</v>
      </c>
      <c r="K572" s="66" t="s">
        <v>470</v>
      </c>
      <c r="L572" s="66" t="s">
        <v>470</v>
      </c>
      <c r="M572" s="66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>
      <c r="A573" s="226"/>
      <c r="B573" s="13"/>
      <c r="C573" s="13"/>
      <c r="D573" s="13"/>
      <c r="E573" s="64"/>
      <c r="F573" s="66" t="s">
        <v>470</v>
      </c>
      <c r="G573" s="13"/>
      <c r="H573" s="66" t="s">
        <v>470</v>
      </c>
      <c r="I573" s="66" t="s">
        <v>470</v>
      </c>
      <c r="J573" s="66" t="s">
        <v>470</v>
      </c>
      <c r="K573" s="66" t="s">
        <v>470</v>
      </c>
      <c r="L573" s="66" t="s">
        <v>470</v>
      </c>
      <c r="M573" s="66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>
      <c r="A574" s="226"/>
      <c r="B574" s="13"/>
      <c r="C574" s="13"/>
      <c r="D574" s="13"/>
      <c r="E574" s="64"/>
      <c r="F574" s="66" t="s">
        <v>470</v>
      </c>
      <c r="G574" s="13"/>
      <c r="H574" s="66" t="s">
        <v>470</v>
      </c>
      <c r="I574" s="66" t="s">
        <v>470</v>
      </c>
      <c r="J574" s="66" t="s">
        <v>470</v>
      </c>
      <c r="K574" s="66" t="s">
        <v>470</v>
      </c>
      <c r="L574" s="66" t="s">
        <v>470</v>
      </c>
      <c r="M574" s="66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>
      <c r="A575" s="226"/>
      <c r="B575" s="13"/>
      <c r="C575" s="13"/>
      <c r="D575" s="13"/>
      <c r="E575" s="64"/>
      <c r="F575" s="66" t="s">
        <v>470</v>
      </c>
      <c r="G575" s="13"/>
      <c r="H575" s="66" t="s">
        <v>470</v>
      </c>
      <c r="I575" s="66" t="s">
        <v>470</v>
      </c>
      <c r="J575" s="66" t="s">
        <v>470</v>
      </c>
      <c r="K575" s="66" t="s">
        <v>470</v>
      </c>
      <c r="L575" s="66" t="s">
        <v>470</v>
      </c>
      <c r="M575" s="66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>
      <c r="A576" s="226"/>
      <c r="B576" s="13"/>
      <c r="C576" s="13"/>
      <c r="D576" s="13"/>
      <c r="E576" s="64"/>
      <c r="F576" s="66" t="s">
        <v>470</v>
      </c>
      <c r="G576" s="13"/>
      <c r="H576" s="66" t="s">
        <v>470</v>
      </c>
      <c r="I576" s="66" t="s">
        <v>470</v>
      </c>
      <c r="J576" s="66" t="s">
        <v>470</v>
      </c>
      <c r="K576" s="66" t="s">
        <v>470</v>
      </c>
      <c r="L576" s="66" t="s">
        <v>470</v>
      </c>
      <c r="M576" s="66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>
      <c r="A577" s="226"/>
      <c r="B577" s="13"/>
      <c r="C577" s="13"/>
      <c r="D577" s="13"/>
      <c r="E577" s="64"/>
      <c r="F577" s="66" t="s">
        <v>470</v>
      </c>
      <c r="G577" s="13"/>
      <c r="H577" s="66" t="s">
        <v>470</v>
      </c>
      <c r="I577" s="66" t="s">
        <v>470</v>
      </c>
      <c r="J577" s="66" t="s">
        <v>470</v>
      </c>
      <c r="K577" s="66" t="s">
        <v>470</v>
      </c>
      <c r="L577" s="66" t="s">
        <v>470</v>
      </c>
      <c r="M577" s="66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>
      <c r="A578" s="226"/>
      <c r="B578" s="13"/>
      <c r="C578" s="13"/>
      <c r="D578" s="13"/>
      <c r="E578" s="64"/>
      <c r="F578" s="66" t="s">
        <v>470</v>
      </c>
      <c r="G578" s="13"/>
      <c r="H578" s="66" t="s">
        <v>470</v>
      </c>
      <c r="I578" s="66" t="s">
        <v>470</v>
      </c>
      <c r="J578" s="66" t="s">
        <v>470</v>
      </c>
      <c r="K578" s="66" t="s">
        <v>470</v>
      </c>
      <c r="L578" s="66" t="s">
        <v>470</v>
      </c>
      <c r="M578" s="66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>
      <c r="A579" s="226"/>
      <c r="B579" s="13"/>
      <c r="C579" s="13"/>
      <c r="D579" s="13"/>
      <c r="E579" s="64"/>
      <c r="F579" s="66" t="s">
        <v>470</v>
      </c>
      <c r="G579" s="13"/>
      <c r="H579" s="66" t="s">
        <v>470</v>
      </c>
      <c r="I579" s="66" t="s">
        <v>470</v>
      </c>
      <c r="J579" s="66" t="s">
        <v>470</v>
      </c>
      <c r="K579" s="66" t="s">
        <v>470</v>
      </c>
      <c r="L579" s="66" t="s">
        <v>470</v>
      </c>
      <c r="M579" s="66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>
      <c r="A580" s="226"/>
      <c r="B580" s="13"/>
      <c r="C580" s="13"/>
      <c r="D580" s="13"/>
      <c r="E580" s="64"/>
      <c r="F580" s="66" t="s">
        <v>470</v>
      </c>
      <c r="G580" s="13"/>
      <c r="H580" s="66" t="s">
        <v>470</v>
      </c>
      <c r="I580" s="66" t="s">
        <v>470</v>
      </c>
      <c r="J580" s="66" t="s">
        <v>470</v>
      </c>
      <c r="K580" s="66" t="s">
        <v>470</v>
      </c>
      <c r="L580" s="66" t="s">
        <v>470</v>
      </c>
      <c r="M580" s="66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>
      <c r="A581" s="226"/>
      <c r="B581" s="13"/>
      <c r="C581" s="13"/>
      <c r="D581" s="13"/>
      <c r="E581" s="64"/>
      <c r="F581" s="66" t="s">
        <v>470</v>
      </c>
      <c r="G581" s="13"/>
      <c r="H581" s="66" t="s">
        <v>470</v>
      </c>
      <c r="I581" s="66" t="s">
        <v>470</v>
      </c>
      <c r="J581" s="66" t="s">
        <v>470</v>
      </c>
      <c r="K581" s="66" t="s">
        <v>470</v>
      </c>
      <c r="L581" s="66" t="s">
        <v>470</v>
      </c>
      <c r="M581" s="66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>
      <c r="A582" s="226"/>
      <c r="B582" s="13"/>
      <c r="C582" s="13"/>
      <c r="D582" s="13"/>
      <c r="E582" s="64"/>
      <c r="F582" s="66" t="s">
        <v>470</v>
      </c>
      <c r="G582" s="13"/>
      <c r="H582" s="66" t="s">
        <v>470</v>
      </c>
      <c r="I582" s="66" t="s">
        <v>470</v>
      </c>
      <c r="J582" s="66" t="s">
        <v>470</v>
      </c>
      <c r="K582" s="66" t="s">
        <v>470</v>
      </c>
      <c r="L582" s="66" t="s">
        <v>470</v>
      </c>
      <c r="M582" s="66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>
      <c r="A583" s="226"/>
      <c r="B583" s="13"/>
      <c r="C583" s="13"/>
      <c r="D583" s="13"/>
      <c r="E583" s="64"/>
      <c r="F583" s="66" t="s">
        <v>470</v>
      </c>
      <c r="G583" s="13"/>
      <c r="H583" s="66" t="s">
        <v>470</v>
      </c>
      <c r="I583" s="66" t="s">
        <v>470</v>
      </c>
      <c r="J583" s="66" t="s">
        <v>470</v>
      </c>
      <c r="K583" s="66" t="s">
        <v>470</v>
      </c>
      <c r="L583" s="66" t="s">
        <v>470</v>
      </c>
      <c r="M583" s="66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>
      <c r="A584" s="226"/>
      <c r="B584" s="13"/>
      <c r="C584" s="13"/>
      <c r="D584" s="13"/>
      <c r="E584" s="64"/>
      <c r="F584" s="66" t="s">
        <v>470</v>
      </c>
      <c r="G584" s="13"/>
      <c r="H584" s="66" t="s">
        <v>470</v>
      </c>
      <c r="I584" s="66" t="s">
        <v>470</v>
      </c>
      <c r="J584" s="66" t="s">
        <v>470</v>
      </c>
      <c r="K584" s="66" t="s">
        <v>470</v>
      </c>
      <c r="L584" s="66" t="s">
        <v>470</v>
      </c>
      <c r="M584" s="66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>
      <c r="A585" s="226"/>
      <c r="B585" s="13"/>
      <c r="C585" s="13"/>
      <c r="D585" s="13"/>
      <c r="E585" s="64"/>
      <c r="F585" s="66" t="s">
        <v>470</v>
      </c>
      <c r="G585" s="13"/>
      <c r="H585" s="66" t="s">
        <v>470</v>
      </c>
      <c r="I585" s="66" t="s">
        <v>470</v>
      </c>
      <c r="J585" s="66" t="s">
        <v>470</v>
      </c>
      <c r="K585" s="66" t="s">
        <v>470</v>
      </c>
      <c r="L585" s="66" t="s">
        <v>470</v>
      </c>
      <c r="M585" s="66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>
      <c r="A586" s="226"/>
      <c r="B586" s="13"/>
      <c r="C586" s="13"/>
      <c r="D586" s="13"/>
      <c r="E586" s="64"/>
      <c r="F586" s="66" t="s">
        <v>470</v>
      </c>
      <c r="G586" s="13"/>
      <c r="H586" s="66" t="s">
        <v>470</v>
      </c>
      <c r="I586" s="66" t="s">
        <v>470</v>
      </c>
      <c r="J586" s="66" t="s">
        <v>470</v>
      </c>
      <c r="K586" s="66" t="s">
        <v>470</v>
      </c>
      <c r="L586" s="66" t="s">
        <v>470</v>
      </c>
      <c r="M586" s="66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>
      <c r="A587" s="226"/>
      <c r="B587" s="13"/>
      <c r="C587" s="13"/>
      <c r="D587" s="13"/>
      <c r="E587" s="64"/>
      <c r="F587" s="66" t="s">
        <v>470</v>
      </c>
      <c r="G587" s="13"/>
      <c r="H587" s="66" t="s">
        <v>470</v>
      </c>
      <c r="I587" s="66" t="s">
        <v>470</v>
      </c>
      <c r="J587" s="66" t="s">
        <v>470</v>
      </c>
      <c r="K587" s="66" t="s">
        <v>470</v>
      </c>
      <c r="L587" s="66" t="s">
        <v>470</v>
      </c>
      <c r="M587" s="66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>
      <c r="A588" s="226"/>
      <c r="B588" s="13"/>
      <c r="C588" s="13"/>
      <c r="D588" s="13"/>
      <c r="E588" s="64"/>
      <c r="F588" s="66" t="s">
        <v>470</v>
      </c>
      <c r="G588" s="13"/>
      <c r="H588" s="66" t="s">
        <v>470</v>
      </c>
      <c r="I588" s="66" t="s">
        <v>470</v>
      </c>
      <c r="J588" s="66" t="s">
        <v>470</v>
      </c>
      <c r="K588" s="66" t="s">
        <v>470</v>
      </c>
      <c r="L588" s="66" t="s">
        <v>470</v>
      </c>
      <c r="M588" s="66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>
      <c r="A589" s="226"/>
      <c r="B589" s="13"/>
      <c r="C589" s="13"/>
      <c r="D589" s="13"/>
      <c r="E589" s="64"/>
      <c r="F589" s="66" t="s">
        <v>470</v>
      </c>
      <c r="G589" s="13"/>
      <c r="H589" s="66" t="s">
        <v>470</v>
      </c>
      <c r="I589" s="66" t="s">
        <v>470</v>
      </c>
      <c r="J589" s="66" t="s">
        <v>470</v>
      </c>
      <c r="K589" s="66" t="s">
        <v>470</v>
      </c>
      <c r="L589" s="66" t="s">
        <v>470</v>
      </c>
      <c r="M589" s="66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>
      <c r="A590" s="226"/>
      <c r="B590" s="13"/>
      <c r="C590" s="13"/>
      <c r="D590" s="13"/>
      <c r="E590" s="64"/>
      <c r="F590" s="66" t="s">
        <v>470</v>
      </c>
      <c r="G590" s="13"/>
      <c r="H590" s="66" t="s">
        <v>470</v>
      </c>
      <c r="I590" s="66" t="s">
        <v>470</v>
      </c>
      <c r="J590" s="66" t="s">
        <v>470</v>
      </c>
      <c r="K590" s="66" t="s">
        <v>470</v>
      </c>
      <c r="L590" s="66" t="s">
        <v>470</v>
      </c>
      <c r="M590" s="66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>
      <c r="A591" s="226"/>
      <c r="B591" s="13"/>
      <c r="C591" s="13"/>
      <c r="D591" s="13"/>
      <c r="E591" s="64"/>
      <c r="F591" s="66" t="s">
        <v>470</v>
      </c>
      <c r="G591" s="13"/>
      <c r="H591" s="66" t="s">
        <v>470</v>
      </c>
      <c r="I591" s="66" t="s">
        <v>470</v>
      </c>
      <c r="J591" s="66" t="s">
        <v>470</v>
      </c>
      <c r="K591" s="66" t="s">
        <v>470</v>
      </c>
      <c r="L591" s="66" t="s">
        <v>470</v>
      </c>
      <c r="M591" s="66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>
      <c r="A592" s="226"/>
      <c r="B592" s="13"/>
      <c r="C592" s="13"/>
      <c r="D592" s="13"/>
      <c r="E592" s="64"/>
      <c r="F592" s="66" t="s">
        <v>470</v>
      </c>
      <c r="G592" s="13"/>
      <c r="H592" s="66" t="s">
        <v>470</v>
      </c>
      <c r="I592" s="66" t="s">
        <v>470</v>
      </c>
      <c r="J592" s="66" t="s">
        <v>470</v>
      </c>
      <c r="K592" s="66" t="s">
        <v>470</v>
      </c>
      <c r="L592" s="66" t="s">
        <v>470</v>
      </c>
      <c r="M592" s="66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>
      <c r="A593" s="226"/>
      <c r="B593" s="13"/>
      <c r="C593" s="13"/>
      <c r="D593" s="13"/>
      <c r="E593" s="64"/>
      <c r="F593" s="66" t="s">
        <v>470</v>
      </c>
      <c r="G593" s="13"/>
      <c r="H593" s="66" t="s">
        <v>470</v>
      </c>
      <c r="I593" s="66" t="s">
        <v>470</v>
      </c>
      <c r="J593" s="66" t="s">
        <v>470</v>
      </c>
      <c r="K593" s="66" t="s">
        <v>470</v>
      </c>
      <c r="L593" s="66" t="s">
        <v>470</v>
      </c>
      <c r="M593" s="66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>
      <c r="A594" s="226"/>
      <c r="B594" s="13"/>
      <c r="C594" s="13"/>
      <c r="D594" s="13"/>
      <c r="E594" s="64"/>
      <c r="F594" s="66" t="s">
        <v>470</v>
      </c>
      <c r="G594" s="13"/>
      <c r="H594" s="66" t="s">
        <v>470</v>
      </c>
      <c r="I594" s="66" t="s">
        <v>470</v>
      </c>
      <c r="J594" s="66" t="s">
        <v>470</v>
      </c>
      <c r="K594" s="66" t="s">
        <v>470</v>
      </c>
      <c r="L594" s="66" t="s">
        <v>470</v>
      </c>
      <c r="M594" s="66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>
      <c r="A595" s="226"/>
      <c r="B595" s="13"/>
      <c r="C595" s="13"/>
      <c r="D595" s="13"/>
      <c r="E595" s="64"/>
      <c r="F595" s="66" t="s">
        <v>470</v>
      </c>
      <c r="G595" s="13"/>
      <c r="H595" s="66" t="s">
        <v>470</v>
      </c>
      <c r="I595" s="66" t="s">
        <v>470</v>
      </c>
      <c r="J595" s="66" t="s">
        <v>470</v>
      </c>
      <c r="K595" s="66" t="s">
        <v>470</v>
      </c>
      <c r="L595" s="66" t="s">
        <v>470</v>
      </c>
      <c r="M595" s="66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>
      <c r="A596" s="226"/>
      <c r="B596" s="13"/>
      <c r="C596" s="13"/>
      <c r="D596" s="13"/>
      <c r="E596" s="64"/>
      <c r="F596" s="66" t="s">
        <v>470</v>
      </c>
      <c r="G596" s="13"/>
      <c r="H596" s="66" t="s">
        <v>470</v>
      </c>
      <c r="I596" s="66" t="s">
        <v>470</v>
      </c>
      <c r="J596" s="66" t="s">
        <v>470</v>
      </c>
      <c r="K596" s="66" t="s">
        <v>470</v>
      </c>
      <c r="L596" s="66" t="s">
        <v>470</v>
      </c>
      <c r="M596" s="66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>
      <c r="A597" s="226"/>
      <c r="B597" s="13"/>
      <c r="C597" s="13"/>
      <c r="D597" s="13"/>
      <c r="E597" s="64"/>
      <c r="F597" s="66" t="s">
        <v>470</v>
      </c>
      <c r="G597" s="13"/>
      <c r="H597" s="66" t="s">
        <v>470</v>
      </c>
      <c r="I597" s="66" t="s">
        <v>470</v>
      </c>
      <c r="J597" s="66" t="s">
        <v>470</v>
      </c>
      <c r="K597" s="66" t="s">
        <v>470</v>
      </c>
      <c r="L597" s="66" t="s">
        <v>470</v>
      </c>
      <c r="M597" s="66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>
      <c r="A598" s="226"/>
      <c r="B598" s="13"/>
      <c r="C598" s="13"/>
      <c r="D598" s="13"/>
      <c r="E598" s="64"/>
      <c r="F598" s="66" t="s">
        <v>470</v>
      </c>
      <c r="G598" s="13"/>
      <c r="H598" s="66" t="s">
        <v>470</v>
      </c>
      <c r="I598" s="66" t="s">
        <v>470</v>
      </c>
      <c r="J598" s="66" t="s">
        <v>470</v>
      </c>
      <c r="K598" s="66" t="s">
        <v>470</v>
      </c>
      <c r="L598" s="66" t="s">
        <v>470</v>
      </c>
      <c r="M598" s="66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>
      <c r="A599" s="226"/>
      <c r="B599" s="13"/>
      <c r="C599" s="13"/>
      <c r="D599" s="13"/>
      <c r="E599" s="64"/>
      <c r="F599" s="66" t="s">
        <v>470</v>
      </c>
      <c r="G599" s="13"/>
      <c r="H599" s="66" t="s">
        <v>470</v>
      </c>
      <c r="I599" s="66" t="s">
        <v>470</v>
      </c>
      <c r="J599" s="66" t="s">
        <v>470</v>
      </c>
      <c r="K599" s="66" t="s">
        <v>470</v>
      </c>
      <c r="L599" s="66" t="s">
        <v>470</v>
      </c>
      <c r="M599" s="66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>
      <c r="A600" s="226"/>
      <c r="B600" s="13"/>
      <c r="C600" s="13"/>
      <c r="D600" s="13"/>
      <c r="E600" s="64"/>
      <c r="F600" s="66" t="s">
        <v>470</v>
      </c>
      <c r="G600" s="13"/>
      <c r="H600" s="66" t="s">
        <v>470</v>
      </c>
      <c r="I600" s="66" t="s">
        <v>470</v>
      </c>
      <c r="J600" s="66" t="s">
        <v>470</v>
      </c>
      <c r="K600" s="66" t="s">
        <v>470</v>
      </c>
      <c r="L600" s="66" t="s">
        <v>470</v>
      </c>
      <c r="M600" s="66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>
      <c r="A601" s="226"/>
      <c r="B601" s="13"/>
      <c r="C601" s="13"/>
      <c r="D601" s="13"/>
      <c r="E601" s="64"/>
      <c r="F601" s="66" t="s">
        <v>470</v>
      </c>
      <c r="G601" s="13"/>
      <c r="H601" s="66" t="s">
        <v>470</v>
      </c>
      <c r="I601" s="66" t="s">
        <v>470</v>
      </c>
      <c r="J601" s="66" t="s">
        <v>470</v>
      </c>
      <c r="K601" s="66" t="s">
        <v>470</v>
      </c>
      <c r="L601" s="66" t="s">
        <v>470</v>
      </c>
      <c r="M601" s="66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>
      <c r="A602" s="226"/>
      <c r="B602" s="13"/>
      <c r="C602" s="13"/>
      <c r="D602" s="13"/>
      <c r="E602" s="64"/>
      <c r="F602" s="66" t="s">
        <v>470</v>
      </c>
      <c r="G602" s="13"/>
      <c r="H602" s="66" t="s">
        <v>470</v>
      </c>
      <c r="I602" s="66" t="s">
        <v>470</v>
      </c>
      <c r="J602" s="66" t="s">
        <v>470</v>
      </c>
      <c r="K602" s="66" t="s">
        <v>470</v>
      </c>
      <c r="L602" s="66" t="s">
        <v>470</v>
      </c>
      <c r="M602" s="66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>
      <c r="A603" s="226"/>
      <c r="B603" s="13"/>
      <c r="C603" s="13"/>
      <c r="D603" s="13"/>
      <c r="E603" s="64"/>
      <c r="F603" s="66" t="s">
        <v>470</v>
      </c>
      <c r="G603" s="13"/>
      <c r="H603" s="66" t="s">
        <v>470</v>
      </c>
      <c r="I603" s="66" t="s">
        <v>470</v>
      </c>
      <c r="J603" s="66" t="s">
        <v>470</v>
      </c>
      <c r="K603" s="66" t="s">
        <v>470</v>
      </c>
      <c r="L603" s="66" t="s">
        <v>470</v>
      </c>
      <c r="M603" s="66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>
      <c r="A604" s="226"/>
      <c r="B604" s="13"/>
      <c r="C604" s="13"/>
      <c r="D604" s="13"/>
      <c r="E604" s="64"/>
      <c r="F604" s="66" t="s">
        <v>470</v>
      </c>
      <c r="G604" s="13"/>
      <c r="H604" s="66" t="s">
        <v>470</v>
      </c>
      <c r="I604" s="66" t="s">
        <v>470</v>
      </c>
      <c r="J604" s="66" t="s">
        <v>470</v>
      </c>
      <c r="K604" s="66" t="s">
        <v>470</v>
      </c>
      <c r="L604" s="66" t="s">
        <v>470</v>
      </c>
      <c r="M604" s="66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>
      <c r="A605" s="226"/>
      <c r="B605" s="13"/>
      <c r="C605" s="13"/>
      <c r="D605" s="13"/>
      <c r="E605" s="64"/>
      <c r="F605" s="66" t="s">
        <v>470</v>
      </c>
      <c r="G605" s="13"/>
      <c r="H605" s="66" t="s">
        <v>470</v>
      </c>
      <c r="I605" s="66" t="s">
        <v>470</v>
      </c>
      <c r="J605" s="66" t="s">
        <v>470</v>
      </c>
      <c r="K605" s="66" t="s">
        <v>470</v>
      </c>
      <c r="L605" s="66" t="s">
        <v>470</v>
      </c>
      <c r="M605" s="66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>
      <c r="A606" s="226"/>
      <c r="B606" s="13"/>
      <c r="C606" s="13"/>
      <c r="D606" s="13"/>
      <c r="E606" s="64"/>
      <c r="F606" s="66" t="s">
        <v>470</v>
      </c>
      <c r="G606" s="13"/>
      <c r="H606" s="66" t="s">
        <v>470</v>
      </c>
      <c r="I606" s="66" t="s">
        <v>470</v>
      </c>
      <c r="J606" s="66" t="s">
        <v>470</v>
      </c>
      <c r="K606" s="66" t="s">
        <v>470</v>
      </c>
      <c r="L606" s="66" t="s">
        <v>470</v>
      </c>
      <c r="M606" s="66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>
      <c r="A607" s="226"/>
      <c r="B607" s="13"/>
      <c r="C607" s="13"/>
      <c r="D607" s="13"/>
      <c r="E607" s="64"/>
      <c r="F607" s="66" t="s">
        <v>470</v>
      </c>
      <c r="G607" s="13"/>
      <c r="H607" s="66" t="s">
        <v>470</v>
      </c>
      <c r="I607" s="66" t="s">
        <v>470</v>
      </c>
      <c r="J607" s="66" t="s">
        <v>470</v>
      </c>
      <c r="K607" s="66" t="s">
        <v>470</v>
      </c>
      <c r="L607" s="66" t="s">
        <v>470</v>
      </c>
      <c r="M607" s="66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>
      <c r="A608" s="226"/>
      <c r="B608" s="13"/>
      <c r="C608" s="13"/>
      <c r="D608" s="13"/>
      <c r="E608" s="64"/>
      <c r="F608" s="66" t="s">
        <v>470</v>
      </c>
      <c r="G608" s="13"/>
      <c r="H608" s="66" t="s">
        <v>470</v>
      </c>
      <c r="I608" s="66" t="s">
        <v>470</v>
      </c>
      <c r="J608" s="66" t="s">
        <v>470</v>
      </c>
      <c r="K608" s="66" t="s">
        <v>470</v>
      </c>
      <c r="L608" s="66" t="s">
        <v>470</v>
      </c>
      <c r="M608" s="66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>
      <c r="A609" s="226"/>
      <c r="B609" s="13"/>
      <c r="C609" s="13"/>
      <c r="D609" s="13"/>
      <c r="E609" s="64"/>
      <c r="F609" s="66" t="s">
        <v>470</v>
      </c>
      <c r="G609" s="13"/>
      <c r="H609" s="66" t="s">
        <v>470</v>
      </c>
      <c r="I609" s="66" t="s">
        <v>470</v>
      </c>
      <c r="J609" s="66" t="s">
        <v>470</v>
      </c>
      <c r="K609" s="66" t="s">
        <v>470</v>
      </c>
      <c r="L609" s="66" t="s">
        <v>470</v>
      </c>
      <c r="M609" s="66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>
      <c r="A610" s="226"/>
      <c r="B610" s="13"/>
      <c r="C610" s="13"/>
      <c r="D610" s="13"/>
      <c r="E610" s="64"/>
      <c r="F610" s="66" t="s">
        <v>470</v>
      </c>
      <c r="G610" s="13"/>
      <c r="H610" s="66" t="s">
        <v>470</v>
      </c>
      <c r="I610" s="66" t="s">
        <v>470</v>
      </c>
      <c r="J610" s="66" t="s">
        <v>470</v>
      </c>
      <c r="K610" s="66" t="s">
        <v>470</v>
      </c>
      <c r="L610" s="66" t="s">
        <v>470</v>
      </c>
      <c r="M610" s="66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>
      <c r="A611" s="226"/>
      <c r="B611" s="13"/>
      <c r="C611" s="13"/>
      <c r="D611" s="13"/>
      <c r="E611" s="64"/>
      <c r="F611" s="66" t="s">
        <v>470</v>
      </c>
      <c r="G611" s="13"/>
      <c r="H611" s="66" t="s">
        <v>470</v>
      </c>
      <c r="I611" s="66" t="s">
        <v>470</v>
      </c>
      <c r="J611" s="66" t="s">
        <v>470</v>
      </c>
      <c r="K611" s="66" t="s">
        <v>470</v>
      </c>
      <c r="L611" s="66" t="s">
        <v>470</v>
      </c>
      <c r="M611" s="66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>
      <c r="A612" s="226"/>
      <c r="B612" s="13"/>
      <c r="C612" s="13"/>
      <c r="D612" s="13"/>
      <c r="E612" s="64"/>
      <c r="F612" s="66" t="s">
        <v>470</v>
      </c>
      <c r="G612" s="13"/>
      <c r="H612" s="66" t="s">
        <v>470</v>
      </c>
      <c r="I612" s="66" t="s">
        <v>470</v>
      </c>
      <c r="J612" s="66" t="s">
        <v>470</v>
      </c>
      <c r="K612" s="66" t="s">
        <v>470</v>
      </c>
      <c r="L612" s="66" t="s">
        <v>470</v>
      </c>
      <c r="M612" s="66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>
      <c r="A613" s="226"/>
      <c r="B613" s="13"/>
      <c r="C613" s="13"/>
      <c r="D613" s="13"/>
      <c r="E613" s="64"/>
      <c r="F613" s="66" t="s">
        <v>470</v>
      </c>
      <c r="G613" s="13"/>
      <c r="H613" s="66" t="s">
        <v>470</v>
      </c>
      <c r="I613" s="66" t="s">
        <v>470</v>
      </c>
      <c r="J613" s="66" t="s">
        <v>470</v>
      </c>
      <c r="K613" s="66" t="s">
        <v>470</v>
      </c>
      <c r="L613" s="66" t="s">
        <v>470</v>
      </c>
      <c r="M613" s="66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>
      <c r="A614" s="226"/>
      <c r="B614" s="13"/>
      <c r="C614" s="13"/>
      <c r="D614" s="13"/>
      <c r="E614" s="64"/>
      <c r="F614" s="66" t="s">
        <v>470</v>
      </c>
      <c r="G614" s="13"/>
      <c r="H614" s="66" t="s">
        <v>470</v>
      </c>
      <c r="I614" s="66" t="s">
        <v>470</v>
      </c>
      <c r="J614" s="66" t="s">
        <v>470</v>
      </c>
      <c r="K614" s="66" t="s">
        <v>470</v>
      </c>
      <c r="L614" s="66" t="s">
        <v>470</v>
      </c>
      <c r="M614" s="66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>
      <c r="A615" s="226"/>
      <c r="B615" s="13"/>
      <c r="C615" s="13"/>
      <c r="D615" s="13"/>
      <c r="E615" s="64"/>
      <c r="F615" s="66" t="s">
        <v>470</v>
      </c>
      <c r="G615" s="13"/>
      <c r="H615" s="66" t="s">
        <v>470</v>
      </c>
      <c r="I615" s="66" t="s">
        <v>470</v>
      </c>
      <c r="J615" s="66" t="s">
        <v>470</v>
      </c>
      <c r="K615" s="66" t="s">
        <v>470</v>
      </c>
      <c r="L615" s="66" t="s">
        <v>470</v>
      </c>
      <c r="M615" s="66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>
      <c r="A616" s="226"/>
      <c r="B616" s="13"/>
      <c r="C616" s="13"/>
      <c r="D616" s="13"/>
      <c r="E616" s="64"/>
      <c r="F616" s="66" t="s">
        <v>470</v>
      </c>
      <c r="G616" s="13"/>
      <c r="H616" s="66" t="s">
        <v>470</v>
      </c>
      <c r="I616" s="66" t="s">
        <v>470</v>
      </c>
      <c r="J616" s="66" t="s">
        <v>470</v>
      </c>
      <c r="K616" s="66" t="s">
        <v>470</v>
      </c>
      <c r="L616" s="66" t="s">
        <v>470</v>
      </c>
      <c r="M616" s="66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>
      <c r="A617" s="226"/>
      <c r="B617" s="13"/>
      <c r="C617" s="13"/>
      <c r="D617" s="13"/>
      <c r="E617" s="64"/>
      <c r="F617" s="66" t="s">
        <v>470</v>
      </c>
      <c r="G617" s="13"/>
      <c r="H617" s="66" t="s">
        <v>470</v>
      </c>
      <c r="I617" s="66" t="s">
        <v>470</v>
      </c>
      <c r="J617" s="66" t="s">
        <v>470</v>
      </c>
      <c r="K617" s="66" t="s">
        <v>470</v>
      </c>
      <c r="L617" s="66" t="s">
        <v>470</v>
      </c>
      <c r="M617" s="66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>
      <c r="A618" s="226"/>
      <c r="B618" s="13"/>
      <c r="C618" s="13"/>
      <c r="D618" s="13"/>
      <c r="E618" s="64"/>
      <c r="F618" s="66" t="s">
        <v>470</v>
      </c>
      <c r="G618" s="13"/>
      <c r="H618" s="66" t="s">
        <v>470</v>
      </c>
      <c r="I618" s="66" t="s">
        <v>470</v>
      </c>
      <c r="J618" s="66" t="s">
        <v>470</v>
      </c>
      <c r="K618" s="66" t="s">
        <v>470</v>
      </c>
      <c r="L618" s="66" t="s">
        <v>470</v>
      </c>
      <c r="M618" s="66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>
      <c r="A619" s="226"/>
      <c r="B619" s="13"/>
      <c r="C619" s="13"/>
      <c r="D619" s="13"/>
      <c r="E619" s="64"/>
      <c r="F619" s="66" t="s">
        <v>470</v>
      </c>
      <c r="G619" s="13"/>
      <c r="H619" s="66" t="s">
        <v>470</v>
      </c>
      <c r="I619" s="66" t="s">
        <v>470</v>
      </c>
      <c r="J619" s="66" t="s">
        <v>470</v>
      </c>
      <c r="K619" s="66" t="s">
        <v>470</v>
      </c>
      <c r="L619" s="66" t="s">
        <v>470</v>
      </c>
      <c r="M619" s="66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>
      <c r="A620" s="226"/>
      <c r="B620" s="13"/>
      <c r="C620" s="13"/>
      <c r="D620" s="13"/>
      <c r="E620" s="64"/>
      <c r="F620" s="66" t="s">
        <v>470</v>
      </c>
      <c r="G620" s="13"/>
      <c r="H620" s="66" t="s">
        <v>470</v>
      </c>
      <c r="I620" s="66" t="s">
        <v>470</v>
      </c>
      <c r="J620" s="66" t="s">
        <v>470</v>
      </c>
      <c r="K620" s="66" t="s">
        <v>470</v>
      </c>
      <c r="L620" s="66" t="s">
        <v>470</v>
      </c>
      <c r="M620" s="66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>
      <c r="A621" s="226"/>
      <c r="B621" s="13"/>
      <c r="C621" s="13"/>
      <c r="D621" s="13"/>
      <c r="E621" s="64"/>
      <c r="F621" s="66" t="s">
        <v>470</v>
      </c>
      <c r="G621" s="13"/>
      <c r="H621" s="66" t="s">
        <v>470</v>
      </c>
      <c r="I621" s="66" t="s">
        <v>470</v>
      </c>
      <c r="J621" s="66" t="s">
        <v>470</v>
      </c>
      <c r="K621" s="66" t="s">
        <v>470</v>
      </c>
      <c r="L621" s="66" t="s">
        <v>470</v>
      </c>
      <c r="M621" s="66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>
      <c r="A622" s="226"/>
      <c r="B622" s="13"/>
      <c r="C622" s="13"/>
      <c r="D622" s="13"/>
      <c r="E622" s="64"/>
      <c r="F622" s="66" t="s">
        <v>470</v>
      </c>
      <c r="G622" s="13"/>
      <c r="H622" s="66" t="s">
        <v>470</v>
      </c>
      <c r="I622" s="66" t="s">
        <v>470</v>
      </c>
      <c r="J622" s="66" t="s">
        <v>470</v>
      </c>
      <c r="K622" s="66" t="s">
        <v>470</v>
      </c>
      <c r="L622" s="66" t="s">
        <v>470</v>
      </c>
      <c r="M622" s="66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>
      <c r="A623" s="226"/>
      <c r="B623" s="13"/>
      <c r="C623" s="13"/>
      <c r="D623" s="13"/>
      <c r="E623" s="64"/>
      <c r="F623" s="66" t="s">
        <v>470</v>
      </c>
      <c r="G623" s="13"/>
      <c r="H623" s="66" t="s">
        <v>470</v>
      </c>
      <c r="I623" s="66" t="s">
        <v>470</v>
      </c>
      <c r="J623" s="66" t="s">
        <v>470</v>
      </c>
      <c r="K623" s="66" t="s">
        <v>470</v>
      </c>
      <c r="L623" s="66" t="s">
        <v>470</v>
      </c>
      <c r="M623" s="66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>
      <c r="A624" s="226"/>
      <c r="B624" s="13"/>
      <c r="C624" s="13"/>
      <c r="D624" s="13"/>
      <c r="E624" s="64"/>
      <c r="F624" s="66" t="s">
        <v>470</v>
      </c>
      <c r="G624" s="13"/>
      <c r="H624" s="66" t="s">
        <v>470</v>
      </c>
      <c r="I624" s="66" t="s">
        <v>470</v>
      </c>
      <c r="J624" s="66" t="s">
        <v>470</v>
      </c>
      <c r="K624" s="66" t="s">
        <v>470</v>
      </c>
      <c r="L624" s="66" t="s">
        <v>470</v>
      </c>
      <c r="M624" s="66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>
      <c r="A625" s="226"/>
      <c r="B625" s="13"/>
      <c r="C625" s="13"/>
      <c r="D625" s="13"/>
      <c r="E625" s="64"/>
      <c r="F625" s="66" t="s">
        <v>470</v>
      </c>
      <c r="G625" s="13"/>
      <c r="H625" s="66" t="s">
        <v>470</v>
      </c>
      <c r="I625" s="66" t="s">
        <v>470</v>
      </c>
      <c r="J625" s="66" t="s">
        <v>470</v>
      </c>
      <c r="K625" s="66" t="s">
        <v>470</v>
      </c>
      <c r="L625" s="66" t="s">
        <v>470</v>
      </c>
      <c r="M625" s="66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>
      <c r="A626" s="226"/>
      <c r="B626" s="13"/>
      <c r="C626" s="13"/>
      <c r="D626" s="13"/>
      <c r="E626" s="64"/>
      <c r="F626" s="66" t="s">
        <v>470</v>
      </c>
      <c r="G626" s="13"/>
      <c r="H626" s="66" t="s">
        <v>470</v>
      </c>
      <c r="I626" s="66" t="s">
        <v>470</v>
      </c>
      <c r="J626" s="66" t="s">
        <v>470</v>
      </c>
      <c r="K626" s="66" t="s">
        <v>470</v>
      </c>
      <c r="L626" s="66" t="s">
        <v>470</v>
      </c>
      <c r="M626" s="66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>
      <c r="A627" s="226"/>
      <c r="B627" s="13"/>
      <c r="C627" s="13"/>
      <c r="D627" s="13"/>
      <c r="E627" s="64"/>
      <c r="F627" s="66" t="s">
        <v>470</v>
      </c>
      <c r="G627" s="13"/>
      <c r="H627" s="66" t="s">
        <v>470</v>
      </c>
      <c r="I627" s="66" t="s">
        <v>470</v>
      </c>
      <c r="J627" s="66" t="s">
        <v>470</v>
      </c>
      <c r="K627" s="66" t="s">
        <v>470</v>
      </c>
      <c r="L627" s="66" t="s">
        <v>470</v>
      </c>
      <c r="M627" s="66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>
      <c r="A628" s="226"/>
      <c r="B628" s="13"/>
      <c r="C628" s="13"/>
      <c r="D628" s="13"/>
      <c r="E628" s="64"/>
      <c r="F628" s="66" t="s">
        <v>470</v>
      </c>
      <c r="G628" s="13"/>
      <c r="H628" s="66" t="s">
        <v>470</v>
      </c>
      <c r="I628" s="66" t="s">
        <v>470</v>
      </c>
      <c r="J628" s="66" t="s">
        <v>470</v>
      </c>
      <c r="K628" s="66" t="s">
        <v>470</v>
      </c>
      <c r="L628" s="66" t="s">
        <v>470</v>
      </c>
      <c r="M628" s="66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>
      <c r="A629" s="226"/>
      <c r="B629" s="13"/>
      <c r="C629" s="13"/>
      <c r="D629" s="13"/>
      <c r="E629" s="64"/>
      <c r="F629" s="66" t="s">
        <v>470</v>
      </c>
      <c r="G629" s="13"/>
      <c r="H629" s="66" t="s">
        <v>470</v>
      </c>
      <c r="I629" s="66" t="s">
        <v>470</v>
      </c>
      <c r="J629" s="66" t="s">
        <v>470</v>
      </c>
      <c r="K629" s="66" t="s">
        <v>470</v>
      </c>
      <c r="L629" s="66" t="s">
        <v>470</v>
      </c>
      <c r="M629" s="66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>
      <c r="A630" s="226"/>
      <c r="B630" s="13"/>
      <c r="C630" s="13"/>
      <c r="D630" s="13"/>
      <c r="E630" s="64"/>
      <c r="F630" s="66" t="s">
        <v>470</v>
      </c>
      <c r="G630" s="13"/>
      <c r="H630" s="66" t="s">
        <v>470</v>
      </c>
      <c r="I630" s="66" t="s">
        <v>470</v>
      </c>
      <c r="J630" s="66" t="s">
        <v>470</v>
      </c>
      <c r="K630" s="66" t="s">
        <v>470</v>
      </c>
      <c r="L630" s="66" t="s">
        <v>470</v>
      </c>
      <c r="M630" s="66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>
      <c r="A631" s="226"/>
      <c r="B631" s="13"/>
      <c r="C631" s="13"/>
      <c r="D631" s="13"/>
      <c r="E631" s="64"/>
      <c r="F631" s="66" t="s">
        <v>470</v>
      </c>
      <c r="G631" s="13"/>
      <c r="H631" s="66" t="s">
        <v>470</v>
      </c>
      <c r="I631" s="66" t="s">
        <v>470</v>
      </c>
      <c r="J631" s="66" t="s">
        <v>470</v>
      </c>
      <c r="K631" s="66" t="s">
        <v>470</v>
      </c>
      <c r="L631" s="66" t="s">
        <v>470</v>
      </c>
      <c r="M631" s="66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>
      <c r="A632" s="226"/>
      <c r="B632" s="13"/>
      <c r="C632" s="13"/>
      <c r="D632" s="13"/>
      <c r="E632" s="64"/>
      <c r="F632" s="66" t="s">
        <v>470</v>
      </c>
      <c r="G632" s="13"/>
      <c r="H632" s="66" t="s">
        <v>470</v>
      </c>
      <c r="I632" s="66" t="s">
        <v>470</v>
      </c>
      <c r="J632" s="66" t="s">
        <v>470</v>
      </c>
      <c r="K632" s="66" t="s">
        <v>470</v>
      </c>
      <c r="L632" s="66" t="s">
        <v>470</v>
      </c>
      <c r="M632" s="66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>
      <c r="A633" s="226"/>
      <c r="B633" s="13"/>
      <c r="C633" s="13"/>
      <c r="D633" s="13"/>
      <c r="E633" s="64"/>
      <c r="F633" s="66" t="s">
        <v>470</v>
      </c>
      <c r="G633" s="13"/>
      <c r="H633" s="66" t="s">
        <v>470</v>
      </c>
      <c r="I633" s="66" t="s">
        <v>470</v>
      </c>
      <c r="J633" s="66" t="s">
        <v>470</v>
      </c>
      <c r="K633" s="66" t="s">
        <v>470</v>
      </c>
      <c r="L633" s="66" t="s">
        <v>470</v>
      </c>
      <c r="M633" s="66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>
      <c r="A634" s="226"/>
      <c r="B634" s="13"/>
      <c r="C634" s="13"/>
      <c r="D634" s="13"/>
      <c r="E634" s="64"/>
      <c r="F634" s="66" t="s">
        <v>470</v>
      </c>
      <c r="G634" s="13"/>
      <c r="H634" s="66" t="s">
        <v>470</v>
      </c>
      <c r="I634" s="66" t="s">
        <v>470</v>
      </c>
      <c r="J634" s="66" t="s">
        <v>470</v>
      </c>
      <c r="K634" s="66" t="s">
        <v>470</v>
      </c>
      <c r="L634" s="66" t="s">
        <v>470</v>
      </c>
      <c r="M634" s="66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>
      <c r="A635" s="226"/>
      <c r="B635" s="13"/>
      <c r="C635" s="13"/>
      <c r="D635" s="13"/>
      <c r="E635" s="64"/>
      <c r="F635" s="66" t="s">
        <v>470</v>
      </c>
      <c r="G635" s="13"/>
      <c r="H635" s="66" t="s">
        <v>470</v>
      </c>
      <c r="I635" s="66" t="s">
        <v>470</v>
      </c>
      <c r="J635" s="66" t="s">
        <v>470</v>
      </c>
      <c r="K635" s="66" t="s">
        <v>470</v>
      </c>
      <c r="L635" s="66" t="s">
        <v>470</v>
      </c>
      <c r="M635" s="66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>
      <c r="A636" s="226"/>
      <c r="B636" s="13"/>
      <c r="C636" s="13"/>
      <c r="D636" s="13"/>
      <c r="E636" s="64"/>
      <c r="F636" s="66" t="s">
        <v>470</v>
      </c>
      <c r="G636" s="13"/>
      <c r="H636" s="66" t="s">
        <v>470</v>
      </c>
      <c r="I636" s="66" t="s">
        <v>470</v>
      </c>
      <c r="J636" s="66" t="s">
        <v>470</v>
      </c>
      <c r="K636" s="66" t="s">
        <v>470</v>
      </c>
      <c r="L636" s="66" t="s">
        <v>470</v>
      </c>
      <c r="M636" s="66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>
      <c r="A637" s="226"/>
      <c r="B637" s="13"/>
      <c r="C637" s="13"/>
      <c r="D637" s="13"/>
      <c r="E637" s="64"/>
      <c r="F637" s="66" t="s">
        <v>470</v>
      </c>
      <c r="G637" s="13"/>
      <c r="H637" s="66" t="s">
        <v>470</v>
      </c>
      <c r="I637" s="66" t="s">
        <v>470</v>
      </c>
      <c r="J637" s="66" t="s">
        <v>470</v>
      </c>
      <c r="K637" s="66" t="s">
        <v>470</v>
      </c>
      <c r="L637" s="66" t="s">
        <v>470</v>
      </c>
      <c r="M637" s="66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>
      <c r="A638" s="226"/>
      <c r="B638" s="13"/>
      <c r="C638" s="13"/>
      <c r="D638" s="13"/>
      <c r="E638" s="64"/>
      <c r="F638" s="66" t="s">
        <v>470</v>
      </c>
      <c r="G638" s="13"/>
      <c r="H638" s="66" t="s">
        <v>470</v>
      </c>
      <c r="I638" s="66" t="s">
        <v>470</v>
      </c>
      <c r="J638" s="66" t="s">
        <v>470</v>
      </c>
      <c r="K638" s="66" t="s">
        <v>470</v>
      </c>
      <c r="L638" s="66" t="s">
        <v>470</v>
      </c>
      <c r="M638" s="66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>
      <c r="A639" s="226"/>
      <c r="B639" s="13"/>
      <c r="C639" s="13"/>
      <c r="D639" s="13"/>
      <c r="E639" s="64"/>
      <c r="F639" s="66" t="s">
        <v>470</v>
      </c>
      <c r="G639" s="13"/>
      <c r="H639" s="66" t="s">
        <v>470</v>
      </c>
      <c r="I639" s="66" t="s">
        <v>470</v>
      </c>
      <c r="J639" s="66" t="s">
        <v>470</v>
      </c>
      <c r="K639" s="66" t="s">
        <v>470</v>
      </c>
      <c r="L639" s="66" t="s">
        <v>470</v>
      </c>
      <c r="M639" s="66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>
      <c r="A640" s="226"/>
      <c r="B640" s="13"/>
      <c r="C640" s="13"/>
      <c r="D640" s="13"/>
      <c r="E640" s="64"/>
      <c r="F640" s="66" t="s">
        <v>470</v>
      </c>
      <c r="G640" s="13"/>
      <c r="H640" s="66" t="s">
        <v>470</v>
      </c>
      <c r="I640" s="66" t="s">
        <v>470</v>
      </c>
      <c r="J640" s="66" t="s">
        <v>470</v>
      </c>
      <c r="K640" s="66" t="s">
        <v>470</v>
      </c>
      <c r="L640" s="66" t="s">
        <v>470</v>
      </c>
      <c r="M640" s="66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>
      <c r="A641" s="226"/>
      <c r="B641" s="13"/>
      <c r="C641" s="13"/>
      <c r="D641" s="13"/>
      <c r="E641" s="64"/>
      <c r="F641" s="66" t="s">
        <v>470</v>
      </c>
      <c r="G641" s="13"/>
      <c r="H641" s="66" t="s">
        <v>470</v>
      </c>
      <c r="I641" s="66" t="s">
        <v>470</v>
      </c>
      <c r="J641" s="66" t="s">
        <v>470</v>
      </c>
      <c r="K641" s="66" t="s">
        <v>470</v>
      </c>
      <c r="L641" s="66" t="s">
        <v>470</v>
      </c>
      <c r="M641" s="66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>
      <c r="A642" s="226"/>
      <c r="B642" s="13"/>
      <c r="C642" s="13"/>
      <c r="D642" s="13"/>
      <c r="E642" s="64"/>
      <c r="F642" s="66" t="s">
        <v>470</v>
      </c>
      <c r="G642" s="13"/>
      <c r="H642" s="66" t="s">
        <v>470</v>
      </c>
      <c r="I642" s="66" t="s">
        <v>470</v>
      </c>
      <c r="J642" s="66" t="s">
        <v>470</v>
      </c>
      <c r="K642" s="66" t="s">
        <v>470</v>
      </c>
      <c r="L642" s="66" t="s">
        <v>470</v>
      </c>
      <c r="M642" s="66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>
      <c r="A643" s="226"/>
      <c r="B643" s="13"/>
      <c r="C643" s="13"/>
      <c r="D643" s="13"/>
      <c r="E643" s="64"/>
      <c r="F643" s="66" t="s">
        <v>470</v>
      </c>
      <c r="G643" s="13"/>
      <c r="H643" s="66" t="s">
        <v>470</v>
      </c>
      <c r="I643" s="66" t="s">
        <v>470</v>
      </c>
      <c r="J643" s="66" t="s">
        <v>470</v>
      </c>
      <c r="K643" s="66" t="s">
        <v>470</v>
      </c>
      <c r="L643" s="66" t="s">
        <v>470</v>
      </c>
      <c r="M643" s="66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>
      <c r="A644" s="226"/>
      <c r="B644" s="13"/>
      <c r="C644" s="13"/>
      <c r="D644" s="13"/>
      <c r="E644" s="64"/>
      <c r="F644" s="66" t="s">
        <v>470</v>
      </c>
      <c r="G644" s="13"/>
      <c r="H644" s="66" t="s">
        <v>470</v>
      </c>
      <c r="I644" s="66" t="s">
        <v>470</v>
      </c>
      <c r="J644" s="66" t="s">
        <v>470</v>
      </c>
      <c r="K644" s="66" t="s">
        <v>470</v>
      </c>
      <c r="L644" s="66" t="s">
        <v>470</v>
      </c>
      <c r="M644" s="66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>
      <c r="A645" s="226"/>
      <c r="B645" s="13"/>
      <c r="C645" s="13"/>
      <c r="D645" s="13"/>
      <c r="E645" s="64"/>
      <c r="F645" s="66" t="s">
        <v>470</v>
      </c>
      <c r="G645" s="13"/>
      <c r="H645" s="66" t="s">
        <v>470</v>
      </c>
      <c r="I645" s="66" t="s">
        <v>470</v>
      </c>
      <c r="J645" s="66" t="s">
        <v>470</v>
      </c>
      <c r="K645" s="66" t="s">
        <v>470</v>
      </c>
      <c r="L645" s="66" t="s">
        <v>470</v>
      </c>
      <c r="M645" s="66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>
      <c r="A646" s="226"/>
      <c r="B646" s="13"/>
      <c r="C646" s="13"/>
      <c r="D646" s="13"/>
      <c r="E646" s="64"/>
      <c r="F646" s="66" t="s">
        <v>470</v>
      </c>
      <c r="G646" s="13"/>
      <c r="H646" s="66" t="s">
        <v>470</v>
      </c>
      <c r="I646" s="66" t="s">
        <v>470</v>
      </c>
      <c r="J646" s="66" t="s">
        <v>470</v>
      </c>
      <c r="K646" s="66" t="s">
        <v>470</v>
      </c>
      <c r="L646" s="66" t="s">
        <v>470</v>
      </c>
      <c r="M646" s="66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>
      <c r="A647" s="226"/>
      <c r="B647" s="13"/>
      <c r="C647" s="13"/>
      <c r="D647" s="13"/>
      <c r="E647" s="64"/>
      <c r="F647" s="66" t="s">
        <v>470</v>
      </c>
      <c r="G647" s="13"/>
      <c r="H647" s="66" t="s">
        <v>470</v>
      </c>
      <c r="I647" s="66" t="s">
        <v>470</v>
      </c>
      <c r="J647" s="66" t="s">
        <v>470</v>
      </c>
      <c r="K647" s="66" t="s">
        <v>470</v>
      </c>
      <c r="L647" s="66" t="s">
        <v>470</v>
      </c>
      <c r="M647" s="66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>
      <c r="A648" s="226"/>
      <c r="B648" s="13"/>
      <c r="C648" s="13"/>
      <c r="D648" s="13"/>
      <c r="E648" s="64"/>
      <c r="F648" s="66" t="s">
        <v>470</v>
      </c>
      <c r="G648" s="13"/>
      <c r="H648" s="66" t="s">
        <v>470</v>
      </c>
      <c r="I648" s="66" t="s">
        <v>470</v>
      </c>
      <c r="J648" s="66" t="s">
        <v>470</v>
      </c>
      <c r="K648" s="66" t="s">
        <v>470</v>
      </c>
      <c r="L648" s="66" t="s">
        <v>470</v>
      </c>
      <c r="M648" s="66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>
      <c r="A649" s="226"/>
      <c r="B649" s="13"/>
      <c r="C649" s="13"/>
      <c r="D649" s="13"/>
      <c r="E649" s="64"/>
      <c r="F649" s="66" t="s">
        <v>470</v>
      </c>
      <c r="G649" s="13"/>
      <c r="H649" s="66" t="s">
        <v>470</v>
      </c>
      <c r="I649" s="66" t="s">
        <v>470</v>
      </c>
      <c r="J649" s="66" t="s">
        <v>470</v>
      </c>
      <c r="K649" s="66" t="s">
        <v>470</v>
      </c>
      <c r="L649" s="66" t="s">
        <v>470</v>
      </c>
      <c r="M649" s="66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>
      <c r="A650" s="226"/>
      <c r="B650" s="13"/>
      <c r="C650" s="13"/>
      <c r="D650" s="13"/>
      <c r="E650" s="64"/>
      <c r="F650" s="66" t="s">
        <v>470</v>
      </c>
      <c r="G650" s="13"/>
      <c r="H650" s="66" t="s">
        <v>470</v>
      </c>
      <c r="I650" s="66" t="s">
        <v>470</v>
      </c>
      <c r="J650" s="66" t="s">
        <v>470</v>
      </c>
      <c r="K650" s="66" t="s">
        <v>470</v>
      </c>
      <c r="L650" s="66" t="s">
        <v>470</v>
      </c>
      <c r="M650" s="66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>
      <c r="A651" s="226"/>
      <c r="B651" s="13"/>
      <c r="C651" s="13"/>
      <c r="D651" s="13"/>
      <c r="E651" s="64"/>
      <c r="F651" s="66" t="s">
        <v>470</v>
      </c>
      <c r="G651" s="13"/>
      <c r="H651" s="66" t="s">
        <v>470</v>
      </c>
      <c r="I651" s="66" t="s">
        <v>470</v>
      </c>
      <c r="J651" s="66" t="s">
        <v>470</v>
      </c>
      <c r="K651" s="66" t="s">
        <v>470</v>
      </c>
      <c r="L651" s="66" t="s">
        <v>470</v>
      </c>
      <c r="M651" s="66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>
      <c r="A652" s="226"/>
      <c r="B652" s="13"/>
      <c r="C652" s="13"/>
      <c r="D652" s="13"/>
      <c r="E652" s="64"/>
      <c r="F652" s="66" t="s">
        <v>470</v>
      </c>
      <c r="G652" s="13"/>
      <c r="H652" s="66" t="s">
        <v>470</v>
      </c>
      <c r="I652" s="66" t="s">
        <v>470</v>
      </c>
      <c r="J652" s="66" t="s">
        <v>470</v>
      </c>
      <c r="K652" s="66" t="s">
        <v>470</v>
      </c>
      <c r="L652" s="66" t="s">
        <v>470</v>
      </c>
      <c r="M652" s="66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>
      <c r="A653" s="226"/>
      <c r="B653" s="13"/>
      <c r="C653" s="13"/>
      <c r="D653" s="13"/>
      <c r="E653" s="64"/>
      <c r="F653" s="66" t="s">
        <v>470</v>
      </c>
      <c r="G653" s="13"/>
      <c r="H653" s="66" t="s">
        <v>470</v>
      </c>
      <c r="I653" s="66" t="s">
        <v>470</v>
      </c>
      <c r="J653" s="66" t="s">
        <v>470</v>
      </c>
      <c r="K653" s="66" t="s">
        <v>470</v>
      </c>
      <c r="L653" s="66" t="s">
        <v>470</v>
      </c>
      <c r="M653" s="66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>
      <c r="A654" s="226"/>
      <c r="B654" s="13"/>
      <c r="C654" s="13"/>
      <c r="D654" s="13"/>
      <c r="E654" s="64"/>
      <c r="F654" s="66" t="s">
        <v>470</v>
      </c>
      <c r="G654" s="13"/>
      <c r="H654" s="66" t="s">
        <v>470</v>
      </c>
      <c r="I654" s="66" t="s">
        <v>470</v>
      </c>
      <c r="J654" s="66" t="s">
        <v>470</v>
      </c>
      <c r="K654" s="66" t="s">
        <v>470</v>
      </c>
      <c r="L654" s="66" t="s">
        <v>470</v>
      </c>
      <c r="M654" s="66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>
      <c r="A655" s="226"/>
      <c r="B655" s="13"/>
      <c r="C655" s="13"/>
      <c r="D655" s="13"/>
      <c r="E655" s="64"/>
      <c r="F655" s="66" t="s">
        <v>470</v>
      </c>
      <c r="G655" s="13"/>
      <c r="H655" s="66" t="s">
        <v>470</v>
      </c>
      <c r="I655" s="66" t="s">
        <v>470</v>
      </c>
      <c r="J655" s="66" t="s">
        <v>470</v>
      </c>
      <c r="K655" s="66" t="s">
        <v>470</v>
      </c>
      <c r="L655" s="66" t="s">
        <v>470</v>
      </c>
      <c r="M655" s="66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>
      <c r="A656" s="226"/>
      <c r="B656" s="13"/>
      <c r="C656" s="13"/>
      <c r="D656" s="13"/>
      <c r="E656" s="64"/>
      <c r="F656" s="66" t="s">
        <v>470</v>
      </c>
      <c r="G656" s="13"/>
      <c r="H656" s="66" t="s">
        <v>470</v>
      </c>
      <c r="I656" s="66" t="s">
        <v>470</v>
      </c>
      <c r="J656" s="66" t="s">
        <v>470</v>
      </c>
      <c r="K656" s="66" t="s">
        <v>470</v>
      </c>
      <c r="L656" s="66" t="s">
        <v>470</v>
      </c>
      <c r="M656" s="66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>
      <c r="A657" s="226"/>
      <c r="B657" s="13"/>
      <c r="C657" s="13"/>
      <c r="D657" s="13"/>
      <c r="E657" s="64"/>
      <c r="F657" s="66" t="s">
        <v>470</v>
      </c>
      <c r="G657" s="13"/>
      <c r="H657" s="66" t="s">
        <v>470</v>
      </c>
      <c r="I657" s="66" t="s">
        <v>470</v>
      </c>
      <c r="J657" s="66" t="s">
        <v>470</v>
      </c>
      <c r="K657" s="66" t="s">
        <v>470</v>
      </c>
      <c r="L657" s="66" t="s">
        <v>470</v>
      </c>
      <c r="M657" s="66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>
      <c r="A658" s="226"/>
      <c r="B658" s="13"/>
      <c r="C658" s="13"/>
      <c r="D658" s="13"/>
      <c r="E658" s="64"/>
      <c r="F658" s="66" t="s">
        <v>470</v>
      </c>
      <c r="G658" s="13"/>
      <c r="H658" s="66" t="s">
        <v>470</v>
      </c>
      <c r="I658" s="66" t="s">
        <v>470</v>
      </c>
      <c r="J658" s="66" t="s">
        <v>470</v>
      </c>
      <c r="K658" s="66" t="s">
        <v>470</v>
      </c>
      <c r="L658" s="66" t="s">
        <v>470</v>
      </c>
      <c r="M658" s="66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>
      <c r="A659" s="226"/>
      <c r="B659" s="13"/>
      <c r="C659" s="13"/>
      <c r="D659" s="13"/>
      <c r="E659" s="64"/>
      <c r="F659" s="66" t="s">
        <v>470</v>
      </c>
      <c r="G659" s="13"/>
      <c r="H659" s="66" t="s">
        <v>470</v>
      </c>
      <c r="I659" s="66" t="s">
        <v>470</v>
      </c>
      <c r="J659" s="66" t="s">
        <v>470</v>
      </c>
      <c r="K659" s="66" t="s">
        <v>470</v>
      </c>
      <c r="L659" s="66" t="s">
        <v>470</v>
      </c>
      <c r="M659" s="66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>
      <c r="A660" s="226"/>
      <c r="B660" s="13"/>
      <c r="C660" s="13"/>
      <c r="D660" s="13"/>
      <c r="E660" s="64"/>
      <c r="F660" s="66" t="s">
        <v>470</v>
      </c>
      <c r="G660" s="13"/>
      <c r="H660" s="66" t="s">
        <v>470</v>
      </c>
      <c r="I660" s="66" t="s">
        <v>470</v>
      </c>
      <c r="J660" s="66" t="s">
        <v>470</v>
      </c>
      <c r="K660" s="66" t="s">
        <v>470</v>
      </c>
      <c r="L660" s="66" t="s">
        <v>470</v>
      </c>
      <c r="M660" s="66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>
      <c r="A661" s="226"/>
      <c r="B661" s="13"/>
      <c r="C661" s="13"/>
      <c r="D661" s="13"/>
      <c r="E661" s="64"/>
      <c r="F661" s="66" t="s">
        <v>470</v>
      </c>
      <c r="G661" s="13"/>
      <c r="H661" s="66" t="s">
        <v>470</v>
      </c>
      <c r="I661" s="66" t="s">
        <v>470</v>
      </c>
      <c r="J661" s="66" t="s">
        <v>470</v>
      </c>
      <c r="K661" s="66" t="s">
        <v>470</v>
      </c>
      <c r="L661" s="66" t="s">
        <v>470</v>
      </c>
      <c r="M661" s="66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>
      <c r="A662" s="226"/>
      <c r="B662" s="13"/>
      <c r="C662" s="13"/>
      <c r="D662" s="13"/>
      <c r="E662" s="64"/>
      <c r="F662" s="66" t="s">
        <v>470</v>
      </c>
      <c r="G662" s="13"/>
      <c r="H662" s="66" t="s">
        <v>470</v>
      </c>
      <c r="I662" s="66" t="s">
        <v>470</v>
      </c>
      <c r="J662" s="66" t="s">
        <v>470</v>
      </c>
      <c r="K662" s="66" t="s">
        <v>470</v>
      </c>
      <c r="L662" s="66" t="s">
        <v>470</v>
      </c>
      <c r="M662" s="66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>
      <c r="A663" s="226"/>
      <c r="B663" s="13"/>
      <c r="C663" s="13"/>
      <c r="D663" s="13"/>
      <c r="E663" s="64"/>
      <c r="F663" s="66" t="s">
        <v>470</v>
      </c>
      <c r="G663" s="13"/>
      <c r="H663" s="66" t="s">
        <v>470</v>
      </c>
      <c r="I663" s="66" t="s">
        <v>470</v>
      </c>
      <c r="J663" s="66" t="s">
        <v>470</v>
      </c>
      <c r="K663" s="66" t="s">
        <v>470</v>
      </c>
      <c r="L663" s="66" t="s">
        <v>470</v>
      </c>
      <c r="M663" s="66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>
      <c r="A664" s="226"/>
      <c r="B664" s="13"/>
      <c r="C664" s="13"/>
      <c r="D664" s="13"/>
      <c r="E664" s="64"/>
      <c r="F664" s="66" t="s">
        <v>470</v>
      </c>
      <c r="G664" s="13"/>
      <c r="H664" s="66" t="s">
        <v>470</v>
      </c>
      <c r="I664" s="66" t="s">
        <v>470</v>
      </c>
      <c r="J664" s="66" t="s">
        <v>470</v>
      </c>
      <c r="K664" s="66" t="s">
        <v>470</v>
      </c>
      <c r="L664" s="66" t="s">
        <v>470</v>
      </c>
      <c r="M664" s="66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>
      <c r="A665" s="226"/>
      <c r="B665" s="13"/>
      <c r="C665" s="13"/>
      <c r="D665" s="13"/>
      <c r="E665" s="64"/>
      <c r="F665" s="66" t="s">
        <v>470</v>
      </c>
      <c r="G665" s="13"/>
      <c r="H665" s="66" t="s">
        <v>470</v>
      </c>
      <c r="I665" s="66" t="s">
        <v>470</v>
      </c>
      <c r="J665" s="66" t="s">
        <v>470</v>
      </c>
      <c r="K665" s="66" t="s">
        <v>470</v>
      </c>
      <c r="L665" s="66" t="s">
        <v>470</v>
      </c>
      <c r="M665" s="66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>
      <c r="A666" s="226"/>
      <c r="B666" s="13"/>
      <c r="C666" s="13"/>
      <c r="D666" s="13"/>
      <c r="E666" s="64"/>
      <c r="F666" s="66" t="s">
        <v>470</v>
      </c>
      <c r="G666" s="13"/>
      <c r="H666" s="66" t="s">
        <v>470</v>
      </c>
      <c r="I666" s="66" t="s">
        <v>470</v>
      </c>
      <c r="J666" s="66" t="s">
        <v>470</v>
      </c>
      <c r="K666" s="66" t="s">
        <v>470</v>
      </c>
      <c r="L666" s="66" t="s">
        <v>470</v>
      </c>
      <c r="M666" s="66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>
      <c r="A667" s="226"/>
      <c r="B667" s="13"/>
      <c r="C667" s="13"/>
      <c r="D667" s="13"/>
      <c r="E667" s="64"/>
      <c r="F667" s="66" t="s">
        <v>470</v>
      </c>
      <c r="G667" s="13"/>
      <c r="H667" s="66" t="s">
        <v>470</v>
      </c>
      <c r="I667" s="66" t="s">
        <v>470</v>
      </c>
      <c r="J667" s="66" t="s">
        <v>470</v>
      </c>
      <c r="K667" s="66" t="s">
        <v>470</v>
      </c>
      <c r="L667" s="66" t="s">
        <v>470</v>
      </c>
      <c r="M667" s="66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>
      <c r="A668" s="226"/>
      <c r="B668" s="13"/>
      <c r="C668" s="13"/>
      <c r="D668" s="13"/>
      <c r="E668" s="64"/>
      <c r="F668" s="66" t="s">
        <v>470</v>
      </c>
      <c r="G668" s="13"/>
      <c r="H668" s="66" t="s">
        <v>470</v>
      </c>
      <c r="I668" s="66" t="s">
        <v>470</v>
      </c>
      <c r="J668" s="66" t="s">
        <v>470</v>
      </c>
      <c r="K668" s="66" t="s">
        <v>470</v>
      </c>
      <c r="L668" s="66" t="s">
        <v>470</v>
      </c>
      <c r="M668" s="66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>
      <c r="A669" s="226"/>
      <c r="B669" s="13"/>
      <c r="C669" s="13"/>
      <c r="D669" s="13"/>
      <c r="E669" s="64"/>
      <c r="F669" s="66" t="s">
        <v>470</v>
      </c>
      <c r="G669" s="13"/>
      <c r="H669" s="66" t="s">
        <v>470</v>
      </c>
      <c r="I669" s="66" t="s">
        <v>470</v>
      </c>
      <c r="J669" s="66" t="s">
        <v>470</v>
      </c>
      <c r="K669" s="66" t="s">
        <v>470</v>
      </c>
      <c r="L669" s="66" t="s">
        <v>470</v>
      </c>
      <c r="M669" s="66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>
      <c r="A670" s="226"/>
      <c r="B670" s="13"/>
      <c r="C670" s="13"/>
      <c r="D670" s="13"/>
      <c r="E670" s="64"/>
      <c r="F670" s="66" t="s">
        <v>470</v>
      </c>
      <c r="G670" s="13"/>
      <c r="H670" s="66" t="s">
        <v>470</v>
      </c>
      <c r="I670" s="66" t="s">
        <v>470</v>
      </c>
      <c r="J670" s="66" t="s">
        <v>470</v>
      </c>
      <c r="K670" s="66" t="s">
        <v>470</v>
      </c>
      <c r="L670" s="66" t="s">
        <v>470</v>
      </c>
      <c r="M670" s="66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>
      <c r="A671" s="226"/>
      <c r="B671" s="13"/>
      <c r="C671" s="13"/>
      <c r="D671" s="13"/>
      <c r="E671" s="64"/>
      <c r="F671" s="66" t="s">
        <v>470</v>
      </c>
      <c r="G671" s="13"/>
      <c r="H671" s="66" t="s">
        <v>470</v>
      </c>
      <c r="I671" s="66" t="s">
        <v>470</v>
      </c>
      <c r="J671" s="66" t="s">
        <v>470</v>
      </c>
      <c r="K671" s="66" t="s">
        <v>470</v>
      </c>
      <c r="L671" s="66" t="s">
        <v>470</v>
      </c>
      <c r="M671" s="66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>
      <c r="A672" s="226"/>
      <c r="B672" s="13"/>
      <c r="C672" s="13"/>
      <c r="D672" s="13"/>
      <c r="E672" s="64"/>
      <c r="F672" s="66" t="s">
        <v>470</v>
      </c>
      <c r="G672" s="13"/>
      <c r="H672" s="66" t="s">
        <v>470</v>
      </c>
      <c r="I672" s="66" t="s">
        <v>470</v>
      </c>
      <c r="J672" s="66" t="s">
        <v>470</v>
      </c>
      <c r="K672" s="66" t="s">
        <v>470</v>
      </c>
      <c r="L672" s="66" t="s">
        <v>470</v>
      </c>
      <c r="M672" s="66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>
      <c r="A673" s="226"/>
      <c r="B673" s="13"/>
      <c r="C673" s="13"/>
      <c r="D673" s="13"/>
      <c r="E673" s="64"/>
      <c r="F673" s="66" t="s">
        <v>470</v>
      </c>
      <c r="G673" s="13"/>
      <c r="H673" s="66" t="s">
        <v>470</v>
      </c>
      <c r="I673" s="66" t="s">
        <v>470</v>
      </c>
      <c r="J673" s="66" t="s">
        <v>470</v>
      </c>
      <c r="K673" s="66" t="s">
        <v>470</v>
      </c>
      <c r="L673" s="66" t="s">
        <v>470</v>
      </c>
      <c r="M673" s="66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>
      <c r="A674" s="226"/>
      <c r="B674" s="13"/>
      <c r="C674" s="13"/>
      <c r="D674" s="13"/>
      <c r="E674" s="64"/>
      <c r="F674" s="66" t="s">
        <v>470</v>
      </c>
      <c r="G674" s="13"/>
      <c r="H674" s="66" t="s">
        <v>470</v>
      </c>
      <c r="I674" s="66" t="s">
        <v>470</v>
      </c>
      <c r="J674" s="66" t="s">
        <v>470</v>
      </c>
      <c r="K674" s="66" t="s">
        <v>470</v>
      </c>
      <c r="L674" s="66" t="s">
        <v>470</v>
      </c>
      <c r="M674" s="66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>
      <c r="A675" s="226"/>
      <c r="B675" s="13"/>
      <c r="C675" s="13"/>
      <c r="D675" s="13"/>
      <c r="E675" s="64"/>
      <c r="F675" s="66" t="s">
        <v>470</v>
      </c>
      <c r="G675" s="13"/>
      <c r="H675" s="66" t="s">
        <v>470</v>
      </c>
      <c r="I675" s="66" t="s">
        <v>470</v>
      </c>
      <c r="J675" s="66" t="s">
        <v>470</v>
      </c>
      <c r="K675" s="66" t="s">
        <v>470</v>
      </c>
      <c r="L675" s="66" t="s">
        <v>470</v>
      </c>
      <c r="M675" s="66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>
      <c r="A676" s="226"/>
      <c r="B676" s="13"/>
      <c r="C676" s="13"/>
      <c r="D676" s="13"/>
      <c r="E676" s="64"/>
      <c r="F676" s="66" t="s">
        <v>470</v>
      </c>
      <c r="G676" s="13"/>
      <c r="H676" s="66" t="s">
        <v>470</v>
      </c>
      <c r="I676" s="66" t="s">
        <v>470</v>
      </c>
      <c r="J676" s="66" t="s">
        <v>470</v>
      </c>
      <c r="K676" s="66" t="s">
        <v>470</v>
      </c>
      <c r="L676" s="66" t="s">
        <v>470</v>
      </c>
      <c r="M676" s="66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>
      <c r="A677" s="226"/>
      <c r="B677" s="13"/>
      <c r="C677" s="13"/>
      <c r="D677" s="13"/>
      <c r="E677" s="64"/>
      <c r="F677" s="66" t="s">
        <v>470</v>
      </c>
      <c r="G677" s="13"/>
      <c r="H677" s="66" t="s">
        <v>470</v>
      </c>
      <c r="I677" s="66" t="s">
        <v>470</v>
      </c>
      <c r="J677" s="66" t="s">
        <v>470</v>
      </c>
      <c r="K677" s="66" t="s">
        <v>470</v>
      </c>
      <c r="L677" s="66" t="s">
        <v>470</v>
      </c>
      <c r="M677" s="66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>
      <c r="A678" s="226"/>
      <c r="B678" s="13"/>
      <c r="C678" s="13"/>
      <c r="D678" s="13"/>
      <c r="E678" s="64"/>
      <c r="F678" s="66" t="s">
        <v>470</v>
      </c>
      <c r="G678" s="13"/>
      <c r="H678" s="66" t="s">
        <v>470</v>
      </c>
      <c r="I678" s="66" t="s">
        <v>470</v>
      </c>
      <c r="J678" s="66" t="s">
        <v>470</v>
      </c>
      <c r="K678" s="66" t="s">
        <v>470</v>
      </c>
      <c r="L678" s="66" t="s">
        <v>470</v>
      </c>
      <c r="M678" s="66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>
      <c r="A679" s="226"/>
      <c r="B679" s="13"/>
      <c r="C679" s="13"/>
      <c r="D679" s="13"/>
      <c r="E679" s="64"/>
      <c r="F679" s="66" t="s">
        <v>470</v>
      </c>
      <c r="G679" s="13"/>
      <c r="H679" s="66" t="s">
        <v>470</v>
      </c>
      <c r="I679" s="66" t="s">
        <v>470</v>
      </c>
      <c r="J679" s="66" t="s">
        <v>470</v>
      </c>
      <c r="K679" s="66" t="s">
        <v>470</v>
      </c>
      <c r="L679" s="66" t="s">
        <v>470</v>
      </c>
      <c r="M679" s="66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>
      <c r="A680" s="226"/>
      <c r="B680" s="13"/>
      <c r="C680" s="13"/>
      <c r="D680" s="13"/>
      <c r="E680" s="64"/>
      <c r="F680" s="66" t="s">
        <v>470</v>
      </c>
      <c r="G680" s="13"/>
      <c r="H680" s="66" t="s">
        <v>470</v>
      </c>
      <c r="I680" s="66" t="s">
        <v>470</v>
      </c>
      <c r="J680" s="66" t="s">
        <v>470</v>
      </c>
      <c r="K680" s="66" t="s">
        <v>470</v>
      </c>
      <c r="L680" s="66" t="s">
        <v>470</v>
      </c>
      <c r="M680" s="66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>
      <c r="A681" s="226"/>
      <c r="B681" s="13"/>
      <c r="C681" s="13"/>
      <c r="D681" s="13"/>
      <c r="E681" s="64"/>
      <c r="F681" s="66" t="s">
        <v>470</v>
      </c>
      <c r="G681" s="13"/>
      <c r="H681" s="66" t="s">
        <v>470</v>
      </c>
      <c r="I681" s="66" t="s">
        <v>470</v>
      </c>
      <c r="J681" s="66" t="s">
        <v>470</v>
      </c>
      <c r="K681" s="66" t="s">
        <v>470</v>
      </c>
      <c r="L681" s="66" t="s">
        <v>470</v>
      </c>
      <c r="M681" s="66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>
      <c r="A682" s="226"/>
      <c r="B682" s="13"/>
      <c r="C682" s="13"/>
      <c r="D682" s="13"/>
      <c r="E682" s="64"/>
      <c r="F682" s="66" t="s">
        <v>470</v>
      </c>
      <c r="G682" s="13"/>
      <c r="H682" s="66" t="s">
        <v>470</v>
      </c>
      <c r="I682" s="66" t="s">
        <v>470</v>
      </c>
      <c r="J682" s="66" t="s">
        <v>470</v>
      </c>
      <c r="K682" s="66" t="s">
        <v>470</v>
      </c>
      <c r="L682" s="66" t="s">
        <v>470</v>
      </c>
      <c r="M682" s="66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>
      <c r="A683" s="226"/>
      <c r="B683" s="13"/>
      <c r="C683" s="13"/>
      <c r="D683" s="13"/>
      <c r="E683" s="64"/>
      <c r="F683" s="66" t="s">
        <v>470</v>
      </c>
      <c r="G683" s="13"/>
      <c r="H683" s="66" t="s">
        <v>470</v>
      </c>
      <c r="I683" s="66" t="s">
        <v>470</v>
      </c>
      <c r="J683" s="66" t="s">
        <v>470</v>
      </c>
      <c r="K683" s="66" t="s">
        <v>470</v>
      </c>
      <c r="L683" s="66" t="s">
        <v>470</v>
      </c>
      <c r="M683" s="66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>
      <c r="A684" s="226"/>
      <c r="B684" s="13"/>
      <c r="C684" s="13"/>
      <c r="D684" s="13"/>
      <c r="E684" s="64"/>
      <c r="F684" s="66" t="s">
        <v>470</v>
      </c>
      <c r="G684" s="13"/>
      <c r="H684" s="66" t="s">
        <v>470</v>
      </c>
      <c r="I684" s="66" t="s">
        <v>470</v>
      </c>
      <c r="J684" s="66" t="s">
        <v>470</v>
      </c>
      <c r="K684" s="66" t="s">
        <v>470</v>
      </c>
      <c r="L684" s="66" t="s">
        <v>470</v>
      </c>
      <c r="M684" s="66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>
      <c r="A685" s="226"/>
      <c r="B685" s="13"/>
      <c r="C685" s="13"/>
      <c r="D685" s="13"/>
      <c r="E685" s="64"/>
      <c r="F685" s="66" t="s">
        <v>470</v>
      </c>
      <c r="G685" s="13"/>
      <c r="H685" s="66" t="s">
        <v>470</v>
      </c>
      <c r="I685" s="66" t="s">
        <v>470</v>
      </c>
      <c r="J685" s="66" t="s">
        <v>470</v>
      </c>
      <c r="K685" s="66" t="s">
        <v>470</v>
      </c>
      <c r="L685" s="66" t="s">
        <v>470</v>
      </c>
      <c r="M685" s="66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>
      <c r="A686" s="226"/>
      <c r="B686" s="13"/>
      <c r="C686" s="13"/>
      <c r="D686" s="13"/>
      <c r="E686" s="64"/>
      <c r="F686" s="66" t="s">
        <v>470</v>
      </c>
      <c r="G686" s="13"/>
      <c r="H686" s="66" t="s">
        <v>470</v>
      </c>
      <c r="I686" s="66" t="s">
        <v>470</v>
      </c>
      <c r="J686" s="66" t="s">
        <v>470</v>
      </c>
      <c r="K686" s="66" t="s">
        <v>470</v>
      </c>
      <c r="L686" s="66" t="s">
        <v>470</v>
      </c>
      <c r="M686" s="66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>
      <c r="A687" s="226"/>
      <c r="B687" s="13"/>
      <c r="C687" s="13"/>
      <c r="D687" s="13"/>
      <c r="E687" s="64"/>
      <c r="F687" s="66" t="s">
        <v>470</v>
      </c>
      <c r="G687" s="13"/>
      <c r="H687" s="66" t="s">
        <v>470</v>
      </c>
      <c r="I687" s="66" t="s">
        <v>470</v>
      </c>
      <c r="J687" s="66" t="s">
        <v>470</v>
      </c>
      <c r="K687" s="66" t="s">
        <v>470</v>
      </c>
      <c r="L687" s="66" t="s">
        <v>470</v>
      </c>
      <c r="M687" s="66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>
      <c r="A688" s="226"/>
      <c r="B688" s="13"/>
      <c r="C688" s="13"/>
      <c r="D688" s="13"/>
      <c r="E688" s="64"/>
      <c r="F688" s="66" t="s">
        <v>470</v>
      </c>
      <c r="G688" s="13"/>
      <c r="H688" s="66" t="s">
        <v>470</v>
      </c>
      <c r="I688" s="66" t="s">
        <v>470</v>
      </c>
      <c r="J688" s="66" t="s">
        <v>470</v>
      </c>
      <c r="K688" s="66" t="s">
        <v>470</v>
      </c>
      <c r="L688" s="66" t="s">
        <v>470</v>
      </c>
      <c r="M688" s="66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>
      <c r="A689" s="226"/>
      <c r="B689" s="13"/>
      <c r="C689" s="13"/>
      <c r="D689" s="13"/>
      <c r="E689" s="64"/>
      <c r="F689" s="66" t="s">
        <v>470</v>
      </c>
      <c r="G689" s="13"/>
      <c r="H689" s="66" t="s">
        <v>470</v>
      </c>
      <c r="I689" s="66" t="s">
        <v>470</v>
      </c>
      <c r="J689" s="66" t="s">
        <v>470</v>
      </c>
      <c r="K689" s="66" t="s">
        <v>470</v>
      </c>
      <c r="L689" s="66" t="s">
        <v>470</v>
      </c>
      <c r="M689" s="66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>
      <c r="A690" s="226"/>
      <c r="B690" s="13"/>
      <c r="C690" s="13"/>
      <c r="D690" s="13"/>
      <c r="E690" s="64"/>
      <c r="F690" s="66" t="s">
        <v>470</v>
      </c>
      <c r="G690" s="13"/>
      <c r="H690" s="66" t="s">
        <v>470</v>
      </c>
      <c r="I690" s="66" t="s">
        <v>470</v>
      </c>
      <c r="J690" s="66" t="s">
        <v>470</v>
      </c>
      <c r="K690" s="66" t="s">
        <v>470</v>
      </c>
      <c r="L690" s="66" t="s">
        <v>470</v>
      </c>
      <c r="M690" s="66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>
      <c r="A691" s="226"/>
      <c r="B691" s="13"/>
      <c r="C691" s="13"/>
      <c r="D691" s="13"/>
      <c r="E691" s="64"/>
      <c r="F691" s="66" t="s">
        <v>470</v>
      </c>
      <c r="G691" s="13"/>
      <c r="H691" s="66" t="s">
        <v>470</v>
      </c>
      <c r="I691" s="66" t="s">
        <v>470</v>
      </c>
      <c r="J691" s="66" t="s">
        <v>470</v>
      </c>
      <c r="K691" s="66" t="s">
        <v>470</v>
      </c>
      <c r="L691" s="66" t="s">
        <v>470</v>
      </c>
      <c r="M691" s="66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>
      <c r="A692" s="226"/>
      <c r="B692" s="13"/>
      <c r="C692" s="13"/>
      <c r="D692" s="13"/>
      <c r="E692" s="64"/>
      <c r="F692" s="66" t="s">
        <v>470</v>
      </c>
      <c r="G692" s="13"/>
      <c r="H692" s="66" t="s">
        <v>470</v>
      </c>
      <c r="I692" s="66" t="s">
        <v>470</v>
      </c>
      <c r="J692" s="66" t="s">
        <v>470</v>
      </c>
      <c r="K692" s="66" t="s">
        <v>470</v>
      </c>
      <c r="L692" s="66" t="s">
        <v>470</v>
      </c>
      <c r="M692" s="66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>
      <c r="A693" s="226"/>
      <c r="B693" s="13"/>
      <c r="C693" s="13"/>
      <c r="D693" s="13"/>
      <c r="E693" s="64"/>
      <c r="F693" s="66" t="s">
        <v>470</v>
      </c>
      <c r="G693" s="13"/>
      <c r="H693" s="66" t="s">
        <v>470</v>
      </c>
      <c r="I693" s="66" t="s">
        <v>470</v>
      </c>
      <c r="J693" s="66" t="s">
        <v>470</v>
      </c>
      <c r="K693" s="66" t="s">
        <v>470</v>
      </c>
      <c r="L693" s="66" t="s">
        <v>470</v>
      </c>
      <c r="M693" s="66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>
      <c r="A694" s="226"/>
      <c r="B694" s="13"/>
      <c r="C694" s="13"/>
      <c r="D694" s="13"/>
      <c r="E694" s="64"/>
      <c r="F694" s="66" t="s">
        <v>470</v>
      </c>
      <c r="G694" s="13"/>
      <c r="H694" s="66" t="s">
        <v>470</v>
      </c>
      <c r="I694" s="66" t="s">
        <v>470</v>
      </c>
      <c r="J694" s="66" t="s">
        <v>470</v>
      </c>
      <c r="K694" s="66" t="s">
        <v>470</v>
      </c>
      <c r="L694" s="66" t="s">
        <v>470</v>
      </c>
      <c r="M694" s="66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>
      <c r="A695" s="226"/>
      <c r="B695" s="13"/>
      <c r="C695" s="13"/>
      <c r="D695" s="13"/>
      <c r="E695" s="64"/>
      <c r="F695" s="66" t="s">
        <v>470</v>
      </c>
      <c r="G695" s="13"/>
      <c r="H695" s="66" t="s">
        <v>470</v>
      </c>
      <c r="I695" s="66" t="s">
        <v>470</v>
      </c>
      <c r="J695" s="66" t="s">
        <v>470</v>
      </c>
      <c r="K695" s="66" t="s">
        <v>470</v>
      </c>
      <c r="L695" s="66" t="s">
        <v>470</v>
      </c>
      <c r="M695" s="66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>
      <c r="A696" s="226"/>
      <c r="B696" s="13"/>
      <c r="C696" s="13"/>
      <c r="D696" s="13"/>
      <c r="E696" s="64"/>
      <c r="F696" s="66" t="s">
        <v>470</v>
      </c>
      <c r="G696" s="13"/>
      <c r="H696" s="66" t="s">
        <v>470</v>
      </c>
      <c r="I696" s="66" t="s">
        <v>470</v>
      </c>
      <c r="J696" s="66" t="s">
        <v>470</v>
      </c>
      <c r="K696" s="66" t="s">
        <v>470</v>
      </c>
      <c r="L696" s="66" t="s">
        <v>470</v>
      </c>
      <c r="M696" s="66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>
      <c r="A697" s="226"/>
      <c r="B697" s="13"/>
      <c r="C697" s="13"/>
      <c r="D697" s="13"/>
      <c r="E697" s="64"/>
      <c r="F697" s="66" t="s">
        <v>470</v>
      </c>
      <c r="G697" s="13"/>
      <c r="H697" s="66" t="s">
        <v>470</v>
      </c>
      <c r="I697" s="66" t="s">
        <v>470</v>
      </c>
      <c r="J697" s="66" t="s">
        <v>470</v>
      </c>
      <c r="K697" s="66" t="s">
        <v>470</v>
      </c>
      <c r="L697" s="66" t="s">
        <v>470</v>
      </c>
      <c r="M697" s="66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>
      <c r="A698" s="226"/>
      <c r="B698" s="13"/>
      <c r="C698" s="13"/>
      <c r="D698" s="13"/>
      <c r="E698" s="64"/>
      <c r="F698" s="66" t="s">
        <v>470</v>
      </c>
      <c r="G698" s="13"/>
      <c r="H698" s="66" t="s">
        <v>470</v>
      </c>
      <c r="I698" s="66" t="s">
        <v>470</v>
      </c>
      <c r="J698" s="66" t="s">
        <v>470</v>
      </c>
      <c r="K698" s="66" t="s">
        <v>470</v>
      </c>
      <c r="L698" s="66" t="s">
        <v>470</v>
      </c>
      <c r="M698" s="66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>
      <c r="A699" s="226"/>
      <c r="B699" s="13"/>
      <c r="C699" s="13"/>
      <c r="D699" s="13"/>
      <c r="E699" s="64"/>
      <c r="F699" s="66" t="s">
        <v>470</v>
      </c>
      <c r="G699" s="13"/>
      <c r="H699" s="66" t="s">
        <v>470</v>
      </c>
      <c r="I699" s="66" t="s">
        <v>470</v>
      </c>
      <c r="J699" s="66" t="s">
        <v>470</v>
      </c>
      <c r="K699" s="66" t="s">
        <v>470</v>
      </c>
      <c r="L699" s="66" t="s">
        <v>470</v>
      </c>
      <c r="M699" s="66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>
      <c r="A700" s="226"/>
      <c r="B700" s="13"/>
      <c r="C700" s="13"/>
      <c r="D700" s="13"/>
      <c r="E700" s="64"/>
      <c r="F700" s="66" t="s">
        <v>470</v>
      </c>
      <c r="G700" s="13"/>
      <c r="H700" s="66" t="s">
        <v>470</v>
      </c>
      <c r="I700" s="66" t="s">
        <v>470</v>
      </c>
      <c r="J700" s="66" t="s">
        <v>470</v>
      </c>
      <c r="K700" s="66" t="s">
        <v>470</v>
      </c>
      <c r="L700" s="66" t="s">
        <v>470</v>
      </c>
      <c r="M700" s="66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>
      <c r="A701" s="226"/>
      <c r="B701" s="13"/>
      <c r="C701" s="13"/>
      <c r="D701" s="13"/>
      <c r="E701" s="64"/>
      <c r="F701" s="66" t="s">
        <v>470</v>
      </c>
      <c r="G701" s="13"/>
      <c r="H701" s="66" t="s">
        <v>470</v>
      </c>
      <c r="I701" s="66" t="s">
        <v>470</v>
      </c>
      <c r="J701" s="66" t="s">
        <v>470</v>
      </c>
      <c r="K701" s="66" t="s">
        <v>470</v>
      </c>
      <c r="L701" s="66" t="s">
        <v>470</v>
      </c>
      <c r="M701" s="66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>
      <c r="A702" s="226"/>
      <c r="B702" s="13"/>
      <c r="C702" s="13"/>
      <c r="D702" s="13"/>
      <c r="E702" s="64"/>
      <c r="F702" s="66" t="s">
        <v>470</v>
      </c>
      <c r="G702" s="13"/>
      <c r="H702" s="66" t="s">
        <v>470</v>
      </c>
      <c r="I702" s="66" t="s">
        <v>470</v>
      </c>
      <c r="J702" s="66" t="s">
        <v>470</v>
      </c>
      <c r="K702" s="66" t="s">
        <v>470</v>
      </c>
      <c r="L702" s="66" t="s">
        <v>470</v>
      </c>
      <c r="M702" s="66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>
      <c r="A703" s="226"/>
      <c r="B703" s="13"/>
      <c r="C703" s="13"/>
      <c r="D703" s="13"/>
      <c r="E703" s="64"/>
      <c r="F703" s="66" t="s">
        <v>470</v>
      </c>
      <c r="G703" s="13"/>
      <c r="H703" s="66" t="s">
        <v>470</v>
      </c>
      <c r="I703" s="66" t="s">
        <v>470</v>
      </c>
      <c r="J703" s="66" t="s">
        <v>470</v>
      </c>
      <c r="K703" s="66" t="s">
        <v>470</v>
      </c>
      <c r="L703" s="66" t="s">
        <v>470</v>
      </c>
      <c r="M703" s="66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>
      <c r="A704" s="226"/>
      <c r="B704" s="13"/>
      <c r="C704" s="13"/>
      <c r="D704" s="13"/>
      <c r="E704" s="64"/>
      <c r="F704" s="66" t="s">
        <v>470</v>
      </c>
      <c r="G704" s="13"/>
      <c r="H704" s="66" t="s">
        <v>470</v>
      </c>
      <c r="I704" s="66" t="s">
        <v>470</v>
      </c>
      <c r="J704" s="66" t="s">
        <v>470</v>
      </c>
      <c r="K704" s="66" t="s">
        <v>470</v>
      </c>
      <c r="L704" s="66" t="s">
        <v>470</v>
      </c>
      <c r="M704" s="66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>
      <c r="A705" s="226"/>
      <c r="B705" s="13"/>
      <c r="C705" s="13"/>
      <c r="D705" s="13"/>
      <c r="E705" s="64"/>
      <c r="F705" s="66" t="s">
        <v>470</v>
      </c>
      <c r="G705" s="13"/>
      <c r="H705" s="66" t="s">
        <v>470</v>
      </c>
      <c r="I705" s="66" t="s">
        <v>470</v>
      </c>
      <c r="J705" s="66" t="s">
        <v>470</v>
      </c>
      <c r="K705" s="66" t="s">
        <v>470</v>
      </c>
      <c r="L705" s="66" t="s">
        <v>470</v>
      </c>
      <c r="M705" s="66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>
      <c r="A706" s="226"/>
      <c r="B706" s="13"/>
      <c r="C706" s="13"/>
      <c r="D706" s="13"/>
      <c r="E706" s="64"/>
      <c r="F706" s="66" t="s">
        <v>470</v>
      </c>
      <c r="G706" s="13"/>
      <c r="H706" s="66" t="s">
        <v>470</v>
      </c>
      <c r="I706" s="66" t="s">
        <v>470</v>
      </c>
      <c r="J706" s="66" t="s">
        <v>470</v>
      </c>
      <c r="K706" s="66" t="s">
        <v>470</v>
      </c>
      <c r="L706" s="66" t="s">
        <v>470</v>
      </c>
      <c r="M706" s="66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>
      <c r="A707" s="226"/>
      <c r="B707" s="13"/>
      <c r="C707" s="13"/>
      <c r="D707" s="13"/>
      <c r="E707" s="64"/>
      <c r="F707" s="66" t="s">
        <v>470</v>
      </c>
      <c r="G707" s="13"/>
      <c r="H707" s="66" t="s">
        <v>470</v>
      </c>
      <c r="I707" s="66" t="s">
        <v>470</v>
      </c>
      <c r="J707" s="66" t="s">
        <v>470</v>
      </c>
      <c r="K707" s="66" t="s">
        <v>470</v>
      </c>
      <c r="L707" s="66" t="s">
        <v>470</v>
      </c>
      <c r="M707" s="66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>
      <c r="A708" s="226"/>
      <c r="B708" s="13"/>
      <c r="C708" s="13"/>
      <c r="D708" s="13"/>
      <c r="E708" s="64"/>
      <c r="F708" s="66" t="s">
        <v>470</v>
      </c>
      <c r="G708" s="13"/>
      <c r="H708" s="66" t="s">
        <v>470</v>
      </c>
      <c r="I708" s="66" t="s">
        <v>470</v>
      </c>
      <c r="J708" s="66" t="s">
        <v>470</v>
      </c>
      <c r="K708" s="66" t="s">
        <v>470</v>
      </c>
      <c r="L708" s="66" t="s">
        <v>470</v>
      </c>
      <c r="M708" s="66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>
      <c r="A709" s="226"/>
      <c r="B709" s="13"/>
      <c r="C709" s="13"/>
      <c r="D709" s="13"/>
      <c r="E709" s="64"/>
      <c r="F709" s="66" t="s">
        <v>470</v>
      </c>
      <c r="G709" s="13"/>
      <c r="H709" s="66" t="s">
        <v>470</v>
      </c>
      <c r="I709" s="66" t="s">
        <v>470</v>
      </c>
      <c r="J709" s="66" t="s">
        <v>470</v>
      </c>
      <c r="K709" s="66" t="s">
        <v>470</v>
      </c>
      <c r="L709" s="66" t="s">
        <v>470</v>
      </c>
      <c r="M709" s="66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>
      <c r="A710" s="226"/>
      <c r="B710" s="13"/>
      <c r="C710" s="13"/>
      <c r="D710" s="13"/>
      <c r="E710" s="64"/>
      <c r="F710" s="66" t="s">
        <v>470</v>
      </c>
      <c r="G710" s="13"/>
      <c r="H710" s="66" t="s">
        <v>470</v>
      </c>
      <c r="I710" s="66" t="s">
        <v>470</v>
      </c>
      <c r="J710" s="66" t="s">
        <v>470</v>
      </c>
      <c r="K710" s="66" t="s">
        <v>470</v>
      </c>
      <c r="L710" s="66" t="s">
        <v>470</v>
      </c>
      <c r="M710" s="66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>
      <c r="A711" s="226"/>
      <c r="B711" s="13"/>
      <c r="C711" s="13"/>
      <c r="D711" s="13"/>
      <c r="E711" s="64"/>
      <c r="F711" s="66" t="s">
        <v>470</v>
      </c>
      <c r="G711" s="13"/>
      <c r="H711" s="66" t="s">
        <v>470</v>
      </c>
      <c r="I711" s="66" t="s">
        <v>470</v>
      </c>
      <c r="J711" s="66" t="s">
        <v>470</v>
      </c>
      <c r="K711" s="66" t="s">
        <v>470</v>
      </c>
      <c r="L711" s="66" t="s">
        <v>470</v>
      </c>
      <c r="M711" s="66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>
      <c r="A712" s="226"/>
      <c r="B712" s="13"/>
      <c r="C712" s="13"/>
      <c r="D712" s="13"/>
      <c r="E712" s="64"/>
      <c r="F712" s="66" t="s">
        <v>470</v>
      </c>
      <c r="G712" s="13"/>
      <c r="H712" s="66" t="s">
        <v>470</v>
      </c>
      <c r="I712" s="66" t="s">
        <v>470</v>
      </c>
      <c r="J712" s="66" t="s">
        <v>470</v>
      </c>
      <c r="K712" s="66" t="s">
        <v>470</v>
      </c>
      <c r="L712" s="66" t="s">
        <v>470</v>
      </c>
      <c r="M712" s="66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>
      <c r="A713" s="226"/>
      <c r="B713" s="13"/>
      <c r="C713" s="13"/>
      <c r="D713" s="13"/>
      <c r="E713" s="64"/>
      <c r="F713" s="66" t="s">
        <v>470</v>
      </c>
      <c r="G713" s="13"/>
      <c r="H713" s="66" t="s">
        <v>470</v>
      </c>
      <c r="I713" s="66" t="s">
        <v>470</v>
      </c>
      <c r="J713" s="66" t="s">
        <v>470</v>
      </c>
      <c r="K713" s="66" t="s">
        <v>470</v>
      </c>
      <c r="L713" s="66" t="s">
        <v>470</v>
      </c>
      <c r="M713" s="66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>
      <c r="A714" s="226"/>
      <c r="B714" s="13"/>
      <c r="C714" s="13"/>
      <c r="D714" s="13"/>
      <c r="E714" s="64"/>
      <c r="F714" s="66" t="s">
        <v>470</v>
      </c>
      <c r="G714" s="13"/>
      <c r="H714" s="66" t="s">
        <v>470</v>
      </c>
      <c r="I714" s="66" t="s">
        <v>470</v>
      </c>
      <c r="J714" s="66" t="s">
        <v>470</v>
      </c>
      <c r="K714" s="66" t="s">
        <v>470</v>
      </c>
      <c r="L714" s="66" t="s">
        <v>470</v>
      </c>
      <c r="M714" s="66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>
      <c r="A715" s="226"/>
      <c r="B715" s="13"/>
      <c r="C715" s="13"/>
      <c r="D715" s="13"/>
      <c r="E715" s="64"/>
      <c r="F715" s="66" t="s">
        <v>470</v>
      </c>
      <c r="G715" s="13"/>
      <c r="H715" s="66" t="s">
        <v>470</v>
      </c>
      <c r="I715" s="66" t="s">
        <v>470</v>
      </c>
      <c r="J715" s="66" t="s">
        <v>470</v>
      </c>
      <c r="K715" s="66" t="s">
        <v>470</v>
      </c>
      <c r="L715" s="66" t="s">
        <v>470</v>
      </c>
      <c r="M715" s="66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>
      <c r="A716" s="226"/>
      <c r="B716" s="13"/>
      <c r="C716" s="13"/>
      <c r="D716" s="13"/>
      <c r="E716" s="64"/>
      <c r="F716" s="66" t="s">
        <v>470</v>
      </c>
      <c r="G716" s="13"/>
      <c r="H716" s="66" t="s">
        <v>470</v>
      </c>
      <c r="I716" s="66" t="s">
        <v>470</v>
      </c>
      <c r="J716" s="66" t="s">
        <v>470</v>
      </c>
      <c r="K716" s="66" t="s">
        <v>470</v>
      </c>
      <c r="L716" s="66" t="s">
        <v>470</v>
      </c>
      <c r="M716" s="66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>
      <c r="A717" s="226"/>
      <c r="B717" s="13"/>
      <c r="C717" s="13"/>
      <c r="D717" s="13"/>
      <c r="E717" s="64"/>
      <c r="F717" s="66" t="s">
        <v>470</v>
      </c>
      <c r="G717" s="13"/>
      <c r="H717" s="66" t="s">
        <v>470</v>
      </c>
      <c r="I717" s="66" t="s">
        <v>470</v>
      </c>
      <c r="J717" s="66" t="s">
        <v>470</v>
      </c>
      <c r="K717" s="66" t="s">
        <v>470</v>
      </c>
      <c r="L717" s="66" t="s">
        <v>470</v>
      </c>
      <c r="M717" s="66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>
      <c r="A718" s="226"/>
      <c r="B718" s="13"/>
      <c r="C718" s="13"/>
      <c r="D718" s="13"/>
      <c r="E718" s="64"/>
      <c r="F718" s="66" t="s">
        <v>470</v>
      </c>
      <c r="G718" s="13"/>
      <c r="H718" s="66" t="s">
        <v>470</v>
      </c>
      <c r="I718" s="66" t="s">
        <v>470</v>
      </c>
      <c r="J718" s="66" t="s">
        <v>470</v>
      </c>
      <c r="K718" s="66" t="s">
        <v>470</v>
      </c>
      <c r="L718" s="66" t="s">
        <v>470</v>
      </c>
      <c r="M718" s="66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>
      <c r="A719" s="226"/>
      <c r="B719" s="13"/>
      <c r="C719" s="13"/>
      <c r="D719" s="13"/>
      <c r="E719" s="64"/>
      <c r="F719" s="66" t="s">
        <v>470</v>
      </c>
      <c r="G719" s="13"/>
      <c r="H719" s="66" t="s">
        <v>470</v>
      </c>
      <c r="I719" s="66" t="s">
        <v>470</v>
      </c>
      <c r="J719" s="66" t="s">
        <v>470</v>
      </c>
      <c r="K719" s="66" t="s">
        <v>470</v>
      </c>
      <c r="L719" s="66" t="s">
        <v>470</v>
      </c>
      <c r="M719" s="66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>
      <c r="A720" s="226"/>
      <c r="B720" s="13"/>
      <c r="C720" s="13"/>
      <c r="D720" s="13"/>
      <c r="E720" s="64"/>
      <c r="F720" s="66" t="s">
        <v>470</v>
      </c>
      <c r="G720" s="13"/>
      <c r="H720" s="66" t="s">
        <v>470</v>
      </c>
      <c r="I720" s="66" t="s">
        <v>470</v>
      </c>
      <c r="J720" s="66" t="s">
        <v>470</v>
      </c>
      <c r="K720" s="66" t="s">
        <v>470</v>
      </c>
      <c r="L720" s="66" t="s">
        <v>470</v>
      </c>
      <c r="M720" s="66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>
      <c r="A721" s="226"/>
      <c r="B721" s="13"/>
      <c r="C721" s="13"/>
      <c r="D721" s="13"/>
      <c r="E721" s="64"/>
      <c r="F721" s="66" t="s">
        <v>470</v>
      </c>
      <c r="G721" s="13"/>
      <c r="H721" s="66" t="s">
        <v>470</v>
      </c>
      <c r="I721" s="66" t="s">
        <v>470</v>
      </c>
      <c r="J721" s="66" t="s">
        <v>470</v>
      </c>
      <c r="K721" s="66" t="s">
        <v>470</v>
      </c>
      <c r="L721" s="66" t="s">
        <v>470</v>
      </c>
      <c r="M721" s="66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>
      <c r="A722" s="226"/>
      <c r="B722" s="13"/>
      <c r="C722" s="13"/>
      <c r="D722" s="13"/>
      <c r="E722" s="64"/>
      <c r="F722" s="66" t="s">
        <v>470</v>
      </c>
      <c r="G722" s="13"/>
      <c r="H722" s="66" t="s">
        <v>470</v>
      </c>
      <c r="I722" s="66" t="s">
        <v>470</v>
      </c>
      <c r="J722" s="66" t="s">
        <v>470</v>
      </c>
      <c r="K722" s="66" t="s">
        <v>470</v>
      </c>
      <c r="L722" s="66" t="s">
        <v>470</v>
      </c>
      <c r="M722" s="66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>
      <c r="A723" s="226"/>
      <c r="B723" s="13"/>
      <c r="C723" s="13"/>
      <c r="D723" s="13"/>
      <c r="E723" s="64"/>
      <c r="F723" s="66" t="s">
        <v>470</v>
      </c>
      <c r="G723" s="13"/>
      <c r="H723" s="66" t="s">
        <v>470</v>
      </c>
      <c r="I723" s="66" t="s">
        <v>470</v>
      </c>
      <c r="J723" s="66" t="s">
        <v>470</v>
      </c>
      <c r="K723" s="66" t="s">
        <v>470</v>
      </c>
      <c r="L723" s="66" t="s">
        <v>470</v>
      </c>
      <c r="M723" s="66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>
      <c r="A724" s="226"/>
      <c r="B724" s="13"/>
      <c r="C724" s="13"/>
      <c r="D724" s="13"/>
      <c r="E724" s="64"/>
      <c r="F724" s="66" t="s">
        <v>470</v>
      </c>
      <c r="G724" s="13"/>
      <c r="H724" s="66" t="s">
        <v>470</v>
      </c>
      <c r="I724" s="66" t="s">
        <v>470</v>
      </c>
      <c r="J724" s="66" t="s">
        <v>470</v>
      </c>
      <c r="K724" s="66" t="s">
        <v>470</v>
      </c>
      <c r="L724" s="66" t="s">
        <v>470</v>
      </c>
      <c r="M724" s="66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>
      <c r="A725" s="226"/>
      <c r="B725" s="13"/>
      <c r="C725" s="13"/>
      <c r="D725" s="13"/>
      <c r="E725" s="64"/>
      <c r="F725" s="66" t="s">
        <v>470</v>
      </c>
      <c r="G725" s="13"/>
      <c r="H725" s="66" t="s">
        <v>470</v>
      </c>
      <c r="I725" s="66" t="s">
        <v>470</v>
      </c>
      <c r="J725" s="66" t="s">
        <v>470</v>
      </c>
      <c r="K725" s="66" t="s">
        <v>470</v>
      </c>
      <c r="L725" s="66" t="s">
        <v>470</v>
      </c>
      <c r="M725" s="66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>
      <c r="A726" s="226"/>
      <c r="B726" s="13"/>
      <c r="C726" s="13"/>
      <c r="D726" s="13"/>
      <c r="E726" s="64"/>
      <c r="F726" s="66" t="s">
        <v>470</v>
      </c>
      <c r="G726" s="13"/>
      <c r="H726" s="66" t="s">
        <v>470</v>
      </c>
      <c r="I726" s="66" t="s">
        <v>470</v>
      </c>
      <c r="J726" s="66" t="s">
        <v>470</v>
      </c>
      <c r="K726" s="66" t="s">
        <v>470</v>
      </c>
      <c r="L726" s="66" t="s">
        <v>470</v>
      </c>
      <c r="M726" s="66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>
      <c r="A727" s="226"/>
      <c r="B727" s="13"/>
      <c r="C727" s="13"/>
      <c r="D727" s="13"/>
      <c r="E727" s="64"/>
      <c r="F727" s="66" t="s">
        <v>470</v>
      </c>
      <c r="G727" s="13"/>
      <c r="H727" s="66" t="s">
        <v>470</v>
      </c>
      <c r="I727" s="66" t="s">
        <v>470</v>
      </c>
      <c r="J727" s="66" t="s">
        <v>470</v>
      </c>
      <c r="K727" s="66" t="s">
        <v>470</v>
      </c>
      <c r="L727" s="66" t="s">
        <v>470</v>
      </c>
      <c r="M727" s="66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>
      <c r="A728" s="226"/>
      <c r="B728" s="13"/>
      <c r="C728" s="13"/>
      <c r="D728" s="13"/>
      <c r="E728" s="64"/>
      <c r="F728" s="66" t="s">
        <v>470</v>
      </c>
      <c r="G728" s="13"/>
      <c r="H728" s="66" t="s">
        <v>470</v>
      </c>
      <c r="I728" s="66" t="s">
        <v>470</v>
      </c>
      <c r="J728" s="66" t="s">
        <v>470</v>
      </c>
      <c r="K728" s="66" t="s">
        <v>470</v>
      </c>
      <c r="L728" s="66" t="s">
        <v>470</v>
      </c>
      <c r="M728" s="66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>
      <c r="A729" s="226"/>
      <c r="B729" s="13"/>
      <c r="C729" s="13"/>
      <c r="D729" s="13"/>
      <c r="E729" s="64"/>
      <c r="F729" s="66" t="s">
        <v>470</v>
      </c>
      <c r="G729" s="13"/>
      <c r="H729" s="66" t="s">
        <v>470</v>
      </c>
      <c r="I729" s="66" t="s">
        <v>470</v>
      </c>
      <c r="J729" s="66" t="s">
        <v>470</v>
      </c>
      <c r="K729" s="66" t="s">
        <v>470</v>
      </c>
      <c r="L729" s="66" t="s">
        <v>470</v>
      </c>
      <c r="M729" s="66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>
      <c r="A730" s="226"/>
      <c r="B730" s="13"/>
      <c r="C730" s="13"/>
      <c r="D730" s="13"/>
      <c r="E730" s="64"/>
      <c r="F730" s="66" t="s">
        <v>470</v>
      </c>
      <c r="G730" s="13"/>
      <c r="H730" s="66" t="s">
        <v>470</v>
      </c>
      <c r="I730" s="66" t="s">
        <v>470</v>
      </c>
      <c r="J730" s="66" t="s">
        <v>470</v>
      </c>
      <c r="K730" s="66" t="s">
        <v>470</v>
      </c>
      <c r="L730" s="66" t="s">
        <v>470</v>
      </c>
      <c r="M730" s="66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>
      <c r="A731" s="226"/>
      <c r="B731" s="13"/>
      <c r="C731" s="13"/>
      <c r="D731" s="13"/>
      <c r="E731" s="64"/>
      <c r="F731" s="66" t="s">
        <v>470</v>
      </c>
      <c r="G731" s="13"/>
      <c r="H731" s="66" t="s">
        <v>470</v>
      </c>
      <c r="I731" s="66" t="s">
        <v>470</v>
      </c>
      <c r="J731" s="66" t="s">
        <v>470</v>
      </c>
      <c r="K731" s="66" t="s">
        <v>470</v>
      </c>
      <c r="L731" s="66" t="s">
        <v>470</v>
      </c>
      <c r="M731" s="66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>
      <c r="A732" s="226"/>
      <c r="B732" s="13"/>
      <c r="C732" s="13"/>
      <c r="D732" s="13"/>
      <c r="E732" s="64"/>
      <c r="F732" s="66" t="s">
        <v>470</v>
      </c>
      <c r="G732" s="13"/>
      <c r="H732" s="66" t="s">
        <v>470</v>
      </c>
      <c r="I732" s="66" t="s">
        <v>470</v>
      </c>
      <c r="J732" s="66" t="s">
        <v>470</v>
      </c>
      <c r="K732" s="66" t="s">
        <v>470</v>
      </c>
      <c r="L732" s="66" t="s">
        <v>470</v>
      </c>
      <c r="M732" s="66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>
      <c r="A733" s="226"/>
      <c r="B733" s="13"/>
      <c r="C733" s="13"/>
      <c r="D733" s="13"/>
      <c r="E733" s="64"/>
      <c r="F733" s="66" t="s">
        <v>470</v>
      </c>
      <c r="G733" s="13"/>
      <c r="H733" s="66" t="s">
        <v>470</v>
      </c>
      <c r="I733" s="66" t="s">
        <v>470</v>
      </c>
      <c r="J733" s="66" t="s">
        <v>470</v>
      </c>
      <c r="K733" s="66" t="s">
        <v>470</v>
      </c>
      <c r="L733" s="66" t="s">
        <v>470</v>
      </c>
      <c r="M733" s="66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>
      <c r="A734" s="226"/>
      <c r="B734" s="13"/>
      <c r="C734" s="13"/>
      <c r="D734" s="13"/>
      <c r="E734" s="64"/>
      <c r="F734" s="66" t="s">
        <v>470</v>
      </c>
      <c r="G734" s="13"/>
      <c r="H734" s="66" t="s">
        <v>470</v>
      </c>
      <c r="I734" s="66" t="s">
        <v>470</v>
      </c>
      <c r="J734" s="66" t="s">
        <v>470</v>
      </c>
      <c r="K734" s="66" t="s">
        <v>470</v>
      </c>
      <c r="L734" s="66" t="s">
        <v>470</v>
      </c>
      <c r="M734" s="66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>
      <c r="A735" s="226"/>
      <c r="B735" s="13"/>
      <c r="C735" s="13"/>
      <c r="D735" s="13"/>
      <c r="E735" s="64"/>
      <c r="F735" s="66" t="s">
        <v>470</v>
      </c>
      <c r="G735" s="13"/>
      <c r="H735" s="66" t="s">
        <v>470</v>
      </c>
      <c r="I735" s="66" t="s">
        <v>470</v>
      </c>
      <c r="J735" s="66" t="s">
        <v>470</v>
      </c>
      <c r="K735" s="66" t="s">
        <v>470</v>
      </c>
      <c r="L735" s="66" t="s">
        <v>470</v>
      </c>
      <c r="M735" s="66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>
      <c r="A736" s="226"/>
      <c r="B736" s="13"/>
      <c r="C736" s="13"/>
      <c r="D736" s="13"/>
      <c r="E736" s="64"/>
      <c r="F736" s="66" t="s">
        <v>470</v>
      </c>
      <c r="G736" s="13"/>
      <c r="H736" s="66" t="s">
        <v>470</v>
      </c>
      <c r="I736" s="66" t="s">
        <v>470</v>
      </c>
      <c r="J736" s="66" t="s">
        <v>470</v>
      </c>
      <c r="K736" s="66" t="s">
        <v>470</v>
      </c>
      <c r="L736" s="66" t="s">
        <v>470</v>
      </c>
      <c r="M736" s="66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>
      <c r="A737" s="226"/>
      <c r="B737" s="13"/>
      <c r="C737" s="13"/>
      <c r="D737" s="13"/>
      <c r="E737" s="64"/>
      <c r="F737" s="66" t="s">
        <v>470</v>
      </c>
      <c r="G737" s="13"/>
      <c r="H737" s="66" t="s">
        <v>470</v>
      </c>
      <c r="I737" s="66" t="s">
        <v>470</v>
      </c>
      <c r="J737" s="66" t="s">
        <v>470</v>
      </c>
      <c r="K737" s="66" t="s">
        <v>470</v>
      </c>
      <c r="L737" s="66" t="s">
        <v>470</v>
      </c>
      <c r="M737" s="66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>
      <c r="A738" s="226"/>
      <c r="B738" s="13"/>
      <c r="C738" s="13"/>
      <c r="D738" s="13"/>
      <c r="E738" s="64"/>
      <c r="F738" s="66" t="s">
        <v>470</v>
      </c>
      <c r="G738" s="13"/>
      <c r="H738" s="66" t="s">
        <v>470</v>
      </c>
      <c r="I738" s="66" t="s">
        <v>470</v>
      </c>
      <c r="J738" s="66" t="s">
        <v>470</v>
      </c>
      <c r="K738" s="66" t="s">
        <v>470</v>
      </c>
      <c r="L738" s="66" t="s">
        <v>470</v>
      </c>
      <c r="M738" s="66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>
      <c r="A739" s="226"/>
      <c r="B739" s="13"/>
      <c r="C739" s="13"/>
      <c r="D739" s="13"/>
      <c r="E739" s="64"/>
      <c r="F739" s="66" t="s">
        <v>470</v>
      </c>
      <c r="G739" s="13"/>
      <c r="H739" s="66" t="s">
        <v>470</v>
      </c>
      <c r="I739" s="66" t="s">
        <v>470</v>
      </c>
      <c r="J739" s="66" t="s">
        <v>470</v>
      </c>
      <c r="K739" s="66" t="s">
        <v>470</v>
      </c>
      <c r="L739" s="66" t="s">
        <v>470</v>
      </c>
      <c r="M739" s="66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>
      <c r="A740" s="226"/>
      <c r="B740" s="13"/>
      <c r="C740" s="13"/>
      <c r="D740" s="13"/>
      <c r="E740" s="64"/>
      <c r="F740" s="66" t="s">
        <v>470</v>
      </c>
      <c r="G740" s="13"/>
      <c r="H740" s="66" t="s">
        <v>470</v>
      </c>
      <c r="I740" s="66" t="s">
        <v>470</v>
      </c>
      <c r="J740" s="66" t="s">
        <v>470</v>
      </c>
      <c r="K740" s="66" t="s">
        <v>470</v>
      </c>
      <c r="L740" s="66" t="s">
        <v>470</v>
      </c>
      <c r="M740" s="66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>
      <c r="A741" s="226"/>
      <c r="B741" s="13"/>
      <c r="C741" s="13"/>
      <c r="D741" s="13"/>
      <c r="E741" s="64"/>
      <c r="F741" s="66" t="s">
        <v>470</v>
      </c>
      <c r="G741" s="13"/>
      <c r="H741" s="66" t="s">
        <v>470</v>
      </c>
      <c r="I741" s="66" t="s">
        <v>470</v>
      </c>
      <c r="J741" s="66" t="s">
        <v>470</v>
      </c>
      <c r="K741" s="66" t="s">
        <v>470</v>
      </c>
      <c r="L741" s="66" t="s">
        <v>470</v>
      </c>
      <c r="M741" s="66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>
      <c r="A742" s="226"/>
      <c r="B742" s="13"/>
      <c r="C742" s="13"/>
      <c r="D742" s="13"/>
      <c r="E742" s="64"/>
      <c r="F742" s="66" t="s">
        <v>470</v>
      </c>
      <c r="G742" s="13"/>
      <c r="H742" s="66" t="s">
        <v>470</v>
      </c>
      <c r="I742" s="66" t="s">
        <v>470</v>
      </c>
      <c r="J742" s="66" t="s">
        <v>470</v>
      </c>
      <c r="K742" s="66" t="s">
        <v>470</v>
      </c>
      <c r="L742" s="66" t="s">
        <v>470</v>
      </c>
      <c r="M742" s="66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>
      <c r="A743" s="226"/>
      <c r="B743" s="13"/>
      <c r="C743" s="13"/>
      <c r="D743" s="13"/>
      <c r="E743" s="64"/>
      <c r="F743" s="66" t="s">
        <v>470</v>
      </c>
      <c r="G743" s="13"/>
      <c r="H743" s="66" t="s">
        <v>470</v>
      </c>
      <c r="I743" s="66" t="s">
        <v>470</v>
      </c>
      <c r="J743" s="66" t="s">
        <v>470</v>
      </c>
      <c r="K743" s="66" t="s">
        <v>470</v>
      </c>
      <c r="L743" s="66" t="s">
        <v>470</v>
      </c>
      <c r="M743" s="66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>
      <c r="A744" s="226"/>
      <c r="B744" s="13"/>
      <c r="C744" s="13"/>
      <c r="D744" s="13"/>
      <c r="E744" s="64"/>
      <c r="F744" s="66" t="s">
        <v>470</v>
      </c>
      <c r="G744" s="13"/>
      <c r="H744" s="66" t="s">
        <v>470</v>
      </c>
      <c r="I744" s="66" t="s">
        <v>470</v>
      </c>
      <c r="J744" s="66" t="s">
        <v>470</v>
      </c>
      <c r="K744" s="66" t="s">
        <v>470</v>
      </c>
      <c r="L744" s="66" t="s">
        <v>470</v>
      </c>
      <c r="M744" s="66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>
      <c r="A745" s="226"/>
      <c r="B745" s="13"/>
      <c r="C745" s="13"/>
      <c r="D745" s="13"/>
      <c r="E745" s="64"/>
      <c r="F745" s="66" t="s">
        <v>470</v>
      </c>
      <c r="G745" s="13"/>
      <c r="H745" s="66" t="s">
        <v>470</v>
      </c>
      <c r="I745" s="66" t="s">
        <v>470</v>
      </c>
      <c r="J745" s="66" t="s">
        <v>470</v>
      </c>
      <c r="K745" s="66" t="s">
        <v>470</v>
      </c>
      <c r="L745" s="66" t="s">
        <v>470</v>
      </c>
      <c r="M745" s="66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>
      <c r="A746" s="226"/>
      <c r="B746" s="13"/>
      <c r="C746" s="13"/>
      <c r="D746" s="13"/>
      <c r="E746" s="64"/>
      <c r="F746" s="66" t="s">
        <v>470</v>
      </c>
      <c r="G746" s="13"/>
      <c r="H746" s="66" t="s">
        <v>470</v>
      </c>
      <c r="I746" s="66" t="s">
        <v>470</v>
      </c>
      <c r="J746" s="66" t="s">
        <v>470</v>
      </c>
      <c r="K746" s="66" t="s">
        <v>470</v>
      </c>
      <c r="L746" s="66" t="s">
        <v>470</v>
      </c>
      <c r="M746" s="66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>
      <c r="A747" s="226"/>
      <c r="B747" s="13"/>
      <c r="C747" s="13"/>
      <c r="D747" s="13"/>
      <c r="E747" s="64"/>
      <c r="F747" s="66" t="s">
        <v>470</v>
      </c>
      <c r="G747" s="13"/>
      <c r="H747" s="66" t="s">
        <v>470</v>
      </c>
      <c r="I747" s="66" t="s">
        <v>470</v>
      </c>
      <c r="J747" s="66" t="s">
        <v>470</v>
      </c>
      <c r="K747" s="66" t="s">
        <v>470</v>
      </c>
      <c r="L747" s="66" t="s">
        <v>470</v>
      </c>
      <c r="M747" s="66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>
      <c r="A748" s="226"/>
      <c r="B748" s="13"/>
      <c r="C748" s="13"/>
      <c r="D748" s="13"/>
      <c r="E748" s="64"/>
      <c r="F748" s="66" t="s">
        <v>470</v>
      </c>
      <c r="G748" s="13"/>
      <c r="H748" s="66" t="s">
        <v>470</v>
      </c>
      <c r="I748" s="66" t="s">
        <v>470</v>
      </c>
      <c r="J748" s="66" t="s">
        <v>470</v>
      </c>
      <c r="K748" s="66" t="s">
        <v>470</v>
      </c>
      <c r="L748" s="66" t="s">
        <v>470</v>
      </c>
      <c r="M748" s="66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>
      <c r="A749" s="226"/>
      <c r="B749" s="13"/>
      <c r="C749" s="13"/>
      <c r="D749" s="13"/>
      <c r="E749" s="64"/>
      <c r="F749" s="66" t="s">
        <v>470</v>
      </c>
      <c r="G749" s="13"/>
      <c r="H749" s="66" t="s">
        <v>470</v>
      </c>
      <c r="I749" s="66" t="s">
        <v>470</v>
      </c>
      <c r="J749" s="66" t="s">
        <v>470</v>
      </c>
      <c r="K749" s="66" t="s">
        <v>470</v>
      </c>
      <c r="L749" s="66" t="s">
        <v>470</v>
      </c>
      <c r="M749" s="66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>
      <c r="A750" s="226"/>
      <c r="B750" s="13"/>
      <c r="C750" s="13"/>
      <c r="D750" s="13"/>
      <c r="E750" s="64"/>
      <c r="F750" s="66" t="s">
        <v>470</v>
      </c>
      <c r="G750" s="13"/>
      <c r="H750" s="66" t="s">
        <v>470</v>
      </c>
      <c r="I750" s="66" t="s">
        <v>470</v>
      </c>
      <c r="J750" s="66" t="s">
        <v>470</v>
      </c>
      <c r="K750" s="66" t="s">
        <v>470</v>
      </c>
      <c r="L750" s="66" t="s">
        <v>470</v>
      </c>
      <c r="M750" s="66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>
      <c r="A751" s="226"/>
      <c r="B751" s="13"/>
      <c r="C751" s="13"/>
      <c r="D751" s="13"/>
      <c r="E751" s="64"/>
      <c r="F751" s="66" t="s">
        <v>470</v>
      </c>
      <c r="G751" s="13"/>
      <c r="H751" s="66" t="s">
        <v>470</v>
      </c>
      <c r="I751" s="66" t="s">
        <v>470</v>
      </c>
      <c r="J751" s="66" t="s">
        <v>470</v>
      </c>
      <c r="K751" s="66" t="s">
        <v>470</v>
      </c>
      <c r="L751" s="66" t="s">
        <v>470</v>
      </c>
      <c r="M751" s="66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>
      <c r="A752" s="226"/>
      <c r="B752" s="13"/>
      <c r="C752" s="13"/>
      <c r="D752" s="13"/>
      <c r="E752" s="64"/>
      <c r="F752" s="66" t="s">
        <v>470</v>
      </c>
      <c r="G752" s="13"/>
      <c r="H752" s="66" t="s">
        <v>470</v>
      </c>
      <c r="I752" s="66" t="s">
        <v>470</v>
      </c>
      <c r="J752" s="66" t="s">
        <v>470</v>
      </c>
      <c r="K752" s="66" t="s">
        <v>470</v>
      </c>
      <c r="L752" s="66" t="s">
        <v>470</v>
      </c>
      <c r="M752" s="66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>
      <c r="A753" s="226"/>
      <c r="B753" s="13"/>
      <c r="C753" s="13"/>
      <c r="D753" s="13"/>
      <c r="E753" s="64"/>
      <c r="F753" s="66" t="s">
        <v>470</v>
      </c>
      <c r="G753" s="13"/>
      <c r="H753" s="66" t="s">
        <v>470</v>
      </c>
      <c r="I753" s="66" t="s">
        <v>470</v>
      </c>
      <c r="J753" s="66" t="s">
        <v>470</v>
      </c>
      <c r="K753" s="66" t="s">
        <v>470</v>
      </c>
      <c r="L753" s="66" t="s">
        <v>470</v>
      </c>
      <c r="M753" s="66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>
      <c r="A754" s="226"/>
      <c r="B754" s="13"/>
      <c r="C754" s="13"/>
      <c r="D754" s="13"/>
      <c r="E754" s="64"/>
      <c r="F754" s="66" t="s">
        <v>470</v>
      </c>
      <c r="G754" s="13"/>
      <c r="H754" s="66" t="s">
        <v>470</v>
      </c>
      <c r="I754" s="66" t="s">
        <v>470</v>
      </c>
      <c r="J754" s="66" t="s">
        <v>470</v>
      </c>
      <c r="K754" s="66" t="s">
        <v>470</v>
      </c>
      <c r="L754" s="66" t="s">
        <v>470</v>
      </c>
      <c r="M754" s="66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>
      <c r="A755" s="226"/>
      <c r="B755" s="13"/>
      <c r="C755" s="13"/>
      <c r="D755" s="13"/>
      <c r="E755" s="64"/>
      <c r="F755" s="66" t="s">
        <v>470</v>
      </c>
      <c r="G755" s="13"/>
      <c r="H755" s="66" t="s">
        <v>470</v>
      </c>
      <c r="I755" s="66" t="s">
        <v>470</v>
      </c>
      <c r="J755" s="66" t="s">
        <v>470</v>
      </c>
      <c r="K755" s="66" t="s">
        <v>470</v>
      </c>
      <c r="L755" s="66" t="s">
        <v>470</v>
      </c>
      <c r="M755" s="66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>
      <c r="A756" s="226"/>
      <c r="B756" s="13"/>
      <c r="C756" s="13"/>
      <c r="D756" s="13"/>
      <c r="E756" s="64"/>
      <c r="F756" s="66" t="s">
        <v>470</v>
      </c>
      <c r="G756" s="13"/>
      <c r="H756" s="66" t="s">
        <v>470</v>
      </c>
      <c r="I756" s="66" t="s">
        <v>470</v>
      </c>
      <c r="J756" s="66" t="s">
        <v>470</v>
      </c>
      <c r="K756" s="66" t="s">
        <v>470</v>
      </c>
      <c r="L756" s="66" t="s">
        <v>470</v>
      </c>
      <c r="M756" s="66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>
      <c r="A757" s="226"/>
      <c r="B757" s="13"/>
      <c r="C757" s="13"/>
      <c r="D757" s="13"/>
      <c r="E757" s="64"/>
      <c r="F757" s="66" t="s">
        <v>470</v>
      </c>
      <c r="G757" s="13"/>
      <c r="H757" s="66" t="s">
        <v>470</v>
      </c>
      <c r="I757" s="66" t="s">
        <v>470</v>
      </c>
      <c r="J757" s="66" t="s">
        <v>470</v>
      </c>
      <c r="K757" s="66" t="s">
        <v>470</v>
      </c>
      <c r="L757" s="66" t="s">
        <v>470</v>
      </c>
      <c r="M757" s="66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>
      <c r="A758" s="226"/>
      <c r="B758" s="13"/>
      <c r="C758" s="13"/>
      <c r="D758" s="13"/>
      <c r="E758" s="64"/>
      <c r="F758" s="66" t="s">
        <v>470</v>
      </c>
      <c r="G758" s="13"/>
      <c r="H758" s="66" t="s">
        <v>470</v>
      </c>
      <c r="I758" s="66" t="s">
        <v>470</v>
      </c>
      <c r="J758" s="66" t="s">
        <v>470</v>
      </c>
      <c r="K758" s="66" t="s">
        <v>470</v>
      </c>
      <c r="L758" s="66" t="s">
        <v>470</v>
      </c>
      <c r="M758" s="66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>
      <c r="A759" s="226"/>
      <c r="B759" s="13"/>
      <c r="C759" s="13"/>
      <c r="D759" s="13"/>
      <c r="E759" s="64"/>
      <c r="F759" s="66" t="s">
        <v>470</v>
      </c>
      <c r="G759" s="13"/>
      <c r="H759" s="66" t="s">
        <v>470</v>
      </c>
      <c r="I759" s="66" t="s">
        <v>470</v>
      </c>
      <c r="J759" s="66" t="s">
        <v>470</v>
      </c>
      <c r="K759" s="66" t="s">
        <v>470</v>
      </c>
      <c r="L759" s="66" t="s">
        <v>470</v>
      </c>
      <c r="M759" s="66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>
      <c r="A760" s="226"/>
      <c r="B760" s="13"/>
      <c r="C760" s="13"/>
      <c r="D760" s="13"/>
      <c r="E760" s="64"/>
      <c r="F760" s="66" t="s">
        <v>470</v>
      </c>
      <c r="G760" s="13"/>
      <c r="H760" s="66" t="s">
        <v>470</v>
      </c>
      <c r="I760" s="66" t="s">
        <v>470</v>
      </c>
      <c r="J760" s="66" t="s">
        <v>470</v>
      </c>
      <c r="K760" s="66" t="s">
        <v>470</v>
      </c>
      <c r="L760" s="66" t="s">
        <v>470</v>
      </c>
      <c r="M760" s="66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>
      <c r="A761" s="226"/>
      <c r="B761" s="13"/>
      <c r="C761" s="13"/>
      <c r="D761" s="13"/>
      <c r="E761" s="64"/>
      <c r="F761" s="66" t="s">
        <v>470</v>
      </c>
      <c r="G761" s="13"/>
      <c r="H761" s="66" t="s">
        <v>470</v>
      </c>
      <c r="I761" s="66" t="s">
        <v>470</v>
      </c>
      <c r="J761" s="66" t="s">
        <v>470</v>
      </c>
      <c r="K761" s="66" t="s">
        <v>470</v>
      </c>
      <c r="L761" s="66" t="s">
        <v>470</v>
      </c>
      <c r="M761" s="66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>
      <c r="A762" s="226"/>
      <c r="B762" s="13"/>
      <c r="C762" s="13"/>
      <c r="D762" s="13"/>
      <c r="E762" s="64"/>
      <c r="F762" s="66" t="s">
        <v>470</v>
      </c>
      <c r="G762" s="13"/>
      <c r="H762" s="66" t="s">
        <v>470</v>
      </c>
      <c r="I762" s="66" t="s">
        <v>470</v>
      </c>
      <c r="J762" s="66" t="s">
        <v>470</v>
      </c>
      <c r="K762" s="66" t="s">
        <v>470</v>
      </c>
      <c r="L762" s="66" t="s">
        <v>470</v>
      </c>
      <c r="M762" s="66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>
      <c r="A763" s="226"/>
      <c r="B763" s="13"/>
      <c r="C763" s="13"/>
      <c r="D763" s="13"/>
      <c r="E763" s="64"/>
      <c r="F763" s="66" t="s">
        <v>470</v>
      </c>
      <c r="G763" s="13"/>
      <c r="H763" s="66" t="s">
        <v>470</v>
      </c>
      <c r="I763" s="66" t="s">
        <v>470</v>
      </c>
      <c r="J763" s="66" t="s">
        <v>470</v>
      </c>
      <c r="K763" s="66" t="s">
        <v>470</v>
      </c>
      <c r="L763" s="66" t="s">
        <v>470</v>
      </c>
      <c r="M763" s="66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>
      <c r="A764" s="226"/>
      <c r="B764" s="13"/>
      <c r="C764" s="13"/>
      <c r="D764" s="13"/>
      <c r="E764" s="64"/>
      <c r="F764" s="66" t="s">
        <v>470</v>
      </c>
      <c r="G764" s="13"/>
      <c r="H764" s="66" t="s">
        <v>470</v>
      </c>
      <c r="I764" s="66" t="s">
        <v>470</v>
      </c>
      <c r="J764" s="66" t="s">
        <v>470</v>
      </c>
      <c r="K764" s="66" t="s">
        <v>470</v>
      </c>
      <c r="L764" s="66" t="s">
        <v>470</v>
      </c>
      <c r="M764" s="66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>
      <c r="A765" s="226"/>
      <c r="B765" s="13"/>
      <c r="C765" s="13"/>
      <c r="D765" s="13"/>
      <c r="E765" s="64"/>
      <c r="F765" s="66" t="s">
        <v>470</v>
      </c>
      <c r="G765" s="13"/>
      <c r="H765" s="66" t="s">
        <v>470</v>
      </c>
      <c r="I765" s="66" t="s">
        <v>470</v>
      </c>
      <c r="J765" s="66" t="s">
        <v>470</v>
      </c>
      <c r="K765" s="66" t="s">
        <v>470</v>
      </c>
      <c r="L765" s="66" t="s">
        <v>470</v>
      </c>
      <c r="M765" s="66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>
      <c r="A766" s="226"/>
      <c r="B766" s="13"/>
      <c r="C766" s="13"/>
      <c r="D766" s="13"/>
      <c r="E766" s="64"/>
      <c r="F766" s="66" t="s">
        <v>470</v>
      </c>
      <c r="G766" s="13"/>
      <c r="H766" s="66" t="s">
        <v>470</v>
      </c>
      <c r="I766" s="66" t="s">
        <v>470</v>
      </c>
      <c r="J766" s="66" t="s">
        <v>470</v>
      </c>
      <c r="K766" s="66" t="s">
        <v>470</v>
      </c>
      <c r="L766" s="66" t="s">
        <v>470</v>
      </c>
      <c r="M766" s="66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>
      <c r="A767" s="226"/>
      <c r="B767" s="13"/>
      <c r="C767" s="13"/>
      <c r="D767" s="13"/>
      <c r="E767" s="64"/>
      <c r="F767" s="66" t="s">
        <v>470</v>
      </c>
      <c r="G767" s="13"/>
      <c r="H767" s="66" t="s">
        <v>470</v>
      </c>
      <c r="I767" s="66" t="s">
        <v>470</v>
      </c>
      <c r="J767" s="66" t="s">
        <v>470</v>
      </c>
      <c r="K767" s="66" t="s">
        <v>470</v>
      </c>
      <c r="L767" s="66" t="s">
        <v>470</v>
      </c>
      <c r="M767" s="66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>
      <c r="A768" s="226"/>
      <c r="B768" s="13"/>
      <c r="C768" s="13"/>
      <c r="D768" s="13"/>
      <c r="E768" s="64"/>
      <c r="F768" s="66" t="s">
        <v>470</v>
      </c>
      <c r="G768" s="13"/>
      <c r="H768" s="66" t="s">
        <v>470</v>
      </c>
      <c r="I768" s="66" t="s">
        <v>470</v>
      </c>
      <c r="J768" s="66" t="s">
        <v>470</v>
      </c>
      <c r="K768" s="66" t="s">
        <v>470</v>
      </c>
      <c r="L768" s="66" t="s">
        <v>470</v>
      </c>
      <c r="M768" s="66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>
      <c r="A769" s="226"/>
      <c r="B769" s="13"/>
      <c r="C769" s="13"/>
      <c r="D769" s="13"/>
      <c r="E769" s="64"/>
      <c r="F769" s="66" t="s">
        <v>470</v>
      </c>
      <c r="G769" s="13"/>
      <c r="H769" s="66" t="s">
        <v>470</v>
      </c>
      <c r="I769" s="66" t="s">
        <v>470</v>
      </c>
      <c r="J769" s="66" t="s">
        <v>470</v>
      </c>
      <c r="K769" s="66" t="s">
        <v>470</v>
      </c>
      <c r="L769" s="66" t="s">
        <v>470</v>
      </c>
      <c r="M769" s="66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>
      <c r="A770" s="226"/>
      <c r="B770" s="13"/>
      <c r="C770" s="13"/>
      <c r="D770" s="13"/>
      <c r="E770" s="64"/>
      <c r="F770" s="66" t="s">
        <v>470</v>
      </c>
      <c r="G770" s="13"/>
      <c r="H770" s="66" t="s">
        <v>470</v>
      </c>
      <c r="I770" s="66" t="s">
        <v>470</v>
      </c>
      <c r="J770" s="66" t="s">
        <v>470</v>
      </c>
      <c r="K770" s="66" t="s">
        <v>470</v>
      </c>
      <c r="L770" s="66" t="s">
        <v>470</v>
      </c>
      <c r="M770" s="66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>
      <c r="A771" s="226"/>
      <c r="B771" s="13"/>
      <c r="C771" s="13"/>
      <c r="D771" s="13"/>
      <c r="E771" s="64"/>
      <c r="F771" s="66" t="s">
        <v>470</v>
      </c>
      <c r="G771" s="13"/>
      <c r="H771" s="66" t="s">
        <v>470</v>
      </c>
      <c r="I771" s="66" t="s">
        <v>470</v>
      </c>
      <c r="J771" s="66" t="s">
        <v>470</v>
      </c>
      <c r="K771" s="66" t="s">
        <v>470</v>
      </c>
      <c r="L771" s="66" t="s">
        <v>470</v>
      </c>
      <c r="M771" s="66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>
      <c r="A772" s="226"/>
      <c r="B772" s="13"/>
      <c r="C772" s="13"/>
      <c r="D772" s="13"/>
      <c r="E772" s="64"/>
      <c r="F772" s="66" t="s">
        <v>470</v>
      </c>
      <c r="G772" s="13"/>
      <c r="H772" s="66" t="s">
        <v>470</v>
      </c>
      <c r="I772" s="66" t="s">
        <v>470</v>
      </c>
      <c r="J772" s="66" t="s">
        <v>470</v>
      </c>
      <c r="K772" s="66" t="s">
        <v>470</v>
      </c>
      <c r="L772" s="66" t="s">
        <v>470</v>
      </c>
      <c r="M772" s="66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>
      <c r="A773" s="226"/>
      <c r="B773" s="13"/>
      <c r="C773" s="13"/>
      <c r="D773" s="13"/>
      <c r="E773" s="64"/>
      <c r="F773" s="66" t="s">
        <v>470</v>
      </c>
      <c r="G773" s="13"/>
      <c r="H773" s="66" t="s">
        <v>470</v>
      </c>
      <c r="I773" s="66" t="s">
        <v>470</v>
      </c>
      <c r="J773" s="66" t="s">
        <v>470</v>
      </c>
      <c r="K773" s="66" t="s">
        <v>470</v>
      </c>
      <c r="L773" s="66" t="s">
        <v>470</v>
      </c>
      <c r="M773" s="66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>
      <c r="A774" s="226"/>
      <c r="B774" s="13"/>
      <c r="C774" s="13"/>
      <c r="D774" s="13"/>
      <c r="E774" s="64"/>
      <c r="F774" s="66" t="s">
        <v>470</v>
      </c>
      <c r="G774" s="13"/>
      <c r="H774" s="66" t="s">
        <v>470</v>
      </c>
      <c r="I774" s="66" t="s">
        <v>470</v>
      </c>
      <c r="J774" s="66" t="s">
        <v>470</v>
      </c>
      <c r="K774" s="66" t="s">
        <v>470</v>
      </c>
      <c r="L774" s="66" t="s">
        <v>470</v>
      </c>
      <c r="M774" s="66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>
      <c r="A775" s="226"/>
      <c r="B775" s="13"/>
      <c r="C775" s="13"/>
      <c r="D775" s="13"/>
      <c r="E775" s="64"/>
      <c r="F775" s="66" t="s">
        <v>470</v>
      </c>
      <c r="G775" s="13"/>
      <c r="H775" s="66" t="s">
        <v>470</v>
      </c>
      <c r="I775" s="66" t="s">
        <v>470</v>
      </c>
      <c r="J775" s="66" t="s">
        <v>470</v>
      </c>
      <c r="K775" s="66" t="s">
        <v>470</v>
      </c>
      <c r="L775" s="66" t="s">
        <v>470</v>
      </c>
      <c r="M775" s="66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>
      <c r="A776" s="226"/>
      <c r="B776" s="13"/>
      <c r="C776" s="13"/>
      <c r="D776" s="13"/>
      <c r="E776" s="64"/>
      <c r="F776" s="66" t="s">
        <v>470</v>
      </c>
      <c r="G776" s="13"/>
      <c r="H776" s="66" t="s">
        <v>470</v>
      </c>
      <c r="I776" s="66" t="s">
        <v>470</v>
      </c>
      <c r="J776" s="66" t="s">
        <v>470</v>
      </c>
      <c r="K776" s="66" t="s">
        <v>470</v>
      </c>
      <c r="L776" s="66" t="s">
        <v>470</v>
      </c>
      <c r="M776" s="66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>
      <c r="A777" s="226"/>
      <c r="B777" s="13"/>
      <c r="C777" s="13"/>
      <c r="D777" s="13"/>
      <c r="E777" s="64"/>
      <c r="F777" s="66" t="s">
        <v>470</v>
      </c>
      <c r="G777" s="13"/>
      <c r="H777" s="66" t="s">
        <v>470</v>
      </c>
      <c r="I777" s="66" t="s">
        <v>470</v>
      </c>
      <c r="J777" s="66" t="s">
        <v>470</v>
      </c>
      <c r="K777" s="66" t="s">
        <v>470</v>
      </c>
      <c r="L777" s="66" t="s">
        <v>470</v>
      </c>
      <c r="M777" s="66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>
      <c r="A778" s="226"/>
      <c r="B778" s="13"/>
      <c r="C778" s="13"/>
      <c r="D778" s="13"/>
      <c r="E778" s="64"/>
      <c r="F778" s="66" t="s">
        <v>470</v>
      </c>
      <c r="G778" s="13"/>
      <c r="H778" s="66" t="s">
        <v>470</v>
      </c>
      <c r="I778" s="66" t="s">
        <v>470</v>
      </c>
      <c r="J778" s="66" t="s">
        <v>470</v>
      </c>
      <c r="K778" s="66" t="s">
        <v>470</v>
      </c>
      <c r="L778" s="66" t="s">
        <v>470</v>
      </c>
      <c r="M778" s="66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>
      <c r="A779" s="226"/>
      <c r="B779" s="13"/>
      <c r="C779" s="13"/>
      <c r="D779" s="13"/>
      <c r="E779" s="64"/>
      <c r="F779" s="66" t="s">
        <v>470</v>
      </c>
      <c r="G779" s="13"/>
      <c r="H779" s="66" t="s">
        <v>470</v>
      </c>
      <c r="I779" s="66" t="s">
        <v>470</v>
      </c>
      <c r="J779" s="66" t="s">
        <v>470</v>
      </c>
      <c r="K779" s="66" t="s">
        <v>470</v>
      </c>
      <c r="L779" s="66" t="s">
        <v>470</v>
      </c>
      <c r="M779" s="66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>
      <c r="A780" s="226"/>
      <c r="B780" s="13"/>
      <c r="C780" s="13"/>
      <c r="D780" s="13"/>
      <c r="E780" s="64"/>
      <c r="F780" s="66" t="s">
        <v>470</v>
      </c>
      <c r="G780" s="13"/>
      <c r="H780" s="66" t="s">
        <v>470</v>
      </c>
      <c r="I780" s="66" t="s">
        <v>470</v>
      </c>
      <c r="J780" s="66" t="s">
        <v>470</v>
      </c>
      <c r="K780" s="66" t="s">
        <v>470</v>
      </c>
      <c r="L780" s="66" t="s">
        <v>470</v>
      </c>
      <c r="M780" s="66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>
      <c r="A781" s="226"/>
      <c r="B781" s="13"/>
      <c r="C781" s="13"/>
      <c r="D781" s="13"/>
      <c r="E781" s="64"/>
      <c r="F781" s="66" t="s">
        <v>470</v>
      </c>
      <c r="G781" s="13"/>
      <c r="H781" s="66" t="s">
        <v>470</v>
      </c>
      <c r="I781" s="66" t="s">
        <v>470</v>
      </c>
      <c r="J781" s="66" t="s">
        <v>470</v>
      </c>
      <c r="K781" s="66" t="s">
        <v>470</v>
      </c>
      <c r="L781" s="66" t="s">
        <v>470</v>
      </c>
      <c r="M781" s="66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>
      <c r="A782" s="226"/>
      <c r="B782" s="13"/>
      <c r="C782" s="13"/>
      <c r="D782" s="13"/>
      <c r="E782" s="64"/>
      <c r="F782" s="66" t="s">
        <v>470</v>
      </c>
      <c r="G782" s="13"/>
      <c r="H782" s="66" t="s">
        <v>470</v>
      </c>
      <c r="I782" s="66" t="s">
        <v>470</v>
      </c>
      <c r="J782" s="66" t="s">
        <v>470</v>
      </c>
      <c r="K782" s="66" t="s">
        <v>470</v>
      </c>
      <c r="L782" s="66" t="s">
        <v>470</v>
      </c>
      <c r="M782" s="66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>
      <c r="A783" s="226"/>
      <c r="B783" s="13"/>
      <c r="C783" s="13"/>
      <c r="D783" s="13"/>
      <c r="E783" s="64"/>
      <c r="F783" s="66" t="s">
        <v>470</v>
      </c>
      <c r="G783" s="13"/>
      <c r="H783" s="66" t="s">
        <v>470</v>
      </c>
      <c r="I783" s="66" t="s">
        <v>470</v>
      </c>
      <c r="J783" s="66" t="s">
        <v>470</v>
      </c>
      <c r="K783" s="66" t="s">
        <v>470</v>
      </c>
      <c r="L783" s="66" t="s">
        <v>470</v>
      </c>
      <c r="M783" s="66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>
      <c r="A784" s="226"/>
      <c r="B784" s="13"/>
      <c r="C784" s="13"/>
      <c r="D784" s="13"/>
      <c r="E784" s="64"/>
      <c r="F784" s="66" t="s">
        <v>470</v>
      </c>
      <c r="G784" s="13"/>
      <c r="H784" s="66" t="s">
        <v>470</v>
      </c>
      <c r="I784" s="66" t="s">
        <v>470</v>
      </c>
      <c r="J784" s="66" t="s">
        <v>470</v>
      </c>
      <c r="K784" s="66" t="s">
        <v>470</v>
      </c>
      <c r="L784" s="66" t="s">
        <v>470</v>
      </c>
      <c r="M784" s="66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>
      <c r="A785" s="226"/>
      <c r="B785" s="13"/>
      <c r="C785" s="13"/>
      <c r="D785" s="13"/>
      <c r="E785" s="64"/>
      <c r="F785" s="66" t="s">
        <v>470</v>
      </c>
      <c r="G785" s="13"/>
      <c r="H785" s="66" t="s">
        <v>470</v>
      </c>
      <c r="I785" s="66" t="s">
        <v>470</v>
      </c>
      <c r="J785" s="66" t="s">
        <v>470</v>
      </c>
      <c r="K785" s="66" t="s">
        <v>470</v>
      </c>
      <c r="L785" s="66" t="s">
        <v>470</v>
      </c>
      <c r="M785" s="66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>
      <c r="A786" s="226"/>
      <c r="B786" s="13"/>
      <c r="C786" s="13"/>
      <c r="D786" s="13"/>
      <c r="E786" s="64"/>
      <c r="F786" s="66" t="s">
        <v>470</v>
      </c>
      <c r="G786" s="13"/>
      <c r="H786" s="66" t="s">
        <v>470</v>
      </c>
      <c r="I786" s="66" t="s">
        <v>470</v>
      </c>
      <c r="J786" s="66" t="s">
        <v>470</v>
      </c>
      <c r="K786" s="66" t="s">
        <v>470</v>
      </c>
      <c r="L786" s="66" t="s">
        <v>470</v>
      </c>
      <c r="M786" s="66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>
      <c r="A787" s="226"/>
      <c r="B787" s="13"/>
      <c r="C787" s="13"/>
      <c r="D787" s="13"/>
      <c r="E787" s="64"/>
      <c r="F787" s="66" t="s">
        <v>470</v>
      </c>
      <c r="G787" s="13"/>
      <c r="H787" s="66" t="s">
        <v>470</v>
      </c>
      <c r="I787" s="66" t="s">
        <v>470</v>
      </c>
      <c r="J787" s="66" t="s">
        <v>470</v>
      </c>
      <c r="K787" s="66" t="s">
        <v>470</v>
      </c>
      <c r="L787" s="66" t="s">
        <v>470</v>
      </c>
      <c r="M787" s="66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>
      <c r="A788" s="226"/>
      <c r="B788" s="13"/>
      <c r="C788" s="13"/>
      <c r="D788" s="13"/>
      <c r="E788" s="64"/>
      <c r="F788" s="66" t="s">
        <v>470</v>
      </c>
      <c r="G788" s="13"/>
      <c r="H788" s="66" t="s">
        <v>470</v>
      </c>
      <c r="I788" s="66" t="s">
        <v>470</v>
      </c>
      <c r="J788" s="66" t="s">
        <v>470</v>
      </c>
      <c r="K788" s="66" t="s">
        <v>470</v>
      </c>
      <c r="L788" s="66" t="s">
        <v>470</v>
      </c>
      <c r="M788" s="66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>
      <c r="A789" s="226"/>
      <c r="B789" s="13"/>
      <c r="C789" s="13"/>
      <c r="D789" s="13"/>
      <c r="E789" s="64"/>
      <c r="F789" s="66" t="s">
        <v>470</v>
      </c>
      <c r="G789" s="13"/>
      <c r="H789" s="66" t="s">
        <v>470</v>
      </c>
      <c r="I789" s="66" t="s">
        <v>470</v>
      </c>
      <c r="J789" s="66" t="s">
        <v>470</v>
      </c>
      <c r="K789" s="66" t="s">
        <v>470</v>
      </c>
      <c r="L789" s="66" t="s">
        <v>470</v>
      </c>
      <c r="M789" s="66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>
      <c r="A790" s="226"/>
      <c r="B790" s="13"/>
      <c r="C790" s="13"/>
      <c r="D790" s="13"/>
      <c r="E790" s="64"/>
      <c r="F790" s="66" t="s">
        <v>470</v>
      </c>
      <c r="G790" s="13"/>
      <c r="H790" s="66" t="s">
        <v>470</v>
      </c>
      <c r="I790" s="66" t="s">
        <v>470</v>
      </c>
      <c r="J790" s="66" t="s">
        <v>470</v>
      </c>
      <c r="K790" s="66" t="s">
        <v>470</v>
      </c>
      <c r="L790" s="66" t="s">
        <v>470</v>
      </c>
      <c r="M790" s="66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>
      <c r="A791" s="226"/>
      <c r="B791" s="13"/>
      <c r="C791" s="13"/>
      <c r="D791" s="13"/>
      <c r="E791" s="64"/>
      <c r="F791" s="66" t="s">
        <v>470</v>
      </c>
      <c r="G791" s="13"/>
      <c r="H791" s="66" t="s">
        <v>470</v>
      </c>
      <c r="I791" s="66" t="s">
        <v>470</v>
      </c>
      <c r="J791" s="66" t="s">
        <v>470</v>
      </c>
      <c r="K791" s="66" t="s">
        <v>470</v>
      </c>
      <c r="L791" s="66" t="s">
        <v>470</v>
      </c>
      <c r="M791" s="66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>
      <c r="A792" s="226"/>
      <c r="B792" s="13"/>
      <c r="C792" s="13"/>
      <c r="D792" s="13"/>
      <c r="E792" s="64"/>
      <c r="F792" s="66" t="s">
        <v>470</v>
      </c>
      <c r="G792" s="13"/>
      <c r="H792" s="66" t="s">
        <v>470</v>
      </c>
      <c r="I792" s="66" t="s">
        <v>470</v>
      </c>
      <c r="J792" s="66" t="s">
        <v>470</v>
      </c>
      <c r="K792" s="66" t="s">
        <v>470</v>
      </c>
      <c r="L792" s="66" t="s">
        <v>470</v>
      </c>
      <c r="M792" s="66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>
      <c r="A793" s="226"/>
      <c r="B793" s="13"/>
      <c r="C793" s="13"/>
      <c r="D793" s="13"/>
      <c r="E793" s="64"/>
      <c r="F793" s="66" t="s">
        <v>470</v>
      </c>
      <c r="G793" s="13"/>
      <c r="H793" s="66" t="s">
        <v>470</v>
      </c>
      <c r="I793" s="66" t="s">
        <v>470</v>
      </c>
      <c r="J793" s="66" t="s">
        <v>470</v>
      </c>
      <c r="K793" s="66" t="s">
        <v>470</v>
      </c>
      <c r="L793" s="66" t="s">
        <v>470</v>
      </c>
      <c r="M793" s="66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>
      <c r="A794" s="226"/>
      <c r="B794" s="13"/>
      <c r="C794" s="13"/>
      <c r="D794" s="13"/>
      <c r="E794" s="64"/>
      <c r="F794" s="66" t="s">
        <v>470</v>
      </c>
      <c r="G794" s="13"/>
      <c r="H794" s="66" t="s">
        <v>470</v>
      </c>
      <c r="I794" s="66" t="s">
        <v>470</v>
      </c>
      <c r="J794" s="66" t="s">
        <v>470</v>
      </c>
      <c r="K794" s="66" t="s">
        <v>470</v>
      </c>
      <c r="L794" s="66" t="s">
        <v>470</v>
      </c>
      <c r="M794" s="66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>
      <c r="A795" s="226"/>
      <c r="B795" s="13"/>
      <c r="C795" s="13"/>
      <c r="D795" s="13"/>
      <c r="E795" s="64"/>
      <c r="F795" s="66" t="s">
        <v>470</v>
      </c>
      <c r="G795" s="13"/>
      <c r="H795" s="66" t="s">
        <v>470</v>
      </c>
      <c r="I795" s="66" t="s">
        <v>470</v>
      </c>
      <c r="J795" s="66" t="s">
        <v>470</v>
      </c>
      <c r="K795" s="66" t="s">
        <v>470</v>
      </c>
      <c r="L795" s="66" t="s">
        <v>470</v>
      </c>
      <c r="M795" s="66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>
      <c r="A796" s="226"/>
      <c r="B796" s="13"/>
      <c r="C796" s="13"/>
      <c r="D796" s="13"/>
      <c r="E796" s="64"/>
      <c r="F796" s="66" t="s">
        <v>470</v>
      </c>
      <c r="G796" s="13"/>
      <c r="H796" s="66" t="s">
        <v>470</v>
      </c>
      <c r="I796" s="66" t="s">
        <v>470</v>
      </c>
      <c r="J796" s="66" t="s">
        <v>470</v>
      </c>
      <c r="K796" s="66" t="s">
        <v>470</v>
      </c>
      <c r="L796" s="66" t="s">
        <v>470</v>
      </c>
      <c r="M796" s="66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>
      <c r="A797" s="226"/>
      <c r="B797" s="13"/>
      <c r="C797" s="13"/>
      <c r="D797" s="13"/>
      <c r="E797" s="64"/>
      <c r="F797" s="66" t="s">
        <v>470</v>
      </c>
      <c r="G797" s="13"/>
      <c r="H797" s="66" t="s">
        <v>470</v>
      </c>
      <c r="I797" s="66" t="s">
        <v>470</v>
      </c>
      <c r="J797" s="66" t="s">
        <v>470</v>
      </c>
      <c r="K797" s="66" t="s">
        <v>470</v>
      </c>
      <c r="L797" s="66" t="s">
        <v>470</v>
      </c>
      <c r="M797" s="66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>
      <c r="A798" s="226"/>
      <c r="B798" s="13"/>
      <c r="C798" s="13"/>
      <c r="D798" s="13"/>
      <c r="E798" s="64"/>
      <c r="F798" s="66" t="s">
        <v>470</v>
      </c>
      <c r="G798" s="13"/>
      <c r="H798" s="66" t="s">
        <v>470</v>
      </c>
      <c r="I798" s="66" t="s">
        <v>470</v>
      </c>
      <c r="J798" s="66" t="s">
        <v>470</v>
      </c>
      <c r="K798" s="66" t="s">
        <v>470</v>
      </c>
      <c r="L798" s="66" t="s">
        <v>470</v>
      </c>
      <c r="M798" s="66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>
      <c r="A799" s="226"/>
      <c r="B799" s="13"/>
      <c r="C799" s="13"/>
      <c r="D799" s="13"/>
      <c r="E799" s="64"/>
      <c r="F799" s="66" t="s">
        <v>470</v>
      </c>
      <c r="G799" s="13"/>
      <c r="H799" s="66" t="s">
        <v>470</v>
      </c>
      <c r="I799" s="66" t="s">
        <v>470</v>
      </c>
      <c r="J799" s="66" t="s">
        <v>470</v>
      </c>
      <c r="K799" s="66" t="s">
        <v>470</v>
      </c>
      <c r="L799" s="66" t="s">
        <v>470</v>
      </c>
      <c r="M799" s="66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>
      <c r="A800" s="226"/>
      <c r="B800" s="13"/>
      <c r="C800" s="13"/>
      <c r="D800" s="13"/>
      <c r="E800" s="64"/>
      <c r="F800" s="66" t="s">
        <v>470</v>
      </c>
      <c r="G800" s="13"/>
      <c r="H800" s="66" t="s">
        <v>470</v>
      </c>
      <c r="I800" s="66" t="s">
        <v>470</v>
      </c>
      <c r="J800" s="66" t="s">
        <v>470</v>
      </c>
      <c r="K800" s="66" t="s">
        <v>470</v>
      </c>
      <c r="L800" s="66" t="s">
        <v>470</v>
      </c>
      <c r="M800" s="66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>
      <c r="A801" s="226"/>
      <c r="B801" s="13"/>
      <c r="C801" s="13"/>
      <c r="D801" s="13"/>
      <c r="E801" s="64"/>
      <c r="F801" s="66" t="s">
        <v>470</v>
      </c>
      <c r="G801" s="13"/>
      <c r="H801" s="66" t="s">
        <v>470</v>
      </c>
      <c r="I801" s="66" t="s">
        <v>470</v>
      </c>
      <c r="J801" s="66" t="s">
        <v>470</v>
      </c>
      <c r="K801" s="66" t="s">
        <v>470</v>
      </c>
      <c r="L801" s="66" t="s">
        <v>470</v>
      </c>
      <c r="M801" s="66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>
      <c r="A802" s="226"/>
      <c r="B802" s="13"/>
      <c r="C802" s="13"/>
      <c r="D802" s="13"/>
      <c r="E802" s="64"/>
      <c r="F802" s="66" t="s">
        <v>470</v>
      </c>
      <c r="G802" s="13"/>
      <c r="H802" s="66" t="s">
        <v>470</v>
      </c>
      <c r="I802" s="66" t="s">
        <v>470</v>
      </c>
      <c r="J802" s="66" t="s">
        <v>470</v>
      </c>
      <c r="K802" s="66" t="s">
        <v>470</v>
      </c>
      <c r="L802" s="66" t="s">
        <v>470</v>
      </c>
      <c r="M802" s="66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>
      <c r="A803" s="226"/>
      <c r="B803" s="13"/>
      <c r="C803" s="13"/>
      <c r="D803" s="13"/>
      <c r="E803" s="64"/>
      <c r="F803" s="66" t="s">
        <v>470</v>
      </c>
      <c r="G803" s="13"/>
      <c r="H803" s="66" t="s">
        <v>470</v>
      </c>
      <c r="I803" s="66" t="s">
        <v>470</v>
      </c>
      <c r="J803" s="66" t="s">
        <v>470</v>
      </c>
      <c r="K803" s="66" t="s">
        <v>470</v>
      </c>
      <c r="L803" s="66" t="s">
        <v>470</v>
      </c>
      <c r="M803" s="66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>
      <c r="A804" s="226"/>
      <c r="B804" s="13"/>
      <c r="C804" s="13"/>
      <c r="D804" s="13"/>
      <c r="E804" s="64"/>
      <c r="F804" s="66" t="s">
        <v>470</v>
      </c>
      <c r="G804" s="13"/>
      <c r="H804" s="66" t="s">
        <v>470</v>
      </c>
      <c r="I804" s="66" t="s">
        <v>470</v>
      </c>
      <c r="J804" s="66" t="s">
        <v>470</v>
      </c>
      <c r="K804" s="66" t="s">
        <v>470</v>
      </c>
      <c r="L804" s="66" t="s">
        <v>470</v>
      </c>
      <c r="M804" s="66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>
      <c r="A805" s="226"/>
      <c r="B805" s="13"/>
      <c r="C805" s="13"/>
      <c r="D805" s="13"/>
      <c r="E805" s="64"/>
      <c r="F805" s="66" t="s">
        <v>470</v>
      </c>
      <c r="G805" s="13"/>
      <c r="H805" s="66" t="s">
        <v>470</v>
      </c>
      <c r="I805" s="66" t="s">
        <v>470</v>
      </c>
      <c r="J805" s="66" t="s">
        <v>470</v>
      </c>
      <c r="K805" s="66" t="s">
        <v>470</v>
      </c>
      <c r="L805" s="66" t="s">
        <v>470</v>
      </c>
      <c r="M805" s="66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>
      <c r="A806" s="226"/>
      <c r="B806" s="13"/>
      <c r="C806" s="13"/>
      <c r="D806" s="13"/>
      <c r="E806" s="64"/>
      <c r="F806" s="66" t="s">
        <v>470</v>
      </c>
      <c r="G806" s="13"/>
      <c r="H806" s="66" t="s">
        <v>470</v>
      </c>
      <c r="I806" s="66" t="s">
        <v>470</v>
      </c>
      <c r="J806" s="66" t="s">
        <v>470</v>
      </c>
      <c r="K806" s="66" t="s">
        <v>470</v>
      </c>
      <c r="L806" s="66" t="s">
        <v>470</v>
      </c>
      <c r="M806" s="66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>
      <c r="A807" s="226"/>
      <c r="B807" s="13"/>
      <c r="C807" s="13"/>
      <c r="D807" s="13"/>
      <c r="E807" s="64"/>
      <c r="F807" s="66" t="s">
        <v>470</v>
      </c>
      <c r="G807" s="13"/>
      <c r="H807" s="66" t="s">
        <v>470</v>
      </c>
      <c r="I807" s="66" t="s">
        <v>470</v>
      </c>
      <c r="J807" s="66" t="s">
        <v>470</v>
      </c>
      <c r="K807" s="66" t="s">
        <v>470</v>
      </c>
      <c r="L807" s="66" t="s">
        <v>470</v>
      </c>
      <c r="M807" s="66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>
      <c r="A808" s="226"/>
      <c r="B808" s="13"/>
      <c r="C808" s="13"/>
      <c r="D808" s="13"/>
      <c r="E808" s="64"/>
      <c r="F808" s="66" t="s">
        <v>470</v>
      </c>
      <c r="G808" s="13"/>
      <c r="H808" s="66" t="s">
        <v>470</v>
      </c>
      <c r="I808" s="66" t="s">
        <v>470</v>
      </c>
      <c r="J808" s="66" t="s">
        <v>470</v>
      </c>
      <c r="K808" s="66" t="s">
        <v>470</v>
      </c>
      <c r="L808" s="66" t="s">
        <v>470</v>
      </c>
      <c r="M808" s="66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>
      <c r="A809" s="226"/>
      <c r="B809" s="13"/>
      <c r="C809" s="13"/>
      <c r="D809" s="13"/>
      <c r="E809" s="64"/>
      <c r="F809" s="66" t="s">
        <v>470</v>
      </c>
      <c r="G809" s="13"/>
      <c r="H809" s="66" t="s">
        <v>470</v>
      </c>
      <c r="I809" s="66" t="s">
        <v>470</v>
      </c>
      <c r="J809" s="66" t="s">
        <v>470</v>
      </c>
      <c r="K809" s="66" t="s">
        <v>470</v>
      </c>
      <c r="L809" s="66" t="s">
        <v>470</v>
      </c>
      <c r="M809" s="66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>
      <c r="A810" s="226"/>
      <c r="B810" s="13"/>
      <c r="C810" s="13"/>
      <c r="D810" s="13"/>
      <c r="E810" s="64"/>
      <c r="F810" s="66" t="s">
        <v>470</v>
      </c>
      <c r="G810" s="13"/>
      <c r="H810" s="66" t="s">
        <v>470</v>
      </c>
      <c r="I810" s="66" t="s">
        <v>470</v>
      </c>
      <c r="J810" s="66" t="s">
        <v>470</v>
      </c>
      <c r="K810" s="66" t="s">
        <v>470</v>
      </c>
      <c r="L810" s="66" t="s">
        <v>470</v>
      </c>
      <c r="M810" s="66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>
      <c r="A811" s="226"/>
      <c r="B811" s="13"/>
      <c r="C811" s="13"/>
      <c r="D811" s="13"/>
      <c r="E811" s="64"/>
      <c r="F811" s="66" t="s">
        <v>470</v>
      </c>
      <c r="G811" s="13"/>
      <c r="H811" s="66" t="s">
        <v>470</v>
      </c>
      <c r="I811" s="66" t="s">
        <v>470</v>
      </c>
      <c r="J811" s="66" t="s">
        <v>470</v>
      </c>
      <c r="K811" s="66" t="s">
        <v>470</v>
      </c>
      <c r="L811" s="66" t="s">
        <v>470</v>
      </c>
      <c r="M811" s="66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>
      <c r="A812" s="226"/>
      <c r="B812" s="13"/>
      <c r="C812" s="13"/>
      <c r="D812" s="13"/>
      <c r="E812" s="64"/>
      <c r="F812" s="66" t="s">
        <v>470</v>
      </c>
      <c r="G812" s="13"/>
      <c r="H812" s="66" t="s">
        <v>470</v>
      </c>
      <c r="I812" s="66" t="s">
        <v>470</v>
      </c>
      <c r="J812" s="66" t="s">
        <v>470</v>
      </c>
      <c r="K812" s="66" t="s">
        <v>470</v>
      </c>
      <c r="L812" s="66" t="s">
        <v>470</v>
      </c>
      <c r="M812" s="66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>
      <c r="A813" s="226"/>
      <c r="B813" s="13"/>
      <c r="C813" s="13"/>
      <c r="D813" s="13"/>
      <c r="E813" s="64"/>
      <c r="F813" s="66" t="s">
        <v>470</v>
      </c>
      <c r="G813" s="13"/>
      <c r="H813" s="66" t="s">
        <v>470</v>
      </c>
      <c r="I813" s="66" t="s">
        <v>470</v>
      </c>
      <c r="J813" s="66" t="s">
        <v>470</v>
      </c>
      <c r="K813" s="66" t="s">
        <v>470</v>
      </c>
      <c r="L813" s="66" t="s">
        <v>470</v>
      </c>
      <c r="M813" s="66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>
      <c r="A814" s="226"/>
      <c r="B814" s="13"/>
      <c r="C814" s="13"/>
      <c r="D814" s="13"/>
      <c r="E814" s="64"/>
      <c r="F814" s="66" t="s">
        <v>470</v>
      </c>
      <c r="G814" s="13"/>
      <c r="H814" s="66" t="s">
        <v>470</v>
      </c>
      <c r="I814" s="66" t="s">
        <v>470</v>
      </c>
      <c r="J814" s="66" t="s">
        <v>470</v>
      </c>
      <c r="K814" s="66" t="s">
        <v>470</v>
      </c>
      <c r="L814" s="66" t="s">
        <v>470</v>
      </c>
      <c r="M814" s="66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>
      <c r="A815" s="226"/>
      <c r="B815" s="13"/>
      <c r="C815" s="13"/>
      <c r="D815" s="13"/>
      <c r="E815" s="64"/>
      <c r="F815" s="66" t="s">
        <v>470</v>
      </c>
      <c r="G815" s="13"/>
      <c r="H815" s="66" t="s">
        <v>470</v>
      </c>
      <c r="I815" s="66" t="s">
        <v>470</v>
      </c>
      <c r="J815" s="66" t="s">
        <v>470</v>
      </c>
      <c r="K815" s="66" t="s">
        <v>470</v>
      </c>
      <c r="L815" s="66" t="s">
        <v>470</v>
      </c>
      <c r="M815" s="66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>
      <c r="A816" s="226"/>
      <c r="B816" s="13"/>
      <c r="C816" s="13"/>
      <c r="D816" s="13"/>
      <c r="E816" s="64"/>
      <c r="F816" s="66" t="s">
        <v>470</v>
      </c>
      <c r="G816" s="13"/>
      <c r="H816" s="66" t="s">
        <v>470</v>
      </c>
      <c r="I816" s="66" t="s">
        <v>470</v>
      </c>
      <c r="J816" s="66" t="s">
        <v>470</v>
      </c>
      <c r="K816" s="66" t="s">
        <v>470</v>
      </c>
      <c r="L816" s="66" t="s">
        <v>470</v>
      </c>
      <c r="M816" s="66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>
      <c r="A817" s="226"/>
      <c r="B817" s="13"/>
      <c r="C817" s="13"/>
      <c r="D817" s="13"/>
      <c r="E817" s="64"/>
      <c r="F817" s="66" t="s">
        <v>470</v>
      </c>
      <c r="G817" s="13"/>
      <c r="H817" s="66" t="s">
        <v>470</v>
      </c>
      <c r="I817" s="66" t="s">
        <v>470</v>
      </c>
      <c r="J817" s="66" t="s">
        <v>470</v>
      </c>
      <c r="K817" s="66" t="s">
        <v>470</v>
      </c>
      <c r="L817" s="66" t="s">
        <v>470</v>
      </c>
      <c r="M817" s="66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>
      <c r="A818" s="226"/>
      <c r="B818" s="13"/>
      <c r="C818" s="13"/>
      <c r="D818" s="13"/>
      <c r="E818" s="64"/>
      <c r="F818" s="66" t="s">
        <v>470</v>
      </c>
      <c r="G818" s="13"/>
      <c r="H818" s="66" t="s">
        <v>470</v>
      </c>
      <c r="I818" s="66" t="s">
        <v>470</v>
      </c>
      <c r="J818" s="66" t="s">
        <v>470</v>
      </c>
      <c r="K818" s="66" t="s">
        <v>470</v>
      </c>
      <c r="L818" s="66" t="s">
        <v>470</v>
      </c>
      <c r="M818" s="66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>
      <c r="A819" s="226"/>
      <c r="B819" s="13"/>
      <c r="C819" s="13"/>
      <c r="D819" s="13"/>
      <c r="E819" s="64"/>
      <c r="F819" s="66" t="s">
        <v>470</v>
      </c>
      <c r="G819" s="13"/>
      <c r="H819" s="66" t="s">
        <v>470</v>
      </c>
      <c r="I819" s="66" t="s">
        <v>470</v>
      </c>
      <c r="J819" s="66" t="s">
        <v>470</v>
      </c>
      <c r="K819" s="66" t="s">
        <v>470</v>
      </c>
      <c r="L819" s="66" t="s">
        <v>470</v>
      </c>
      <c r="M819" s="66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>
      <c r="A820" s="226"/>
      <c r="B820" s="13"/>
      <c r="C820" s="13"/>
      <c r="D820" s="13"/>
      <c r="E820" s="64"/>
      <c r="F820" s="66" t="s">
        <v>470</v>
      </c>
      <c r="G820" s="13"/>
      <c r="H820" s="66" t="s">
        <v>470</v>
      </c>
      <c r="I820" s="66" t="s">
        <v>470</v>
      </c>
      <c r="J820" s="66" t="s">
        <v>470</v>
      </c>
      <c r="K820" s="66" t="s">
        <v>470</v>
      </c>
      <c r="L820" s="66" t="s">
        <v>470</v>
      </c>
      <c r="M820" s="66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>
      <c r="A821" s="226"/>
      <c r="B821" s="13"/>
      <c r="C821" s="13"/>
      <c r="D821" s="13"/>
      <c r="E821" s="64"/>
      <c r="F821" s="66" t="s">
        <v>470</v>
      </c>
      <c r="G821" s="13"/>
      <c r="H821" s="66" t="s">
        <v>470</v>
      </c>
      <c r="I821" s="66" t="s">
        <v>470</v>
      </c>
      <c r="J821" s="66" t="s">
        <v>470</v>
      </c>
      <c r="K821" s="66" t="s">
        <v>470</v>
      </c>
      <c r="L821" s="66" t="s">
        <v>470</v>
      </c>
      <c r="M821" s="66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>
      <c r="A822" s="226"/>
      <c r="B822" s="13"/>
      <c r="C822" s="13"/>
      <c r="D822" s="13"/>
      <c r="E822" s="64"/>
      <c r="F822" s="66" t="s">
        <v>470</v>
      </c>
      <c r="G822" s="13"/>
      <c r="H822" s="66" t="s">
        <v>470</v>
      </c>
      <c r="I822" s="66" t="s">
        <v>470</v>
      </c>
      <c r="J822" s="66" t="s">
        <v>470</v>
      </c>
      <c r="K822" s="66" t="s">
        <v>470</v>
      </c>
      <c r="L822" s="66" t="s">
        <v>470</v>
      </c>
      <c r="M822" s="66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>
      <c r="A823" s="226"/>
      <c r="B823" s="13"/>
      <c r="C823" s="13"/>
      <c r="D823" s="13"/>
      <c r="E823" s="64"/>
      <c r="F823" s="66" t="s">
        <v>470</v>
      </c>
      <c r="G823" s="13"/>
      <c r="H823" s="66" t="s">
        <v>470</v>
      </c>
      <c r="I823" s="66" t="s">
        <v>470</v>
      </c>
      <c r="J823" s="66" t="s">
        <v>470</v>
      </c>
      <c r="K823" s="66" t="s">
        <v>470</v>
      </c>
      <c r="L823" s="66" t="s">
        <v>470</v>
      </c>
      <c r="M823" s="66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>
      <c r="A824" s="226"/>
      <c r="B824" s="13"/>
      <c r="C824" s="13"/>
      <c r="D824" s="13"/>
      <c r="E824" s="64"/>
      <c r="F824" s="66" t="s">
        <v>470</v>
      </c>
      <c r="G824" s="13"/>
      <c r="H824" s="66" t="s">
        <v>470</v>
      </c>
      <c r="I824" s="66" t="s">
        <v>470</v>
      </c>
      <c r="J824" s="66" t="s">
        <v>470</v>
      </c>
      <c r="K824" s="66" t="s">
        <v>470</v>
      </c>
      <c r="L824" s="66" t="s">
        <v>470</v>
      </c>
      <c r="M824" s="66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>
      <c r="A825" s="226"/>
      <c r="B825" s="13"/>
      <c r="C825" s="13"/>
      <c r="D825" s="13"/>
      <c r="E825" s="64"/>
      <c r="F825" s="66" t="s">
        <v>470</v>
      </c>
      <c r="G825" s="13"/>
      <c r="H825" s="66" t="s">
        <v>470</v>
      </c>
      <c r="I825" s="66" t="s">
        <v>470</v>
      </c>
      <c r="J825" s="66" t="s">
        <v>470</v>
      </c>
      <c r="K825" s="66" t="s">
        <v>470</v>
      </c>
      <c r="L825" s="66" t="s">
        <v>470</v>
      </c>
      <c r="M825" s="66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>
      <c r="A826" s="226"/>
      <c r="B826" s="13"/>
      <c r="C826" s="13"/>
      <c r="D826" s="13"/>
      <c r="E826" s="64"/>
      <c r="F826" s="66" t="s">
        <v>470</v>
      </c>
      <c r="G826" s="13"/>
      <c r="H826" s="66" t="s">
        <v>470</v>
      </c>
      <c r="I826" s="66" t="s">
        <v>470</v>
      </c>
      <c r="J826" s="66" t="s">
        <v>470</v>
      </c>
      <c r="K826" s="66" t="s">
        <v>470</v>
      </c>
      <c r="L826" s="66" t="s">
        <v>470</v>
      </c>
      <c r="M826" s="66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>
      <c r="A827" s="226"/>
      <c r="B827" s="13"/>
      <c r="C827" s="13"/>
      <c r="D827" s="13"/>
      <c r="E827" s="64"/>
      <c r="F827" s="66" t="s">
        <v>470</v>
      </c>
      <c r="G827" s="13"/>
      <c r="H827" s="66" t="s">
        <v>470</v>
      </c>
      <c r="I827" s="66" t="s">
        <v>470</v>
      </c>
      <c r="J827" s="66" t="s">
        <v>470</v>
      </c>
      <c r="K827" s="66" t="s">
        <v>470</v>
      </c>
      <c r="L827" s="66" t="s">
        <v>470</v>
      </c>
      <c r="M827" s="66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>
      <c r="A828" s="226"/>
      <c r="B828" s="13"/>
      <c r="C828" s="13"/>
      <c r="D828" s="13"/>
      <c r="E828" s="64"/>
      <c r="F828" s="66" t="s">
        <v>470</v>
      </c>
      <c r="G828" s="13"/>
      <c r="H828" s="66" t="s">
        <v>470</v>
      </c>
      <c r="I828" s="66" t="s">
        <v>470</v>
      </c>
      <c r="J828" s="66" t="s">
        <v>470</v>
      </c>
      <c r="K828" s="66" t="s">
        <v>470</v>
      </c>
      <c r="L828" s="66" t="s">
        <v>470</v>
      </c>
      <c r="M828" s="66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>
      <c r="A829" s="226"/>
      <c r="B829" s="13"/>
      <c r="C829" s="13"/>
      <c r="D829" s="13"/>
      <c r="E829" s="64"/>
      <c r="F829" s="66" t="s">
        <v>470</v>
      </c>
      <c r="G829" s="13"/>
      <c r="H829" s="66" t="s">
        <v>470</v>
      </c>
      <c r="I829" s="66" t="s">
        <v>470</v>
      </c>
      <c r="J829" s="66" t="s">
        <v>470</v>
      </c>
      <c r="K829" s="66" t="s">
        <v>470</v>
      </c>
      <c r="L829" s="66" t="s">
        <v>470</v>
      </c>
      <c r="M829" s="66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>
      <c r="A830" s="226"/>
      <c r="B830" s="13"/>
      <c r="C830" s="13"/>
      <c r="D830" s="13"/>
      <c r="E830" s="64"/>
      <c r="F830" s="66" t="s">
        <v>470</v>
      </c>
      <c r="G830" s="13"/>
      <c r="H830" s="66" t="s">
        <v>470</v>
      </c>
      <c r="I830" s="66" t="s">
        <v>470</v>
      </c>
      <c r="J830" s="66" t="s">
        <v>470</v>
      </c>
      <c r="K830" s="66" t="s">
        <v>470</v>
      </c>
      <c r="L830" s="66" t="s">
        <v>470</v>
      </c>
      <c r="M830" s="66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>
      <c r="A831" s="226"/>
      <c r="B831" s="13"/>
      <c r="C831" s="13"/>
      <c r="D831" s="13"/>
      <c r="E831" s="64"/>
      <c r="F831" s="66" t="s">
        <v>470</v>
      </c>
      <c r="G831" s="13"/>
      <c r="H831" s="66" t="s">
        <v>470</v>
      </c>
      <c r="I831" s="66" t="s">
        <v>470</v>
      </c>
      <c r="J831" s="66" t="s">
        <v>470</v>
      </c>
      <c r="K831" s="66" t="s">
        <v>470</v>
      </c>
      <c r="L831" s="66" t="s">
        <v>470</v>
      </c>
      <c r="M831" s="66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>
      <c r="A832" s="226"/>
      <c r="B832" s="13"/>
      <c r="C832" s="13"/>
      <c r="D832" s="13"/>
      <c r="E832" s="64"/>
      <c r="F832" s="66" t="s">
        <v>470</v>
      </c>
      <c r="G832" s="13"/>
      <c r="H832" s="66" t="s">
        <v>470</v>
      </c>
      <c r="I832" s="66" t="s">
        <v>470</v>
      </c>
      <c r="J832" s="66" t="s">
        <v>470</v>
      </c>
      <c r="K832" s="66" t="s">
        <v>470</v>
      </c>
      <c r="L832" s="66" t="s">
        <v>470</v>
      </c>
      <c r="M832" s="66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>
      <c r="A833" s="226"/>
      <c r="B833" s="13"/>
      <c r="C833" s="13"/>
      <c r="D833" s="13"/>
      <c r="E833" s="64"/>
      <c r="F833" s="66" t="s">
        <v>470</v>
      </c>
      <c r="G833" s="13"/>
      <c r="H833" s="66" t="s">
        <v>470</v>
      </c>
      <c r="I833" s="66" t="s">
        <v>470</v>
      </c>
      <c r="J833" s="66" t="s">
        <v>470</v>
      </c>
      <c r="K833" s="66" t="s">
        <v>470</v>
      </c>
      <c r="L833" s="66" t="s">
        <v>470</v>
      </c>
      <c r="M833" s="66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>
      <c r="A834" s="226"/>
      <c r="B834" s="13"/>
      <c r="C834" s="13"/>
      <c r="D834" s="13"/>
      <c r="E834" s="64"/>
      <c r="F834" s="66" t="s">
        <v>470</v>
      </c>
      <c r="G834" s="13"/>
      <c r="H834" s="66" t="s">
        <v>470</v>
      </c>
      <c r="I834" s="66" t="s">
        <v>470</v>
      </c>
      <c r="J834" s="66" t="s">
        <v>470</v>
      </c>
      <c r="K834" s="66" t="s">
        <v>470</v>
      </c>
      <c r="L834" s="66" t="s">
        <v>470</v>
      </c>
      <c r="M834" s="66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>
      <c r="A835" s="226"/>
      <c r="B835" s="13"/>
      <c r="C835" s="13"/>
      <c r="D835" s="13"/>
      <c r="E835" s="64"/>
      <c r="F835" s="66" t="s">
        <v>470</v>
      </c>
      <c r="G835" s="13"/>
      <c r="H835" s="66" t="s">
        <v>470</v>
      </c>
      <c r="I835" s="66" t="s">
        <v>470</v>
      </c>
      <c r="J835" s="66" t="s">
        <v>470</v>
      </c>
      <c r="K835" s="66" t="s">
        <v>470</v>
      </c>
      <c r="L835" s="66" t="s">
        <v>470</v>
      </c>
      <c r="M835" s="66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>
      <c r="A836" s="226"/>
      <c r="B836" s="13"/>
      <c r="C836" s="13"/>
      <c r="D836" s="13"/>
      <c r="E836" s="64"/>
      <c r="F836" s="66" t="s">
        <v>470</v>
      </c>
      <c r="G836" s="13"/>
      <c r="H836" s="66" t="s">
        <v>470</v>
      </c>
      <c r="I836" s="66" t="s">
        <v>470</v>
      </c>
      <c r="J836" s="66" t="s">
        <v>470</v>
      </c>
      <c r="K836" s="66" t="s">
        <v>470</v>
      </c>
      <c r="L836" s="66" t="s">
        <v>470</v>
      </c>
      <c r="M836" s="66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>
      <c r="A837" s="226"/>
      <c r="B837" s="13"/>
      <c r="C837" s="13"/>
      <c r="D837" s="13"/>
      <c r="E837" s="64"/>
      <c r="F837" s="66" t="s">
        <v>470</v>
      </c>
      <c r="G837" s="13"/>
      <c r="H837" s="66" t="s">
        <v>470</v>
      </c>
      <c r="I837" s="66" t="s">
        <v>470</v>
      </c>
      <c r="J837" s="66" t="s">
        <v>470</v>
      </c>
      <c r="K837" s="66" t="s">
        <v>470</v>
      </c>
      <c r="L837" s="66" t="s">
        <v>470</v>
      </c>
      <c r="M837" s="66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>
      <c r="A838" s="226"/>
      <c r="B838" s="13"/>
      <c r="C838" s="13"/>
      <c r="D838" s="13"/>
      <c r="E838" s="64"/>
      <c r="F838" s="66" t="s">
        <v>470</v>
      </c>
      <c r="G838" s="13"/>
      <c r="H838" s="66" t="s">
        <v>470</v>
      </c>
      <c r="I838" s="66" t="s">
        <v>470</v>
      </c>
      <c r="J838" s="66" t="s">
        <v>470</v>
      </c>
      <c r="K838" s="66" t="s">
        <v>470</v>
      </c>
      <c r="L838" s="66" t="s">
        <v>470</v>
      </c>
      <c r="M838" s="66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>
      <c r="A839" s="226"/>
      <c r="B839" s="13"/>
      <c r="C839" s="13"/>
      <c r="D839" s="13"/>
      <c r="E839" s="64"/>
      <c r="F839" s="66" t="s">
        <v>470</v>
      </c>
      <c r="G839" s="13"/>
      <c r="H839" s="66" t="s">
        <v>470</v>
      </c>
      <c r="I839" s="66" t="s">
        <v>470</v>
      </c>
      <c r="J839" s="66" t="s">
        <v>470</v>
      </c>
      <c r="K839" s="66" t="s">
        <v>470</v>
      </c>
      <c r="L839" s="66" t="s">
        <v>470</v>
      </c>
      <c r="M839" s="66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>
      <c r="A840" s="226"/>
      <c r="B840" s="13"/>
      <c r="C840" s="13"/>
      <c r="D840" s="13"/>
      <c r="E840" s="64"/>
      <c r="F840" s="66" t="s">
        <v>470</v>
      </c>
      <c r="G840" s="13"/>
      <c r="H840" s="66" t="s">
        <v>470</v>
      </c>
      <c r="I840" s="66" t="s">
        <v>470</v>
      </c>
      <c r="J840" s="66" t="s">
        <v>470</v>
      </c>
      <c r="K840" s="66" t="s">
        <v>470</v>
      </c>
      <c r="L840" s="66" t="s">
        <v>470</v>
      </c>
      <c r="M840" s="66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>
      <c r="A841" s="226"/>
      <c r="B841" s="13"/>
      <c r="C841" s="13"/>
      <c r="D841" s="13"/>
      <c r="E841" s="64"/>
      <c r="F841" s="66" t="s">
        <v>470</v>
      </c>
      <c r="G841" s="13"/>
      <c r="H841" s="66" t="s">
        <v>470</v>
      </c>
      <c r="I841" s="66" t="s">
        <v>470</v>
      </c>
      <c r="J841" s="66" t="s">
        <v>470</v>
      </c>
      <c r="K841" s="66" t="s">
        <v>470</v>
      </c>
      <c r="L841" s="66" t="s">
        <v>470</v>
      </c>
      <c r="M841" s="66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>
      <c r="A842" s="226"/>
      <c r="B842" s="13"/>
      <c r="C842" s="13"/>
      <c r="D842" s="13"/>
      <c r="E842" s="64"/>
      <c r="F842" s="66" t="s">
        <v>470</v>
      </c>
      <c r="G842" s="13"/>
      <c r="H842" s="66" t="s">
        <v>470</v>
      </c>
      <c r="I842" s="66" t="s">
        <v>470</v>
      </c>
      <c r="J842" s="66" t="s">
        <v>470</v>
      </c>
      <c r="K842" s="66" t="s">
        <v>470</v>
      </c>
      <c r="L842" s="66" t="s">
        <v>470</v>
      </c>
      <c r="M842" s="66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>
      <c r="A843" s="226"/>
      <c r="B843" s="13"/>
      <c r="C843" s="13"/>
      <c r="D843" s="13"/>
      <c r="E843" s="64"/>
      <c r="F843" s="66" t="s">
        <v>470</v>
      </c>
      <c r="G843" s="13"/>
      <c r="H843" s="66" t="s">
        <v>470</v>
      </c>
      <c r="I843" s="66" t="s">
        <v>470</v>
      </c>
      <c r="J843" s="66" t="s">
        <v>470</v>
      </c>
      <c r="K843" s="66" t="s">
        <v>470</v>
      </c>
      <c r="L843" s="66" t="s">
        <v>470</v>
      </c>
      <c r="M843" s="66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>
      <c r="A844" s="226"/>
      <c r="B844" s="13"/>
      <c r="C844" s="13"/>
      <c r="D844" s="13"/>
      <c r="E844" s="64"/>
      <c r="F844" s="66" t="s">
        <v>470</v>
      </c>
      <c r="G844" s="13"/>
      <c r="H844" s="66" t="s">
        <v>470</v>
      </c>
      <c r="I844" s="66" t="s">
        <v>470</v>
      </c>
      <c r="J844" s="66" t="s">
        <v>470</v>
      </c>
      <c r="K844" s="66" t="s">
        <v>470</v>
      </c>
      <c r="L844" s="66" t="s">
        <v>470</v>
      </c>
      <c r="M844" s="66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>
      <c r="A845" s="226"/>
      <c r="B845" s="13"/>
      <c r="C845" s="13"/>
      <c r="D845" s="13"/>
      <c r="E845" s="64"/>
      <c r="F845" s="66" t="s">
        <v>470</v>
      </c>
      <c r="G845" s="13"/>
      <c r="H845" s="66" t="s">
        <v>470</v>
      </c>
      <c r="I845" s="66" t="s">
        <v>470</v>
      </c>
      <c r="J845" s="66" t="s">
        <v>470</v>
      </c>
      <c r="K845" s="66" t="s">
        <v>470</v>
      </c>
      <c r="L845" s="66" t="s">
        <v>470</v>
      </c>
      <c r="M845" s="66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>
      <c r="A846" s="226"/>
      <c r="B846" s="13"/>
      <c r="C846" s="13"/>
      <c r="D846" s="13"/>
      <c r="E846" s="64"/>
      <c r="F846" s="66" t="s">
        <v>470</v>
      </c>
      <c r="G846" s="13"/>
      <c r="H846" s="66" t="s">
        <v>470</v>
      </c>
      <c r="I846" s="66" t="s">
        <v>470</v>
      </c>
      <c r="J846" s="66" t="s">
        <v>470</v>
      </c>
      <c r="K846" s="66" t="s">
        <v>470</v>
      </c>
      <c r="L846" s="66" t="s">
        <v>470</v>
      </c>
      <c r="M846" s="66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>
      <c r="A847" s="226"/>
      <c r="B847" s="13"/>
      <c r="C847" s="13"/>
      <c r="D847" s="13"/>
      <c r="E847" s="64"/>
      <c r="F847" s="66" t="s">
        <v>470</v>
      </c>
      <c r="G847" s="13"/>
      <c r="H847" s="66" t="s">
        <v>470</v>
      </c>
      <c r="I847" s="66" t="s">
        <v>470</v>
      </c>
      <c r="J847" s="66" t="s">
        <v>470</v>
      </c>
      <c r="K847" s="66" t="s">
        <v>470</v>
      </c>
      <c r="L847" s="66" t="s">
        <v>470</v>
      </c>
      <c r="M847" s="66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>
      <c r="A848" s="226"/>
      <c r="B848" s="13"/>
      <c r="C848" s="13"/>
      <c r="D848" s="13"/>
      <c r="E848" s="64"/>
      <c r="F848" s="66" t="s">
        <v>470</v>
      </c>
      <c r="G848" s="13"/>
      <c r="H848" s="66" t="s">
        <v>470</v>
      </c>
      <c r="I848" s="66" t="s">
        <v>470</v>
      </c>
      <c r="J848" s="66" t="s">
        <v>470</v>
      </c>
      <c r="K848" s="66" t="s">
        <v>470</v>
      </c>
      <c r="L848" s="66" t="s">
        <v>470</v>
      </c>
      <c r="M848" s="66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>
      <c r="A849" s="226"/>
      <c r="B849" s="13"/>
      <c r="C849" s="13"/>
      <c r="D849" s="13"/>
      <c r="E849" s="64"/>
      <c r="F849" s="66" t="s">
        <v>470</v>
      </c>
      <c r="G849" s="13"/>
      <c r="H849" s="66" t="s">
        <v>470</v>
      </c>
      <c r="I849" s="66" t="s">
        <v>470</v>
      </c>
      <c r="J849" s="66" t="s">
        <v>470</v>
      </c>
      <c r="K849" s="66" t="s">
        <v>470</v>
      </c>
      <c r="L849" s="66" t="s">
        <v>470</v>
      </c>
      <c r="M849" s="66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>
      <c r="A850" s="226"/>
      <c r="B850" s="13"/>
      <c r="C850" s="13"/>
      <c r="D850" s="13"/>
      <c r="E850" s="64"/>
      <c r="F850" s="66" t="s">
        <v>470</v>
      </c>
      <c r="G850" s="13"/>
      <c r="H850" s="66" t="s">
        <v>470</v>
      </c>
      <c r="I850" s="66" t="s">
        <v>470</v>
      </c>
      <c r="J850" s="66" t="s">
        <v>470</v>
      </c>
      <c r="K850" s="66" t="s">
        <v>470</v>
      </c>
      <c r="L850" s="66" t="s">
        <v>470</v>
      </c>
      <c r="M850" s="66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>
      <c r="A851" s="226"/>
      <c r="B851" s="13"/>
      <c r="C851" s="13"/>
      <c r="D851" s="13"/>
      <c r="E851" s="64"/>
      <c r="F851" s="66" t="s">
        <v>470</v>
      </c>
      <c r="G851" s="13"/>
      <c r="H851" s="66" t="s">
        <v>470</v>
      </c>
      <c r="I851" s="66" t="s">
        <v>470</v>
      </c>
      <c r="J851" s="66" t="s">
        <v>470</v>
      </c>
      <c r="K851" s="66" t="s">
        <v>470</v>
      </c>
      <c r="L851" s="66" t="s">
        <v>470</v>
      </c>
      <c r="M851" s="66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>
      <c r="A852" s="226"/>
      <c r="B852" s="13"/>
      <c r="C852" s="13"/>
      <c r="D852" s="13"/>
      <c r="E852" s="64"/>
      <c r="F852" s="66" t="s">
        <v>470</v>
      </c>
      <c r="G852" s="13"/>
      <c r="H852" s="66" t="s">
        <v>470</v>
      </c>
      <c r="I852" s="66" t="s">
        <v>470</v>
      </c>
      <c r="J852" s="66" t="s">
        <v>470</v>
      </c>
      <c r="K852" s="66" t="s">
        <v>470</v>
      </c>
      <c r="L852" s="66" t="s">
        <v>470</v>
      </c>
      <c r="M852" s="66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>
      <c r="A853" s="226"/>
      <c r="B853" s="13"/>
      <c r="C853" s="13"/>
      <c r="D853" s="13"/>
      <c r="E853" s="64"/>
      <c r="F853" s="66" t="s">
        <v>470</v>
      </c>
      <c r="G853" s="13"/>
      <c r="H853" s="66" t="s">
        <v>470</v>
      </c>
      <c r="I853" s="66" t="s">
        <v>470</v>
      </c>
      <c r="J853" s="66" t="s">
        <v>470</v>
      </c>
      <c r="K853" s="66" t="s">
        <v>470</v>
      </c>
      <c r="L853" s="66" t="s">
        <v>470</v>
      </c>
      <c r="M853" s="66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>
      <c r="A854" s="226"/>
      <c r="B854" s="13"/>
      <c r="C854" s="13"/>
      <c r="D854" s="13"/>
      <c r="E854" s="64"/>
      <c r="F854" s="66" t="s">
        <v>470</v>
      </c>
      <c r="G854" s="13"/>
      <c r="H854" s="66" t="s">
        <v>470</v>
      </c>
      <c r="I854" s="66" t="s">
        <v>470</v>
      </c>
      <c r="J854" s="66" t="s">
        <v>470</v>
      </c>
      <c r="K854" s="66" t="s">
        <v>470</v>
      </c>
      <c r="L854" s="66" t="s">
        <v>470</v>
      </c>
      <c r="M854" s="66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>
      <c r="A855" s="226"/>
      <c r="B855" s="13"/>
      <c r="C855" s="13"/>
      <c r="D855" s="13"/>
      <c r="E855" s="64"/>
      <c r="F855" s="66" t="s">
        <v>470</v>
      </c>
      <c r="G855" s="13"/>
      <c r="H855" s="66" t="s">
        <v>470</v>
      </c>
      <c r="I855" s="66" t="s">
        <v>470</v>
      </c>
      <c r="J855" s="66" t="s">
        <v>470</v>
      </c>
      <c r="K855" s="66" t="s">
        <v>470</v>
      </c>
      <c r="L855" s="66" t="s">
        <v>470</v>
      </c>
      <c r="M855" s="66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>
      <c r="A856" s="226"/>
      <c r="B856" s="13"/>
      <c r="C856" s="13"/>
      <c r="D856" s="13"/>
      <c r="E856" s="64"/>
      <c r="F856" s="66" t="s">
        <v>470</v>
      </c>
      <c r="G856" s="13"/>
      <c r="H856" s="66" t="s">
        <v>470</v>
      </c>
      <c r="I856" s="66" t="s">
        <v>470</v>
      </c>
      <c r="J856" s="66" t="s">
        <v>470</v>
      </c>
      <c r="K856" s="66" t="s">
        <v>470</v>
      </c>
      <c r="L856" s="66" t="s">
        <v>470</v>
      </c>
      <c r="M856" s="66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>
      <c r="A857" s="226"/>
      <c r="B857" s="13"/>
      <c r="C857" s="13"/>
      <c r="D857" s="13"/>
      <c r="E857" s="64"/>
      <c r="F857" s="66" t="s">
        <v>470</v>
      </c>
      <c r="G857" s="13"/>
      <c r="H857" s="66" t="s">
        <v>470</v>
      </c>
      <c r="I857" s="66" t="s">
        <v>470</v>
      </c>
      <c r="J857" s="66" t="s">
        <v>470</v>
      </c>
      <c r="K857" s="66" t="s">
        <v>470</v>
      </c>
      <c r="L857" s="66" t="s">
        <v>470</v>
      </c>
      <c r="M857" s="66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>
      <c r="A858" s="226"/>
      <c r="B858" s="13"/>
      <c r="C858" s="13"/>
      <c r="D858" s="13"/>
      <c r="E858" s="64"/>
      <c r="F858" s="66" t="s">
        <v>470</v>
      </c>
      <c r="G858" s="13"/>
      <c r="H858" s="66" t="s">
        <v>470</v>
      </c>
      <c r="I858" s="66" t="s">
        <v>470</v>
      </c>
      <c r="J858" s="66" t="s">
        <v>470</v>
      </c>
      <c r="K858" s="66" t="s">
        <v>470</v>
      </c>
      <c r="L858" s="66" t="s">
        <v>470</v>
      </c>
      <c r="M858" s="66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>
      <c r="A859" s="226"/>
      <c r="B859" s="13"/>
      <c r="C859" s="13"/>
      <c r="D859" s="13"/>
      <c r="E859" s="64"/>
      <c r="F859" s="66" t="s">
        <v>470</v>
      </c>
      <c r="G859" s="13"/>
      <c r="H859" s="66" t="s">
        <v>470</v>
      </c>
      <c r="I859" s="66" t="s">
        <v>470</v>
      </c>
      <c r="J859" s="66" t="s">
        <v>470</v>
      </c>
      <c r="K859" s="66" t="s">
        <v>470</v>
      </c>
      <c r="L859" s="66" t="s">
        <v>470</v>
      </c>
      <c r="M859" s="66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>
      <c r="A860" s="226"/>
      <c r="B860" s="13"/>
      <c r="C860" s="13"/>
      <c r="D860" s="13"/>
      <c r="E860" s="64"/>
      <c r="F860" s="66" t="s">
        <v>470</v>
      </c>
      <c r="G860" s="13"/>
      <c r="H860" s="66" t="s">
        <v>470</v>
      </c>
      <c r="I860" s="66" t="s">
        <v>470</v>
      </c>
      <c r="J860" s="66" t="s">
        <v>470</v>
      </c>
      <c r="K860" s="66" t="s">
        <v>470</v>
      </c>
      <c r="L860" s="66" t="s">
        <v>470</v>
      </c>
      <c r="M860" s="66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>
      <c r="A861" s="226"/>
      <c r="B861" s="13"/>
      <c r="C861" s="13"/>
      <c r="D861" s="13"/>
      <c r="E861" s="64"/>
      <c r="F861" s="66" t="s">
        <v>470</v>
      </c>
      <c r="G861" s="13"/>
      <c r="H861" s="66" t="s">
        <v>470</v>
      </c>
      <c r="I861" s="66" t="s">
        <v>470</v>
      </c>
      <c r="J861" s="66" t="s">
        <v>470</v>
      </c>
      <c r="K861" s="66" t="s">
        <v>470</v>
      </c>
      <c r="L861" s="66" t="s">
        <v>470</v>
      </c>
      <c r="M861" s="66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>
      <c r="A862" s="226"/>
      <c r="B862" s="13"/>
      <c r="C862" s="13"/>
      <c r="D862" s="13"/>
      <c r="E862" s="64"/>
      <c r="F862" s="66" t="s">
        <v>470</v>
      </c>
      <c r="G862" s="13"/>
      <c r="H862" s="66" t="s">
        <v>470</v>
      </c>
      <c r="I862" s="66" t="s">
        <v>470</v>
      </c>
      <c r="J862" s="66" t="s">
        <v>470</v>
      </c>
      <c r="K862" s="66" t="s">
        <v>470</v>
      </c>
      <c r="L862" s="66" t="s">
        <v>470</v>
      </c>
      <c r="M862" s="66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>
      <c r="A863" s="226"/>
      <c r="B863" s="13"/>
      <c r="C863" s="13"/>
      <c r="D863" s="13"/>
      <c r="E863" s="64"/>
      <c r="F863" s="66" t="s">
        <v>470</v>
      </c>
      <c r="G863" s="13"/>
      <c r="H863" s="66" t="s">
        <v>470</v>
      </c>
      <c r="I863" s="66" t="s">
        <v>470</v>
      </c>
      <c r="J863" s="66" t="s">
        <v>470</v>
      </c>
      <c r="K863" s="66" t="s">
        <v>470</v>
      </c>
      <c r="L863" s="66" t="s">
        <v>470</v>
      </c>
      <c r="M863" s="66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>
      <c r="A864" s="226"/>
      <c r="B864" s="13"/>
      <c r="C864" s="13"/>
      <c r="D864" s="13"/>
      <c r="E864" s="64"/>
      <c r="F864" s="66" t="s">
        <v>470</v>
      </c>
      <c r="G864" s="13"/>
      <c r="H864" s="66" t="s">
        <v>470</v>
      </c>
      <c r="I864" s="66" t="s">
        <v>470</v>
      </c>
      <c r="J864" s="66" t="s">
        <v>470</v>
      </c>
      <c r="K864" s="66" t="s">
        <v>470</v>
      </c>
      <c r="L864" s="66" t="s">
        <v>470</v>
      </c>
      <c r="M864" s="66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>
      <c r="A865" s="226"/>
      <c r="B865" s="13"/>
      <c r="C865" s="13"/>
      <c r="D865" s="13"/>
      <c r="E865" s="64"/>
      <c r="F865" s="66" t="s">
        <v>470</v>
      </c>
      <c r="G865" s="13"/>
      <c r="H865" s="66" t="s">
        <v>470</v>
      </c>
      <c r="I865" s="66" t="s">
        <v>470</v>
      </c>
      <c r="J865" s="66" t="s">
        <v>470</v>
      </c>
      <c r="K865" s="66" t="s">
        <v>470</v>
      </c>
      <c r="L865" s="66" t="s">
        <v>470</v>
      </c>
      <c r="M865" s="66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>
      <c r="A866" s="226"/>
      <c r="B866" s="13"/>
      <c r="C866" s="13"/>
      <c r="D866" s="13"/>
      <c r="E866" s="64"/>
      <c r="F866" s="66" t="s">
        <v>470</v>
      </c>
      <c r="G866" s="13"/>
      <c r="H866" s="66" t="s">
        <v>470</v>
      </c>
      <c r="I866" s="66" t="s">
        <v>470</v>
      </c>
      <c r="J866" s="66" t="s">
        <v>470</v>
      </c>
      <c r="K866" s="66" t="s">
        <v>470</v>
      </c>
      <c r="L866" s="66" t="s">
        <v>470</v>
      </c>
      <c r="M866" s="66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>
      <c r="A867" s="226"/>
      <c r="B867" s="13"/>
      <c r="C867" s="13"/>
      <c r="D867" s="13"/>
      <c r="E867" s="64"/>
      <c r="F867" s="66" t="s">
        <v>470</v>
      </c>
      <c r="G867" s="13"/>
      <c r="H867" s="66" t="s">
        <v>470</v>
      </c>
      <c r="I867" s="66" t="s">
        <v>470</v>
      </c>
      <c r="J867" s="66" t="s">
        <v>470</v>
      </c>
      <c r="K867" s="66" t="s">
        <v>470</v>
      </c>
      <c r="L867" s="66" t="s">
        <v>470</v>
      </c>
      <c r="M867" s="66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>
      <c r="A868" s="226"/>
      <c r="B868" s="13"/>
      <c r="C868" s="13"/>
      <c r="D868" s="13"/>
      <c r="E868" s="64"/>
      <c r="F868" s="66" t="s">
        <v>470</v>
      </c>
      <c r="G868" s="13"/>
      <c r="H868" s="66" t="s">
        <v>470</v>
      </c>
      <c r="I868" s="66" t="s">
        <v>470</v>
      </c>
      <c r="J868" s="66" t="s">
        <v>470</v>
      </c>
      <c r="K868" s="66" t="s">
        <v>470</v>
      </c>
      <c r="L868" s="66" t="s">
        <v>470</v>
      </c>
      <c r="M868" s="66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>
      <c r="A869" s="226"/>
      <c r="B869" s="13"/>
      <c r="C869" s="13"/>
      <c r="D869" s="13"/>
      <c r="E869" s="64"/>
      <c r="F869" s="66" t="s">
        <v>470</v>
      </c>
      <c r="G869" s="13"/>
      <c r="H869" s="66" t="s">
        <v>470</v>
      </c>
      <c r="I869" s="66" t="s">
        <v>470</v>
      </c>
      <c r="J869" s="66" t="s">
        <v>470</v>
      </c>
      <c r="K869" s="66" t="s">
        <v>470</v>
      </c>
      <c r="L869" s="66" t="s">
        <v>470</v>
      </c>
      <c r="M869" s="66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>
      <c r="A870" s="226"/>
      <c r="B870" s="13"/>
      <c r="C870" s="13"/>
      <c r="D870" s="13"/>
      <c r="E870" s="64"/>
      <c r="F870" s="66" t="s">
        <v>470</v>
      </c>
      <c r="G870" s="13"/>
      <c r="H870" s="66" t="s">
        <v>470</v>
      </c>
      <c r="I870" s="66" t="s">
        <v>470</v>
      </c>
      <c r="J870" s="66" t="s">
        <v>470</v>
      </c>
      <c r="K870" s="66" t="s">
        <v>470</v>
      </c>
      <c r="L870" s="66" t="s">
        <v>470</v>
      </c>
      <c r="M870" s="66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>
      <c r="A871" s="226"/>
      <c r="B871" s="13"/>
      <c r="C871" s="13"/>
      <c r="D871" s="13"/>
      <c r="E871" s="64"/>
      <c r="F871" s="66" t="s">
        <v>470</v>
      </c>
      <c r="G871" s="13"/>
      <c r="H871" s="66" t="s">
        <v>470</v>
      </c>
      <c r="I871" s="66" t="s">
        <v>470</v>
      </c>
      <c r="J871" s="66" t="s">
        <v>470</v>
      </c>
      <c r="K871" s="66" t="s">
        <v>470</v>
      </c>
      <c r="L871" s="66" t="s">
        <v>470</v>
      </c>
      <c r="M871" s="66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>
      <c r="A872" s="226"/>
      <c r="B872" s="13"/>
      <c r="C872" s="13"/>
      <c r="D872" s="13"/>
      <c r="E872" s="64"/>
      <c r="F872" s="66" t="s">
        <v>470</v>
      </c>
      <c r="G872" s="13"/>
      <c r="H872" s="66" t="s">
        <v>470</v>
      </c>
      <c r="I872" s="66" t="s">
        <v>470</v>
      </c>
      <c r="J872" s="66" t="s">
        <v>470</v>
      </c>
      <c r="K872" s="66" t="s">
        <v>470</v>
      </c>
      <c r="L872" s="66" t="s">
        <v>470</v>
      </c>
      <c r="M872" s="66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>
      <c r="A873" s="226"/>
      <c r="B873" s="13"/>
      <c r="C873" s="13"/>
      <c r="D873" s="13"/>
      <c r="E873" s="64"/>
      <c r="F873" s="66" t="s">
        <v>470</v>
      </c>
      <c r="G873" s="13"/>
      <c r="H873" s="66" t="s">
        <v>470</v>
      </c>
      <c r="I873" s="66" t="s">
        <v>470</v>
      </c>
      <c r="J873" s="66" t="s">
        <v>470</v>
      </c>
      <c r="K873" s="66" t="s">
        <v>470</v>
      </c>
      <c r="L873" s="66" t="s">
        <v>470</v>
      </c>
      <c r="M873" s="66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>
      <c r="A874" s="226"/>
      <c r="B874" s="13"/>
      <c r="C874" s="13"/>
      <c r="D874" s="13"/>
      <c r="E874" s="64"/>
      <c r="F874" s="66" t="s">
        <v>470</v>
      </c>
      <c r="G874" s="13"/>
      <c r="H874" s="66" t="s">
        <v>470</v>
      </c>
      <c r="I874" s="66" t="s">
        <v>470</v>
      </c>
      <c r="J874" s="66" t="s">
        <v>470</v>
      </c>
      <c r="K874" s="66" t="s">
        <v>470</v>
      </c>
      <c r="L874" s="66" t="s">
        <v>470</v>
      </c>
      <c r="M874" s="66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>
      <c r="A875" s="226"/>
      <c r="B875" s="13"/>
      <c r="C875" s="13"/>
      <c r="D875" s="13"/>
      <c r="E875" s="64"/>
      <c r="F875" s="66" t="s">
        <v>470</v>
      </c>
      <c r="G875" s="13"/>
      <c r="H875" s="66" t="s">
        <v>470</v>
      </c>
      <c r="I875" s="66" t="s">
        <v>470</v>
      </c>
      <c r="J875" s="66" t="s">
        <v>470</v>
      </c>
      <c r="K875" s="66" t="s">
        <v>470</v>
      </c>
      <c r="L875" s="66" t="s">
        <v>470</v>
      </c>
      <c r="M875" s="66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>
      <c r="A876" s="226"/>
      <c r="B876" s="13"/>
      <c r="C876" s="13"/>
      <c r="D876" s="13"/>
      <c r="E876" s="64"/>
      <c r="F876" s="66" t="s">
        <v>470</v>
      </c>
      <c r="G876" s="13"/>
      <c r="H876" s="66" t="s">
        <v>470</v>
      </c>
      <c r="I876" s="66" t="s">
        <v>470</v>
      </c>
      <c r="J876" s="66" t="s">
        <v>470</v>
      </c>
      <c r="K876" s="66" t="s">
        <v>470</v>
      </c>
      <c r="L876" s="66" t="s">
        <v>470</v>
      </c>
      <c r="M876" s="66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>
      <c r="A877" s="226"/>
      <c r="B877" s="13"/>
      <c r="C877" s="13"/>
      <c r="D877" s="13"/>
      <c r="E877" s="64"/>
      <c r="F877" s="66" t="s">
        <v>470</v>
      </c>
      <c r="G877" s="13"/>
      <c r="H877" s="66" t="s">
        <v>470</v>
      </c>
      <c r="I877" s="66" t="s">
        <v>470</v>
      </c>
      <c r="J877" s="66" t="s">
        <v>470</v>
      </c>
      <c r="K877" s="66" t="s">
        <v>470</v>
      </c>
      <c r="L877" s="66" t="s">
        <v>470</v>
      </c>
      <c r="M877" s="66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>
      <c r="A878" s="226"/>
      <c r="B878" s="13"/>
      <c r="C878" s="13"/>
      <c r="D878" s="13"/>
      <c r="E878" s="64"/>
      <c r="F878" s="66" t="s">
        <v>470</v>
      </c>
      <c r="G878" s="13"/>
      <c r="H878" s="66" t="s">
        <v>470</v>
      </c>
      <c r="I878" s="66" t="s">
        <v>470</v>
      </c>
      <c r="J878" s="66" t="s">
        <v>470</v>
      </c>
      <c r="K878" s="66" t="s">
        <v>470</v>
      </c>
      <c r="L878" s="66" t="s">
        <v>470</v>
      </c>
      <c r="M878" s="66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>
      <c r="A879" s="226"/>
      <c r="B879" s="13"/>
      <c r="C879" s="13"/>
      <c r="D879" s="13"/>
      <c r="E879" s="64"/>
      <c r="F879" s="66" t="s">
        <v>470</v>
      </c>
      <c r="G879" s="13"/>
      <c r="H879" s="66" t="s">
        <v>470</v>
      </c>
      <c r="I879" s="66" t="s">
        <v>470</v>
      </c>
      <c r="J879" s="66" t="s">
        <v>470</v>
      </c>
      <c r="K879" s="66" t="s">
        <v>470</v>
      </c>
      <c r="L879" s="66" t="s">
        <v>470</v>
      </c>
      <c r="M879" s="66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>
      <c r="A880" s="226"/>
      <c r="B880" s="13"/>
      <c r="C880" s="13"/>
      <c r="D880" s="13"/>
      <c r="E880" s="64"/>
      <c r="F880" s="66" t="s">
        <v>470</v>
      </c>
      <c r="G880" s="13"/>
      <c r="H880" s="66" t="s">
        <v>470</v>
      </c>
      <c r="I880" s="66" t="s">
        <v>470</v>
      </c>
      <c r="J880" s="66" t="s">
        <v>470</v>
      </c>
      <c r="K880" s="66" t="s">
        <v>470</v>
      </c>
      <c r="L880" s="66" t="s">
        <v>470</v>
      </c>
      <c r="M880" s="66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>
      <c r="A881" s="226"/>
      <c r="B881" s="13"/>
      <c r="C881" s="13"/>
      <c r="D881" s="13"/>
      <c r="E881" s="64"/>
      <c r="F881" s="66" t="s">
        <v>470</v>
      </c>
      <c r="G881" s="13"/>
      <c r="H881" s="66" t="s">
        <v>470</v>
      </c>
      <c r="I881" s="66" t="s">
        <v>470</v>
      </c>
      <c r="J881" s="66" t="s">
        <v>470</v>
      </c>
      <c r="K881" s="66" t="s">
        <v>470</v>
      </c>
      <c r="L881" s="66" t="s">
        <v>470</v>
      </c>
      <c r="M881" s="66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>
      <c r="A882" s="226"/>
      <c r="B882" s="13"/>
      <c r="C882" s="13"/>
      <c r="D882" s="13"/>
      <c r="E882" s="64"/>
      <c r="F882" s="66" t="s">
        <v>470</v>
      </c>
      <c r="G882" s="13"/>
      <c r="H882" s="66" t="s">
        <v>470</v>
      </c>
      <c r="I882" s="66" t="s">
        <v>470</v>
      </c>
      <c r="J882" s="66" t="s">
        <v>470</v>
      </c>
      <c r="K882" s="66" t="s">
        <v>470</v>
      </c>
      <c r="L882" s="66" t="s">
        <v>470</v>
      </c>
      <c r="M882" s="66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>
      <c r="A883" s="226"/>
      <c r="B883" s="13"/>
      <c r="C883" s="13"/>
      <c r="D883" s="13"/>
      <c r="E883" s="64"/>
      <c r="F883" s="66" t="s">
        <v>470</v>
      </c>
      <c r="G883" s="13"/>
      <c r="H883" s="66" t="s">
        <v>470</v>
      </c>
      <c r="I883" s="66" t="s">
        <v>470</v>
      </c>
      <c r="J883" s="66" t="s">
        <v>470</v>
      </c>
      <c r="K883" s="66" t="s">
        <v>470</v>
      </c>
      <c r="L883" s="66" t="s">
        <v>470</v>
      </c>
      <c r="M883" s="66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>
      <c r="A884" s="226"/>
      <c r="B884" s="13"/>
      <c r="C884" s="13"/>
      <c r="D884" s="13"/>
      <c r="E884" s="64"/>
      <c r="F884" s="66" t="s">
        <v>470</v>
      </c>
      <c r="G884" s="13"/>
      <c r="H884" s="66" t="s">
        <v>470</v>
      </c>
      <c r="I884" s="66" t="s">
        <v>470</v>
      </c>
      <c r="J884" s="66" t="s">
        <v>470</v>
      </c>
      <c r="K884" s="66" t="s">
        <v>470</v>
      </c>
      <c r="L884" s="66" t="s">
        <v>470</v>
      </c>
      <c r="M884" s="66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>
      <c r="A885" s="226"/>
      <c r="B885" s="13"/>
      <c r="C885" s="13"/>
      <c r="D885" s="13"/>
      <c r="E885" s="64"/>
      <c r="F885" s="66" t="s">
        <v>470</v>
      </c>
      <c r="G885" s="13"/>
      <c r="H885" s="66" t="s">
        <v>470</v>
      </c>
      <c r="I885" s="66" t="s">
        <v>470</v>
      </c>
      <c r="J885" s="66" t="s">
        <v>470</v>
      </c>
      <c r="K885" s="66" t="s">
        <v>470</v>
      </c>
      <c r="L885" s="66" t="s">
        <v>470</v>
      </c>
      <c r="M885" s="66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>
      <c r="A886" s="226"/>
      <c r="B886" s="13"/>
      <c r="C886" s="13"/>
      <c r="D886" s="13"/>
      <c r="E886" s="64"/>
      <c r="F886" s="66" t="s">
        <v>470</v>
      </c>
      <c r="G886" s="13"/>
      <c r="H886" s="66" t="s">
        <v>470</v>
      </c>
      <c r="I886" s="66" t="s">
        <v>470</v>
      </c>
      <c r="J886" s="66" t="s">
        <v>470</v>
      </c>
      <c r="K886" s="66" t="s">
        <v>470</v>
      </c>
      <c r="L886" s="66" t="s">
        <v>470</v>
      </c>
      <c r="M886" s="66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>
      <c r="A887" s="226"/>
      <c r="B887" s="13"/>
      <c r="C887" s="13"/>
      <c r="D887" s="13"/>
      <c r="E887" s="64"/>
      <c r="F887" s="66" t="s">
        <v>470</v>
      </c>
      <c r="G887" s="13"/>
      <c r="H887" s="66" t="s">
        <v>470</v>
      </c>
      <c r="I887" s="66" t="s">
        <v>470</v>
      </c>
      <c r="J887" s="66" t="s">
        <v>470</v>
      </c>
      <c r="K887" s="66" t="s">
        <v>470</v>
      </c>
      <c r="L887" s="66" t="s">
        <v>470</v>
      </c>
      <c r="M887" s="66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>
      <c r="A888" s="226"/>
      <c r="B888" s="13"/>
      <c r="C888" s="13"/>
      <c r="D888" s="13"/>
      <c r="E888" s="64"/>
      <c r="F888" s="66" t="s">
        <v>470</v>
      </c>
      <c r="G888" s="13"/>
      <c r="H888" s="66" t="s">
        <v>470</v>
      </c>
      <c r="I888" s="66" t="s">
        <v>470</v>
      </c>
      <c r="J888" s="66" t="s">
        <v>470</v>
      </c>
      <c r="K888" s="66" t="s">
        <v>470</v>
      </c>
      <c r="L888" s="66" t="s">
        <v>470</v>
      </c>
      <c r="M888" s="66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>
      <c r="A889" s="226"/>
      <c r="B889" s="13"/>
      <c r="C889" s="13"/>
      <c r="D889" s="13"/>
      <c r="E889" s="64"/>
      <c r="F889" s="66" t="s">
        <v>470</v>
      </c>
      <c r="G889" s="13"/>
      <c r="H889" s="66" t="s">
        <v>470</v>
      </c>
      <c r="I889" s="66" t="s">
        <v>470</v>
      </c>
      <c r="J889" s="66" t="s">
        <v>470</v>
      </c>
      <c r="K889" s="66" t="s">
        <v>470</v>
      </c>
      <c r="L889" s="66" t="s">
        <v>470</v>
      </c>
      <c r="M889" s="66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>
      <c r="A890" s="226"/>
      <c r="B890" s="13"/>
      <c r="C890" s="13"/>
      <c r="D890" s="13"/>
      <c r="E890" s="64"/>
      <c r="F890" s="66" t="s">
        <v>470</v>
      </c>
      <c r="G890" s="13"/>
      <c r="H890" s="66" t="s">
        <v>470</v>
      </c>
      <c r="I890" s="66" t="s">
        <v>470</v>
      </c>
      <c r="J890" s="66" t="s">
        <v>470</v>
      </c>
      <c r="K890" s="66" t="s">
        <v>470</v>
      </c>
      <c r="L890" s="66" t="s">
        <v>470</v>
      </c>
      <c r="M890" s="66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>
      <c r="A891" s="226"/>
      <c r="B891" s="13"/>
      <c r="C891" s="13"/>
      <c r="D891" s="13"/>
      <c r="E891" s="64"/>
      <c r="F891" s="66" t="s">
        <v>470</v>
      </c>
      <c r="G891" s="13"/>
      <c r="H891" s="66" t="s">
        <v>470</v>
      </c>
      <c r="I891" s="66" t="s">
        <v>470</v>
      </c>
      <c r="J891" s="66" t="s">
        <v>470</v>
      </c>
      <c r="K891" s="66" t="s">
        <v>470</v>
      </c>
      <c r="L891" s="66" t="s">
        <v>470</v>
      </c>
      <c r="M891" s="66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>
      <c r="A892" s="226"/>
      <c r="B892" s="13"/>
      <c r="C892" s="13"/>
      <c r="D892" s="13"/>
      <c r="E892" s="64"/>
      <c r="F892" s="66" t="s">
        <v>470</v>
      </c>
      <c r="G892" s="13"/>
      <c r="H892" s="66" t="s">
        <v>470</v>
      </c>
      <c r="I892" s="66" t="s">
        <v>470</v>
      </c>
      <c r="J892" s="66" t="s">
        <v>470</v>
      </c>
      <c r="K892" s="66" t="s">
        <v>470</v>
      </c>
      <c r="L892" s="66" t="s">
        <v>470</v>
      </c>
      <c r="M892" s="66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>
      <c r="A893" s="226"/>
      <c r="B893" s="13"/>
      <c r="C893" s="13"/>
      <c r="D893" s="13"/>
      <c r="E893" s="64"/>
      <c r="F893" s="66" t="s">
        <v>470</v>
      </c>
      <c r="G893" s="13"/>
      <c r="H893" s="66" t="s">
        <v>470</v>
      </c>
      <c r="I893" s="66" t="s">
        <v>470</v>
      </c>
      <c r="J893" s="66" t="s">
        <v>470</v>
      </c>
      <c r="K893" s="66" t="s">
        <v>470</v>
      </c>
      <c r="L893" s="66" t="s">
        <v>470</v>
      </c>
      <c r="M893" s="66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>
      <c r="A894" s="226"/>
      <c r="B894" s="13"/>
      <c r="C894" s="13"/>
      <c r="D894" s="13"/>
      <c r="E894" s="64"/>
      <c r="F894" s="66" t="s">
        <v>470</v>
      </c>
      <c r="G894" s="13"/>
      <c r="H894" s="66" t="s">
        <v>470</v>
      </c>
      <c r="I894" s="66" t="s">
        <v>470</v>
      </c>
      <c r="J894" s="66" t="s">
        <v>470</v>
      </c>
      <c r="K894" s="66" t="s">
        <v>470</v>
      </c>
      <c r="L894" s="66" t="s">
        <v>470</v>
      </c>
      <c r="M894" s="66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>
      <c r="A895" s="226"/>
      <c r="B895" s="13"/>
      <c r="C895" s="13"/>
      <c r="D895" s="13"/>
      <c r="E895" s="64"/>
      <c r="F895" s="66" t="s">
        <v>470</v>
      </c>
      <c r="G895" s="13"/>
      <c r="H895" s="66" t="s">
        <v>470</v>
      </c>
      <c r="I895" s="66" t="s">
        <v>470</v>
      </c>
      <c r="J895" s="66" t="s">
        <v>470</v>
      </c>
      <c r="K895" s="66" t="s">
        <v>470</v>
      </c>
      <c r="L895" s="66" t="s">
        <v>470</v>
      </c>
      <c r="M895" s="66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>
      <c r="A896" s="226"/>
      <c r="B896" s="13"/>
      <c r="C896" s="13"/>
      <c r="D896" s="13"/>
      <c r="E896" s="64"/>
      <c r="F896" s="66" t="s">
        <v>470</v>
      </c>
      <c r="G896" s="13"/>
      <c r="H896" s="66" t="s">
        <v>470</v>
      </c>
      <c r="I896" s="66" t="s">
        <v>470</v>
      </c>
      <c r="J896" s="66" t="s">
        <v>470</v>
      </c>
      <c r="K896" s="66" t="s">
        <v>470</v>
      </c>
      <c r="L896" s="66" t="s">
        <v>470</v>
      </c>
      <c r="M896" s="66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>
      <c r="A897" s="226"/>
      <c r="B897" s="13"/>
      <c r="C897" s="13"/>
      <c r="D897" s="13"/>
      <c r="E897" s="64"/>
      <c r="F897" s="66" t="s">
        <v>470</v>
      </c>
      <c r="G897" s="13"/>
      <c r="H897" s="66" t="s">
        <v>470</v>
      </c>
      <c r="I897" s="66" t="s">
        <v>470</v>
      </c>
      <c r="J897" s="66" t="s">
        <v>470</v>
      </c>
      <c r="K897" s="66" t="s">
        <v>470</v>
      </c>
      <c r="L897" s="66" t="s">
        <v>470</v>
      </c>
      <c r="M897" s="66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>
      <c r="A898" s="226"/>
      <c r="B898" s="13"/>
      <c r="C898" s="13"/>
      <c r="D898" s="13"/>
      <c r="E898" s="64"/>
      <c r="F898" s="66" t="s">
        <v>470</v>
      </c>
      <c r="G898" s="13"/>
      <c r="H898" s="66" t="s">
        <v>470</v>
      </c>
      <c r="I898" s="66" t="s">
        <v>470</v>
      </c>
      <c r="J898" s="66" t="s">
        <v>470</v>
      </c>
      <c r="K898" s="66" t="s">
        <v>470</v>
      </c>
      <c r="L898" s="66" t="s">
        <v>470</v>
      </c>
      <c r="M898" s="66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>
      <c r="A899" s="226"/>
      <c r="B899" s="13"/>
      <c r="C899" s="13"/>
      <c r="D899" s="13"/>
      <c r="E899" s="64"/>
      <c r="F899" s="66" t="s">
        <v>470</v>
      </c>
      <c r="G899" s="13"/>
      <c r="H899" s="66" t="s">
        <v>470</v>
      </c>
      <c r="I899" s="66" t="s">
        <v>470</v>
      </c>
      <c r="J899" s="66" t="s">
        <v>470</v>
      </c>
      <c r="K899" s="66" t="s">
        <v>470</v>
      </c>
      <c r="L899" s="66" t="s">
        <v>470</v>
      </c>
      <c r="M899" s="66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>
      <c r="A900" s="226"/>
      <c r="B900" s="13"/>
      <c r="C900" s="13"/>
      <c r="D900" s="13"/>
      <c r="E900" s="64"/>
      <c r="F900" s="66" t="s">
        <v>470</v>
      </c>
      <c r="G900" s="13"/>
      <c r="H900" s="66" t="s">
        <v>470</v>
      </c>
      <c r="I900" s="66" t="s">
        <v>470</v>
      </c>
      <c r="J900" s="66" t="s">
        <v>470</v>
      </c>
      <c r="K900" s="66" t="s">
        <v>470</v>
      </c>
      <c r="L900" s="66" t="s">
        <v>470</v>
      </c>
      <c r="M900" s="66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>
      <c r="A901" s="226"/>
      <c r="B901" s="13"/>
      <c r="C901" s="13"/>
      <c r="D901" s="13"/>
      <c r="E901" s="64"/>
      <c r="F901" s="66" t="s">
        <v>470</v>
      </c>
      <c r="G901" s="13"/>
      <c r="H901" s="66" t="s">
        <v>470</v>
      </c>
      <c r="I901" s="66" t="s">
        <v>470</v>
      </c>
      <c r="J901" s="66" t="s">
        <v>470</v>
      </c>
      <c r="K901" s="66" t="s">
        <v>470</v>
      </c>
      <c r="L901" s="66" t="s">
        <v>470</v>
      </c>
      <c r="M901" s="66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>
      <c r="A902" s="226"/>
      <c r="B902" s="13"/>
      <c r="C902" s="13"/>
      <c r="D902" s="13"/>
      <c r="E902" s="64"/>
      <c r="F902" s="66" t="s">
        <v>470</v>
      </c>
      <c r="G902" s="13"/>
      <c r="H902" s="66" t="s">
        <v>470</v>
      </c>
      <c r="I902" s="66" t="s">
        <v>470</v>
      </c>
      <c r="J902" s="66" t="s">
        <v>470</v>
      </c>
      <c r="K902" s="66" t="s">
        <v>470</v>
      </c>
      <c r="L902" s="66" t="s">
        <v>470</v>
      </c>
      <c r="M902" s="66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>
      <c r="A903" s="226"/>
      <c r="B903" s="13"/>
      <c r="C903" s="13"/>
      <c r="D903" s="13"/>
      <c r="E903" s="64"/>
      <c r="F903" s="66" t="s">
        <v>470</v>
      </c>
      <c r="G903" s="13"/>
      <c r="H903" s="66" t="s">
        <v>470</v>
      </c>
      <c r="I903" s="66" t="s">
        <v>470</v>
      </c>
      <c r="J903" s="66" t="s">
        <v>470</v>
      </c>
      <c r="K903" s="66" t="s">
        <v>470</v>
      </c>
      <c r="L903" s="66" t="s">
        <v>470</v>
      </c>
      <c r="M903" s="66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>
      <c r="A904" s="226"/>
      <c r="B904" s="13"/>
      <c r="C904" s="13"/>
      <c r="D904" s="13"/>
      <c r="E904" s="64"/>
      <c r="F904" s="66" t="s">
        <v>470</v>
      </c>
      <c r="G904" s="13"/>
      <c r="H904" s="66" t="s">
        <v>470</v>
      </c>
      <c r="I904" s="66" t="s">
        <v>470</v>
      </c>
      <c r="J904" s="66" t="s">
        <v>470</v>
      </c>
      <c r="K904" s="66" t="s">
        <v>470</v>
      </c>
      <c r="L904" s="66" t="s">
        <v>470</v>
      </c>
      <c r="M904" s="66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>
      <c r="A905" s="226"/>
      <c r="B905" s="13"/>
      <c r="C905" s="13"/>
      <c r="D905" s="13"/>
      <c r="E905" s="64"/>
      <c r="F905" s="66" t="s">
        <v>470</v>
      </c>
      <c r="G905" s="13"/>
      <c r="H905" s="66" t="s">
        <v>470</v>
      </c>
      <c r="I905" s="66" t="s">
        <v>470</v>
      </c>
      <c r="J905" s="66" t="s">
        <v>470</v>
      </c>
      <c r="K905" s="66" t="s">
        <v>470</v>
      </c>
      <c r="L905" s="66" t="s">
        <v>470</v>
      </c>
      <c r="M905" s="66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>
      <c r="A906" s="226"/>
      <c r="B906" s="13"/>
      <c r="C906" s="13"/>
      <c r="D906" s="13"/>
      <c r="E906" s="64"/>
      <c r="F906" s="66" t="s">
        <v>470</v>
      </c>
      <c r="G906" s="13"/>
      <c r="H906" s="66" t="s">
        <v>470</v>
      </c>
      <c r="I906" s="66" t="s">
        <v>470</v>
      </c>
      <c r="J906" s="66" t="s">
        <v>470</v>
      </c>
      <c r="K906" s="66" t="s">
        <v>470</v>
      </c>
      <c r="L906" s="66" t="s">
        <v>470</v>
      </c>
      <c r="M906" s="66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>
      <c r="A907" s="226"/>
      <c r="B907" s="13"/>
      <c r="C907" s="13"/>
      <c r="D907" s="13"/>
      <c r="E907" s="64"/>
      <c r="F907" s="66" t="s">
        <v>470</v>
      </c>
      <c r="G907" s="13"/>
      <c r="H907" s="66" t="s">
        <v>470</v>
      </c>
      <c r="I907" s="66" t="s">
        <v>470</v>
      </c>
      <c r="J907" s="66" t="s">
        <v>470</v>
      </c>
      <c r="K907" s="66" t="s">
        <v>470</v>
      </c>
      <c r="L907" s="66" t="s">
        <v>470</v>
      </c>
      <c r="M907" s="66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>
      <c r="A908" s="226"/>
      <c r="B908" s="13"/>
      <c r="C908" s="13"/>
      <c r="D908" s="13"/>
      <c r="E908" s="64"/>
      <c r="F908" s="66" t="s">
        <v>470</v>
      </c>
      <c r="G908" s="13"/>
      <c r="H908" s="66" t="s">
        <v>470</v>
      </c>
      <c r="I908" s="66" t="s">
        <v>470</v>
      </c>
      <c r="J908" s="66" t="s">
        <v>470</v>
      </c>
      <c r="K908" s="66" t="s">
        <v>470</v>
      </c>
      <c r="L908" s="66" t="s">
        <v>470</v>
      </c>
      <c r="M908" s="66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>
      <c r="A909" s="226"/>
      <c r="B909" s="13"/>
      <c r="C909" s="13"/>
      <c r="D909" s="13"/>
      <c r="E909" s="64"/>
      <c r="F909" s="66" t="s">
        <v>470</v>
      </c>
      <c r="G909" s="13"/>
      <c r="H909" s="66" t="s">
        <v>470</v>
      </c>
      <c r="I909" s="66" t="s">
        <v>470</v>
      </c>
      <c r="J909" s="66" t="s">
        <v>470</v>
      </c>
      <c r="K909" s="66" t="s">
        <v>470</v>
      </c>
      <c r="L909" s="66" t="s">
        <v>470</v>
      </c>
      <c r="M909" s="66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>
      <c r="A910" s="226"/>
      <c r="B910" s="13"/>
      <c r="C910" s="13"/>
      <c r="D910" s="13"/>
      <c r="E910" s="64"/>
      <c r="F910" s="66" t="s">
        <v>470</v>
      </c>
      <c r="G910" s="13"/>
      <c r="H910" s="66" t="s">
        <v>470</v>
      </c>
      <c r="I910" s="66" t="s">
        <v>470</v>
      </c>
      <c r="J910" s="66" t="s">
        <v>470</v>
      </c>
      <c r="K910" s="66" t="s">
        <v>470</v>
      </c>
      <c r="L910" s="66" t="s">
        <v>470</v>
      </c>
      <c r="M910" s="66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>
      <c r="A911" s="226"/>
      <c r="B911" s="13"/>
      <c r="C911" s="13"/>
      <c r="D911" s="13"/>
      <c r="E911" s="64"/>
      <c r="F911" s="66" t="s">
        <v>470</v>
      </c>
      <c r="G911" s="13"/>
      <c r="H911" s="66" t="s">
        <v>470</v>
      </c>
      <c r="I911" s="66" t="s">
        <v>470</v>
      </c>
      <c r="J911" s="66" t="s">
        <v>470</v>
      </c>
      <c r="K911" s="66" t="s">
        <v>470</v>
      </c>
      <c r="L911" s="66" t="s">
        <v>470</v>
      </c>
      <c r="M911" s="66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>
      <c r="A912" s="226"/>
      <c r="B912" s="13"/>
      <c r="C912" s="13"/>
      <c r="D912" s="13"/>
      <c r="E912" s="64"/>
      <c r="F912" s="66" t="s">
        <v>470</v>
      </c>
      <c r="G912" s="13"/>
      <c r="H912" s="66" t="s">
        <v>470</v>
      </c>
      <c r="I912" s="66" t="s">
        <v>470</v>
      </c>
      <c r="J912" s="66" t="s">
        <v>470</v>
      </c>
      <c r="K912" s="66" t="s">
        <v>470</v>
      </c>
      <c r="L912" s="66" t="s">
        <v>470</v>
      </c>
      <c r="M912" s="66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>
      <c r="A913" s="226"/>
      <c r="B913" s="13"/>
      <c r="C913" s="13"/>
      <c r="D913" s="13"/>
      <c r="E913" s="64"/>
      <c r="F913" s="66" t="s">
        <v>470</v>
      </c>
      <c r="G913" s="13"/>
      <c r="H913" s="66" t="s">
        <v>470</v>
      </c>
      <c r="I913" s="66" t="s">
        <v>470</v>
      </c>
      <c r="J913" s="66" t="s">
        <v>470</v>
      </c>
      <c r="K913" s="66" t="s">
        <v>470</v>
      </c>
      <c r="L913" s="66" t="s">
        <v>470</v>
      </c>
      <c r="M913" s="66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>
      <c r="A914" s="226"/>
      <c r="B914" s="13"/>
      <c r="C914" s="13"/>
      <c r="D914" s="13"/>
      <c r="E914" s="64"/>
      <c r="F914" s="66" t="s">
        <v>470</v>
      </c>
      <c r="G914" s="13"/>
      <c r="H914" s="66" t="s">
        <v>470</v>
      </c>
      <c r="I914" s="66" t="s">
        <v>470</v>
      </c>
      <c r="J914" s="66" t="s">
        <v>470</v>
      </c>
      <c r="K914" s="66" t="s">
        <v>470</v>
      </c>
      <c r="L914" s="66" t="s">
        <v>470</v>
      </c>
      <c r="M914" s="66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>
      <c r="A915" s="226"/>
      <c r="B915" s="13"/>
      <c r="C915" s="13"/>
      <c r="D915" s="13"/>
      <c r="E915" s="64"/>
      <c r="F915" s="66" t="s">
        <v>470</v>
      </c>
      <c r="G915" s="13"/>
      <c r="H915" s="66" t="s">
        <v>470</v>
      </c>
      <c r="I915" s="66" t="s">
        <v>470</v>
      </c>
      <c r="J915" s="66" t="s">
        <v>470</v>
      </c>
      <c r="K915" s="66" t="s">
        <v>470</v>
      </c>
      <c r="L915" s="66" t="s">
        <v>470</v>
      </c>
      <c r="M915" s="66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>
      <c r="A916" s="226"/>
      <c r="B916" s="13"/>
      <c r="C916" s="13"/>
      <c r="D916" s="13"/>
      <c r="E916" s="64"/>
      <c r="F916" s="66" t="s">
        <v>470</v>
      </c>
      <c r="G916" s="13"/>
      <c r="H916" s="66" t="s">
        <v>470</v>
      </c>
      <c r="I916" s="66" t="s">
        <v>470</v>
      </c>
      <c r="J916" s="66" t="s">
        <v>470</v>
      </c>
      <c r="K916" s="66" t="s">
        <v>470</v>
      </c>
      <c r="L916" s="66" t="s">
        <v>470</v>
      </c>
      <c r="M916" s="66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>
      <c r="A917" s="226"/>
      <c r="B917" s="13"/>
      <c r="C917" s="13"/>
      <c r="D917" s="13"/>
      <c r="E917" s="64"/>
      <c r="F917" s="66" t="s">
        <v>470</v>
      </c>
      <c r="G917" s="13"/>
      <c r="H917" s="66" t="s">
        <v>470</v>
      </c>
      <c r="I917" s="66" t="s">
        <v>470</v>
      </c>
      <c r="J917" s="66" t="s">
        <v>470</v>
      </c>
      <c r="K917" s="66" t="s">
        <v>470</v>
      </c>
      <c r="L917" s="66" t="s">
        <v>470</v>
      </c>
      <c r="M917" s="66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>
      <c r="A918" s="226"/>
      <c r="B918" s="13"/>
      <c r="C918" s="13"/>
      <c r="D918" s="13"/>
      <c r="E918" s="64"/>
      <c r="F918" s="66" t="s">
        <v>470</v>
      </c>
      <c r="G918" s="13"/>
      <c r="H918" s="66" t="s">
        <v>470</v>
      </c>
      <c r="I918" s="66" t="s">
        <v>470</v>
      </c>
      <c r="J918" s="66" t="s">
        <v>470</v>
      </c>
      <c r="K918" s="66" t="s">
        <v>470</v>
      </c>
      <c r="L918" s="66" t="s">
        <v>470</v>
      </c>
      <c r="M918" s="66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>
      <c r="A919" s="226"/>
      <c r="B919" s="13"/>
      <c r="C919" s="13"/>
      <c r="D919" s="13"/>
      <c r="E919" s="64"/>
      <c r="F919" s="66" t="s">
        <v>470</v>
      </c>
      <c r="G919" s="13"/>
      <c r="H919" s="66" t="s">
        <v>470</v>
      </c>
      <c r="I919" s="66" t="s">
        <v>470</v>
      </c>
      <c r="J919" s="66" t="s">
        <v>470</v>
      </c>
      <c r="K919" s="66" t="s">
        <v>470</v>
      </c>
      <c r="L919" s="66" t="s">
        <v>470</v>
      </c>
      <c r="M919" s="66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>
      <c r="A920" s="226"/>
      <c r="B920" s="13"/>
      <c r="C920" s="13"/>
      <c r="D920" s="13"/>
      <c r="E920" s="64"/>
      <c r="F920" s="66" t="s">
        <v>470</v>
      </c>
      <c r="G920" s="13"/>
      <c r="H920" s="66" t="s">
        <v>470</v>
      </c>
      <c r="I920" s="66" t="s">
        <v>470</v>
      </c>
      <c r="J920" s="66" t="s">
        <v>470</v>
      </c>
      <c r="K920" s="66" t="s">
        <v>470</v>
      </c>
      <c r="L920" s="66" t="s">
        <v>470</v>
      </c>
      <c r="M920" s="66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>
      <c r="A921" s="226"/>
      <c r="B921" s="13"/>
      <c r="C921" s="13"/>
      <c r="D921" s="13"/>
      <c r="E921" s="64"/>
      <c r="F921" s="66" t="s">
        <v>470</v>
      </c>
      <c r="G921" s="13"/>
      <c r="H921" s="66" t="s">
        <v>470</v>
      </c>
      <c r="I921" s="66" t="s">
        <v>470</v>
      </c>
      <c r="J921" s="66" t="s">
        <v>470</v>
      </c>
      <c r="K921" s="66" t="s">
        <v>470</v>
      </c>
      <c r="L921" s="66" t="s">
        <v>470</v>
      </c>
      <c r="M921" s="66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>
      <c r="A922" s="226"/>
      <c r="B922" s="13"/>
      <c r="C922" s="13"/>
      <c r="D922" s="13"/>
      <c r="E922" s="64"/>
      <c r="F922" s="66" t="s">
        <v>470</v>
      </c>
      <c r="G922" s="13"/>
      <c r="H922" s="66" t="s">
        <v>470</v>
      </c>
      <c r="I922" s="66" t="s">
        <v>470</v>
      </c>
      <c r="J922" s="66" t="s">
        <v>470</v>
      </c>
      <c r="K922" s="66" t="s">
        <v>470</v>
      </c>
      <c r="L922" s="66" t="s">
        <v>470</v>
      </c>
      <c r="M922" s="66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>
      <c r="A923" s="226"/>
      <c r="B923" s="13"/>
      <c r="C923" s="13"/>
      <c r="D923" s="13"/>
      <c r="E923" s="64"/>
      <c r="F923" s="66" t="s">
        <v>470</v>
      </c>
      <c r="G923" s="13"/>
      <c r="H923" s="66" t="s">
        <v>470</v>
      </c>
      <c r="I923" s="66" t="s">
        <v>470</v>
      </c>
      <c r="J923" s="66" t="s">
        <v>470</v>
      </c>
      <c r="K923" s="66" t="s">
        <v>470</v>
      </c>
      <c r="L923" s="66" t="s">
        <v>470</v>
      </c>
      <c r="M923" s="66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>
      <c r="A924" s="226"/>
      <c r="B924" s="13"/>
      <c r="C924" s="13"/>
      <c r="D924" s="13"/>
      <c r="E924" s="64"/>
      <c r="F924" s="66" t="s">
        <v>470</v>
      </c>
      <c r="G924" s="13"/>
      <c r="H924" s="66" t="s">
        <v>470</v>
      </c>
      <c r="I924" s="66" t="s">
        <v>470</v>
      </c>
      <c r="J924" s="66" t="s">
        <v>470</v>
      </c>
      <c r="K924" s="66" t="s">
        <v>470</v>
      </c>
      <c r="L924" s="66" t="s">
        <v>470</v>
      </c>
      <c r="M924" s="66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>
      <c r="A925" s="226"/>
      <c r="B925" s="13"/>
      <c r="C925" s="13"/>
      <c r="D925" s="13"/>
      <c r="E925" s="64"/>
      <c r="F925" s="66" t="s">
        <v>470</v>
      </c>
      <c r="G925" s="13"/>
      <c r="H925" s="66" t="s">
        <v>470</v>
      </c>
      <c r="I925" s="66" t="s">
        <v>470</v>
      </c>
      <c r="J925" s="66" t="s">
        <v>470</v>
      </c>
      <c r="K925" s="66" t="s">
        <v>470</v>
      </c>
      <c r="L925" s="66" t="s">
        <v>470</v>
      </c>
      <c r="M925" s="66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>
      <c r="A926" s="226"/>
      <c r="B926" s="13"/>
      <c r="C926" s="13"/>
      <c r="D926" s="13"/>
      <c r="E926" s="64"/>
      <c r="F926" s="66" t="s">
        <v>470</v>
      </c>
      <c r="G926" s="13"/>
      <c r="H926" s="66" t="s">
        <v>470</v>
      </c>
      <c r="I926" s="66" t="s">
        <v>470</v>
      </c>
      <c r="J926" s="66" t="s">
        <v>470</v>
      </c>
      <c r="K926" s="66" t="s">
        <v>470</v>
      </c>
      <c r="L926" s="66" t="s">
        <v>470</v>
      </c>
      <c r="M926" s="66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>
      <c r="A927" s="226"/>
      <c r="B927" s="13"/>
      <c r="C927" s="13"/>
      <c r="D927" s="13"/>
      <c r="E927" s="64"/>
      <c r="F927" s="66" t="s">
        <v>470</v>
      </c>
      <c r="G927" s="13"/>
      <c r="H927" s="66" t="s">
        <v>470</v>
      </c>
      <c r="I927" s="66" t="s">
        <v>470</v>
      </c>
      <c r="J927" s="66" t="s">
        <v>470</v>
      </c>
      <c r="K927" s="66" t="s">
        <v>470</v>
      </c>
      <c r="L927" s="66" t="s">
        <v>470</v>
      </c>
      <c r="M927" s="66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>
      <c r="A928" s="226"/>
      <c r="B928" s="13"/>
      <c r="C928" s="13"/>
      <c r="D928" s="13"/>
      <c r="E928" s="64"/>
      <c r="F928" s="66" t="s">
        <v>470</v>
      </c>
      <c r="G928" s="13"/>
      <c r="H928" s="66" t="s">
        <v>470</v>
      </c>
      <c r="I928" s="66" t="s">
        <v>470</v>
      </c>
      <c r="J928" s="66" t="s">
        <v>470</v>
      </c>
      <c r="K928" s="66" t="s">
        <v>470</v>
      </c>
      <c r="L928" s="66" t="s">
        <v>470</v>
      </c>
      <c r="M928" s="66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>
      <c r="A929" s="226"/>
      <c r="B929" s="13"/>
      <c r="C929" s="13"/>
      <c r="D929" s="13"/>
      <c r="E929" s="64"/>
      <c r="F929" s="66" t="s">
        <v>470</v>
      </c>
      <c r="G929" s="13"/>
      <c r="H929" s="66" t="s">
        <v>470</v>
      </c>
      <c r="I929" s="66" t="s">
        <v>470</v>
      </c>
      <c r="J929" s="66" t="s">
        <v>470</v>
      </c>
      <c r="K929" s="66" t="s">
        <v>470</v>
      </c>
      <c r="L929" s="66" t="s">
        <v>470</v>
      </c>
      <c r="M929" s="66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>
      <c r="A930" s="226"/>
      <c r="B930" s="13"/>
      <c r="C930" s="13"/>
      <c r="D930" s="13"/>
      <c r="E930" s="64"/>
      <c r="F930" s="66" t="s">
        <v>470</v>
      </c>
      <c r="G930" s="13"/>
      <c r="H930" s="66" t="s">
        <v>470</v>
      </c>
      <c r="I930" s="66" t="s">
        <v>470</v>
      </c>
      <c r="J930" s="66" t="s">
        <v>470</v>
      </c>
      <c r="K930" s="66" t="s">
        <v>470</v>
      </c>
      <c r="L930" s="66" t="s">
        <v>470</v>
      </c>
      <c r="M930" s="66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>
      <c r="A931" s="226"/>
      <c r="B931" s="13"/>
      <c r="C931" s="13"/>
      <c r="D931" s="13"/>
      <c r="E931" s="64"/>
      <c r="F931" s="66" t="s">
        <v>470</v>
      </c>
      <c r="G931" s="13"/>
      <c r="H931" s="66" t="s">
        <v>470</v>
      </c>
      <c r="I931" s="66" t="s">
        <v>470</v>
      </c>
      <c r="J931" s="66" t="s">
        <v>470</v>
      </c>
      <c r="K931" s="66" t="s">
        <v>470</v>
      </c>
      <c r="L931" s="66" t="s">
        <v>470</v>
      </c>
      <c r="M931" s="66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>
      <c r="A932" s="226"/>
      <c r="B932" s="13"/>
      <c r="C932" s="13"/>
      <c r="D932" s="13"/>
      <c r="E932" s="64"/>
      <c r="F932" s="66" t="s">
        <v>470</v>
      </c>
      <c r="G932" s="13"/>
      <c r="H932" s="66" t="s">
        <v>470</v>
      </c>
      <c r="I932" s="66" t="s">
        <v>470</v>
      </c>
      <c r="J932" s="66" t="s">
        <v>470</v>
      </c>
      <c r="K932" s="66" t="s">
        <v>470</v>
      </c>
      <c r="L932" s="66" t="s">
        <v>470</v>
      </c>
      <c r="M932" s="66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>
      <c r="A933" s="226"/>
      <c r="B933" s="13"/>
      <c r="C933" s="13"/>
      <c r="D933" s="13"/>
      <c r="E933" s="64"/>
      <c r="F933" s="66" t="s">
        <v>470</v>
      </c>
      <c r="G933" s="13"/>
      <c r="H933" s="66" t="s">
        <v>470</v>
      </c>
      <c r="I933" s="66" t="s">
        <v>470</v>
      </c>
      <c r="J933" s="66" t="s">
        <v>470</v>
      </c>
      <c r="K933" s="66" t="s">
        <v>470</v>
      </c>
      <c r="L933" s="66" t="s">
        <v>470</v>
      </c>
      <c r="M933" s="66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>
      <c r="A934" s="226"/>
      <c r="B934" s="13"/>
      <c r="C934" s="13"/>
      <c r="D934" s="13"/>
      <c r="E934" s="64"/>
      <c r="F934" s="66" t="s">
        <v>470</v>
      </c>
      <c r="G934" s="13"/>
      <c r="H934" s="66" t="s">
        <v>470</v>
      </c>
      <c r="I934" s="66" t="s">
        <v>470</v>
      </c>
      <c r="J934" s="66" t="s">
        <v>470</v>
      </c>
      <c r="K934" s="66" t="s">
        <v>470</v>
      </c>
      <c r="L934" s="66" t="s">
        <v>470</v>
      </c>
      <c r="M934" s="66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>
      <c r="A935" s="226"/>
      <c r="B935" s="13"/>
      <c r="C935" s="13"/>
      <c r="D935" s="13"/>
      <c r="E935" s="64"/>
      <c r="F935" s="66" t="s">
        <v>470</v>
      </c>
      <c r="G935" s="13"/>
      <c r="H935" s="66" t="s">
        <v>470</v>
      </c>
      <c r="I935" s="66" t="s">
        <v>470</v>
      </c>
      <c r="J935" s="66" t="s">
        <v>470</v>
      </c>
      <c r="K935" s="66" t="s">
        <v>470</v>
      </c>
      <c r="L935" s="66" t="s">
        <v>470</v>
      </c>
      <c r="M935" s="66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>
      <c r="A936" s="226"/>
      <c r="B936" s="13"/>
      <c r="C936" s="13"/>
      <c r="D936" s="13"/>
      <c r="E936" s="64"/>
      <c r="F936" s="66" t="s">
        <v>470</v>
      </c>
      <c r="G936" s="13"/>
      <c r="H936" s="66" t="s">
        <v>470</v>
      </c>
      <c r="I936" s="66" t="s">
        <v>470</v>
      </c>
      <c r="J936" s="66" t="s">
        <v>470</v>
      </c>
      <c r="K936" s="66" t="s">
        <v>470</v>
      </c>
      <c r="L936" s="66" t="s">
        <v>470</v>
      </c>
      <c r="M936" s="66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>
      <c r="A937" s="226"/>
      <c r="B937" s="13"/>
      <c r="C937" s="13"/>
      <c r="D937" s="13"/>
      <c r="E937" s="64"/>
      <c r="F937" s="66" t="s">
        <v>470</v>
      </c>
      <c r="G937" s="13"/>
      <c r="H937" s="66" t="s">
        <v>470</v>
      </c>
      <c r="I937" s="66" t="s">
        <v>470</v>
      </c>
      <c r="J937" s="66" t="s">
        <v>470</v>
      </c>
      <c r="K937" s="66" t="s">
        <v>470</v>
      </c>
      <c r="L937" s="66" t="s">
        <v>470</v>
      </c>
      <c r="M937" s="66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>
      <c r="A938" s="226"/>
      <c r="B938" s="13"/>
      <c r="C938" s="13"/>
      <c r="D938" s="13"/>
      <c r="E938" s="64"/>
      <c r="F938" s="66" t="s">
        <v>470</v>
      </c>
      <c r="G938" s="13"/>
      <c r="H938" s="66" t="s">
        <v>470</v>
      </c>
      <c r="I938" s="66" t="s">
        <v>470</v>
      </c>
      <c r="J938" s="66" t="s">
        <v>470</v>
      </c>
      <c r="K938" s="66" t="s">
        <v>470</v>
      </c>
      <c r="L938" s="66" t="s">
        <v>470</v>
      </c>
      <c r="M938" s="66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>
      <c r="A939" s="226"/>
      <c r="B939" s="13"/>
      <c r="C939" s="13"/>
      <c r="D939" s="13"/>
      <c r="E939" s="64"/>
      <c r="F939" s="66" t="s">
        <v>470</v>
      </c>
      <c r="G939" s="13"/>
      <c r="H939" s="66" t="s">
        <v>470</v>
      </c>
      <c r="I939" s="66" t="s">
        <v>470</v>
      </c>
      <c r="J939" s="66" t="s">
        <v>470</v>
      </c>
      <c r="K939" s="66" t="s">
        <v>470</v>
      </c>
      <c r="L939" s="66" t="s">
        <v>470</v>
      </c>
      <c r="M939" s="66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>
      <c r="A940" s="226"/>
      <c r="B940" s="13"/>
      <c r="C940" s="13"/>
      <c r="D940" s="13"/>
      <c r="E940" s="64"/>
      <c r="F940" s="66" t="s">
        <v>470</v>
      </c>
      <c r="G940" s="13"/>
      <c r="H940" s="66" t="s">
        <v>470</v>
      </c>
      <c r="I940" s="66" t="s">
        <v>470</v>
      </c>
      <c r="J940" s="66" t="s">
        <v>470</v>
      </c>
      <c r="K940" s="66" t="s">
        <v>470</v>
      </c>
      <c r="L940" s="66" t="s">
        <v>470</v>
      </c>
      <c r="M940" s="66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>
      <c r="A941" s="226"/>
      <c r="B941" s="13"/>
      <c r="C941" s="13"/>
      <c r="D941" s="13"/>
      <c r="E941" s="64"/>
      <c r="F941" s="66" t="s">
        <v>470</v>
      </c>
      <c r="G941" s="13"/>
      <c r="H941" s="66" t="s">
        <v>470</v>
      </c>
      <c r="I941" s="66" t="s">
        <v>470</v>
      </c>
      <c r="J941" s="66" t="s">
        <v>470</v>
      </c>
      <c r="K941" s="66" t="s">
        <v>470</v>
      </c>
      <c r="L941" s="66" t="s">
        <v>470</v>
      </c>
      <c r="M941" s="66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>
      <c r="A942" s="226"/>
      <c r="B942" s="13"/>
      <c r="C942" s="13"/>
      <c r="D942" s="13"/>
      <c r="E942" s="64"/>
      <c r="F942" s="66" t="s">
        <v>470</v>
      </c>
      <c r="G942" s="13"/>
      <c r="H942" s="66" t="s">
        <v>470</v>
      </c>
      <c r="I942" s="66" t="s">
        <v>470</v>
      </c>
      <c r="J942" s="66" t="s">
        <v>470</v>
      </c>
      <c r="K942" s="66" t="s">
        <v>470</v>
      </c>
      <c r="L942" s="66" t="s">
        <v>470</v>
      </c>
      <c r="M942" s="66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>
      <c r="A943" s="226"/>
      <c r="B943" s="13"/>
      <c r="C943" s="13"/>
      <c r="D943" s="13"/>
      <c r="E943" s="64"/>
      <c r="F943" s="66" t="s">
        <v>470</v>
      </c>
      <c r="G943" s="13"/>
      <c r="H943" s="66" t="s">
        <v>470</v>
      </c>
      <c r="I943" s="66" t="s">
        <v>470</v>
      </c>
      <c r="J943" s="66" t="s">
        <v>470</v>
      </c>
      <c r="K943" s="66" t="s">
        <v>470</v>
      </c>
      <c r="L943" s="66" t="s">
        <v>470</v>
      </c>
      <c r="M943" s="66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>
      <c r="A944" s="226"/>
      <c r="B944" s="13"/>
      <c r="C944" s="13"/>
      <c r="D944" s="13"/>
      <c r="E944" s="64"/>
      <c r="F944" s="66" t="s">
        <v>470</v>
      </c>
      <c r="G944" s="13"/>
      <c r="H944" s="66" t="s">
        <v>470</v>
      </c>
      <c r="I944" s="66" t="s">
        <v>470</v>
      </c>
      <c r="J944" s="66" t="s">
        <v>470</v>
      </c>
      <c r="K944" s="66" t="s">
        <v>470</v>
      </c>
      <c r="L944" s="66" t="s">
        <v>470</v>
      </c>
      <c r="M944" s="66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>
      <c r="A945" s="226"/>
      <c r="B945" s="13"/>
      <c r="C945" s="13"/>
      <c r="D945" s="13"/>
      <c r="E945" s="64"/>
      <c r="F945" s="66" t="s">
        <v>470</v>
      </c>
      <c r="G945" s="13"/>
      <c r="H945" s="66" t="s">
        <v>470</v>
      </c>
      <c r="I945" s="66" t="s">
        <v>470</v>
      </c>
      <c r="J945" s="66" t="s">
        <v>470</v>
      </c>
      <c r="K945" s="66" t="s">
        <v>470</v>
      </c>
      <c r="L945" s="66" t="s">
        <v>470</v>
      </c>
      <c r="M945" s="66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>
      <c r="A946" s="226"/>
      <c r="B946" s="13"/>
      <c r="C946" s="13"/>
      <c r="D946" s="13"/>
      <c r="E946" s="64"/>
      <c r="F946" s="66" t="s">
        <v>470</v>
      </c>
      <c r="G946" s="13"/>
      <c r="H946" s="66" t="s">
        <v>470</v>
      </c>
      <c r="I946" s="66" t="s">
        <v>470</v>
      </c>
      <c r="J946" s="66" t="s">
        <v>470</v>
      </c>
      <c r="K946" s="66" t="s">
        <v>470</v>
      </c>
      <c r="L946" s="66" t="s">
        <v>470</v>
      </c>
      <c r="M946" s="66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>
      <c r="A947" s="226"/>
      <c r="B947" s="13"/>
      <c r="C947" s="13"/>
      <c r="D947" s="13"/>
      <c r="E947" s="64"/>
      <c r="F947" s="66" t="s">
        <v>470</v>
      </c>
      <c r="G947" s="13"/>
      <c r="H947" s="66" t="s">
        <v>470</v>
      </c>
      <c r="I947" s="66" t="s">
        <v>470</v>
      </c>
      <c r="J947" s="66" t="s">
        <v>470</v>
      </c>
      <c r="K947" s="66" t="s">
        <v>470</v>
      </c>
      <c r="L947" s="66" t="s">
        <v>470</v>
      </c>
      <c r="M947" s="66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>
      <c r="A948" s="226"/>
      <c r="B948" s="13"/>
      <c r="C948" s="13"/>
      <c r="D948" s="13"/>
      <c r="E948" s="64"/>
      <c r="F948" s="66" t="s">
        <v>470</v>
      </c>
      <c r="G948" s="13"/>
      <c r="H948" s="66" t="s">
        <v>470</v>
      </c>
      <c r="I948" s="66" t="s">
        <v>470</v>
      </c>
      <c r="J948" s="66" t="s">
        <v>470</v>
      </c>
      <c r="K948" s="66" t="s">
        <v>470</v>
      </c>
      <c r="L948" s="66" t="s">
        <v>470</v>
      </c>
      <c r="M948" s="66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>
      <c r="A949" s="226"/>
      <c r="B949" s="13"/>
      <c r="C949" s="13"/>
      <c r="D949" s="13"/>
      <c r="E949" s="64"/>
      <c r="F949" s="66" t="s">
        <v>470</v>
      </c>
      <c r="G949" s="13"/>
      <c r="H949" s="66" t="s">
        <v>470</v>
      </c>
      <c r="I949" s="66" t="s">
        <v>470</v>
      </c>
      <c r="J949" s="66" t="s">
        <v>470</v>
      </c>
      <c r="K949" s="66" t="s">
        <v>470</v>
      </c>
      <c r="L949" s="66" t="s">
        <v>470</v>
      </c>
      <c r="M949" s="66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>
      <c r="A950" s="226"/>
      <c r="B950" s="13"/>
      <c r="C950" s="13"/>
      <c r="D950" s="13"/>
      <c r="E950" s="64"/>
      <c r="F950" s="66" t="s">
        <v>470</v>
      </c>
      <c r="G950" s="13"/>
      <c r="H950" s="66" t="s">
        <v>470</v>
      </c>
      <c r="I950" s="66" t="s">
        <v>470</v>
      </c>
      <c r="J950" s="66" t="s">
        <v>470</v>
      </c>
      <c r="K950" s="66" t="s">
        <v>470</v>
      </c>
      <c r="L950" s="66" t="s">
        <v>470</v>
      </c>
      <c r="M950" s="66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>
      <c r="A951" s="226"/>
      <c r="B951" s="13"/>
      <c r="C951" s="13"/>
      <c r="D951" s="13"/>
      <c r="E951" s="64"/>
      <c r="F951" s="66" t="s">
        <v>470</v>
      </c>
      <c r="G951" s="13"/>
      <c r="H951" s="66" t="s">
        <v>470</v>
      </c>
      <c r="I951" s="66" t="s">
        <v>470</v>
      </c>
      <c r="J951" s="66" t="s">
        <v>470</v>
      </c>
      <c r="K951" s="66" t="s">
        <v>470</v>
      </c>
      <c r="L951" s="66" t="s">
        <v>470</v>
      </c>
      <c r="M951" s="66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>
      <c r="A952" s="226"/>
      <c r="B952" s="13"/>
      <c r="C952" s="13"/>
      <c r="D952" s="13"/>
      <c r="E952" s="64"/>
      <c r="F952" s="66" t="s">
        <v>470</v>
      </c>
      <c r="G952" s="13"/>
      <c r="H952" s="66" t="s">
        <v>470</v>
      </c>
      <c r="I952" s="66" t="s">
        <v>470</v>
      </c>
      <c r="J952" s="66" t="s">
        <v>470</v>
      </c>
      <c r="K952" s="66" t="s">
        <v>470</v>
      </c>
      <c r="L952" s="66" t="s">
        <v>470</v>
      </c>
      <c r="M952" s="66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>
      <c r="A953" s="226"/>
      <c r="B953" s="13"/>
      <c r="C953" s="13"/>
      <c r="D953" s="13"/>
      <c r="E953" s="64"/>
      <c r="F953" s="66" t="s">
        <v>470</v>
      </c>
      <c r="G953" s="13"/>
      <c r="H953" s="66" t="s">
        <v>470</v>
      </c>
      <c r="I953" s="66" t="s">
        <v>470</v>
      </c>
      <c r="J953" s="66" t="s">
        <v>470</v>
      </c>
      <c r="K953" s="66" t="s">
        <v>470</v>
      </c>
      <c r="L953" s="66" t="s">
        <v>470</v>
      </c>
      <c r="M953" s="66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>
      <c r="A954" s="226"/>
      <c r="B954" s="13"/>
      <c r="C954" s="13"/>
      <c r="D954" s="13"/>
      <c r="E954" s="64"/>
      <c r="F954" s="66" t="s">
        <v>470</v>
      </c>
      <c r="G954" s="13"/>
      <c r="H954" s="66" t="s">
        <v>470</v>
      </c>
      <c r="I954" s="66" t="s">
        <v>470</v>
      </c>
      <c r="J954" s="66" t="s">
        <v>470</v>
      </c>
      <c r="K954" s="66" t="s">
        <v>470</v>
      </c>
      <c r="L954" s="66" t="s">
        <v>470</v>
      </c>
      <c r="M954" s="66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>
      <c r="A955" s="226"/>
      <c r="B955" s="13"/>
      <c r="C955" s="13"/>
      <c r="D955" s="13"/>
      <c r="E955" s="64"/>
      <c r="F955" s="66" t="s">
        <v>470</v>
      </c>
      <c r="G955" s="13"/>
      <c r="H955" s="66" t="s">
        <v>470</v>
      </c>
      <c r="I955" s="66" t="s">
        <v>470</v>
      </c>
      <c r="J955" s="66" t="s">
        <v>470</v>
      </c>
      <c r="K955" s="66" t="s">
        <v>470</v>
      </c>
      <c r="L955" s="66" t="s">
        <v>470</v>
      </c>
      <c r="M955" s="66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>
      <c r="A956" s="226"/>
      <c r="B956" s="13"/>
      <c r="C956" s="13"/>
      <c r="D956" s="13"/>
      <c r="E956" s="64"/>
      <c r="F956" s="66" t="s">
        <v>470</v>
      </c>
      <c r="G956" s="13"/>
      <c r="H956" s="66" t="s">
        <v>470</v>
      </c>
      <c r="I956" s="66" t="s">
        <v>470</v>
      </c>
      <c r="J956" s="66" t="s">
        <v>470</v>
      </c>
      <c r="K956" s="66" t="s">
        <v>470</v>
      </c>
      <c r="L956" s="66" t="s">
        <v>470</v>
      </c>
      <c r="M956" s="66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>
      <c r="A957" s="226"/>
      <c r="B957" s="13"/>
      <c r="C957" s="13"/>
      <c r="D957" s="13"/>
      <c r="E957" s="64"/>
      <c r="F957" s="66" t="s">
        <v>470</v>
      </c>
      <c r="G957" s="13"/>
      <c r="H957" s="66" t="s">
        <v>470</v>
      </c>
      <c r="I957" s="66" t="s">
        <v>470</v>
      </c>
      <c r="J957" s="66" t="s">
        <v>470</v>
      </c>
      <c r="K957" s="66" t="s">
        <v>470</v>
      </c>
      <c r="L957" s="66" t="s">
        <v>470</v>
      </c>
      <c r="M957" s="66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>
      <c r="A958" s="226"/>
      <c r="B958" s="13"/>
      <c r="C958" s="13"/>
      <c r="D958" s="13"/>
      <c r="E958" s="64"/>
      <c r="F958" s="66" t="s">
        <v>470</v>
      </c>
      <c r="G958" s="13"/>
      <c r="H958" s="66" t="s">
        <v>470</v>
      </c>
      <c r="I958" s="66" t="s">
        <v>470</v>
      </c>
      <c r="J958" s="66" t="s">
        <v>470</v>
      </c>
      <c r="K958" s="66" t="s">
        <v>470</v>
      </c>
      <c r="L958" s="66" t="s">
        <v>470</v>
      </c>
      <c r="M958" s="66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>
      <c r="A959" s="226"/>
      <c r="B959" s="13"/>
      <c r="C959" s="13"/>
      <c r="D959" s="13"/>
      <c r="E959" s="64"/>
      <c r="F959" s="66" t="s">
        <v>470</v>
      </c>
      <c r="G959" s="13"/>
      <c r="H959" s="66" t="s">
        <v>470</v>
      </c>
      <c r="I959" s="66" t="s">
        <v>470</v>
      </c>
      <c r="J959" s="66" t="s">
        <v>470</v>
      </c>
      <c r="K959" s="66" t="s">
        <v>470</v>
      </c>
      <c r="L959" s="66" t="s">
        <v>470</v>
      </c>
      <c r="M959" s="66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>
      <c r="A960" s="226"/>
      <c r="B960" s="13"/>
      <c r="C960" s="13"/>
      <c r="D960" s="13"/>
      <c r="E960" s="64"/>
      <c r="F960" s="66" t="s">
        <v>470</v>
      </c>
      <c r="G960" s="13"/>
      <c r="H960" s="66" t="s">
        <v>470</v>
      </c>
      <c r="I960" s="66" t="s">
        <v>470</v>
      </c>
      <c r="J960" s="66" t="s">
        <v>470</v>
      </c>
      <c r="K960" s="66" t="s">
        <v>470</v>
      </c>
      <c r="L960" s="66" t="s">
        <v>470</v>
      </c>
      <c r="M960" s="66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>
      <c r="A961" s="226"/>
      <c r="B961" s="13"/>
      <c r="C961" s="13"/>
      <c r="D961" s="13"/>
      <c r="E961" s="64"/>
      <c r="F961" s="66" t="s">
        <v>470</v>
      </c>
      <c r="G961" s="13"/>
      <c r="H961" s="66" t="s">
        <v>470</v>
      </c>
      <c r="I961" s="66" t="s">
        <v>470</v>
      </c>
      <c r="J961" s="66" t="s">
        <v>470</v>
      </c>
      <c r="K961" s="66" t="s">
        <v>470</v>
      </c>
      <c r="L961" s="66" t="s">
        <v>470</v>
      </c>
      <c r="M961" s="66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>
      <c r="A962" s="226"/>
      <c r="B962" s="13"/>
      <c r="C962" s="13"/>
      <c r="D962" s="13"/>
      <c r="E962" s="64"/>
      <c r="F962" s="66" t="s">
        <v>470</v>
      </c>
      <c r="G962" s="13"/>
      <c r="H962" s="66" t="s">
        <v>470</v>
      </c>
      <c r="I962" s="66" t="s">
        <v>470</v>
      </c>
      <c r="J962" s="66" t="s">
        <v>470</v>
      </c>
      <c r="K962" s="66" t="s">
        <v>470</v>
      </c>
      <c r="L962" s="66" t="s">
        <v>470</v>
      </c>
      <c r="M962" s="66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>
      <c r="A963" s="226"/>
      <c r="B963" s="13"/>
      <c r="C963" s="13"/>
      <c r="D963" s="13"/>
      <c r="E963" s="64"/>
      <c r="F963" s="66" t="s">
        <v>470</v>
      </c>
      <c r="G963" s="13"/>
      <c r="H963" s="66" t="s">
        <v>470</v>
      </c>
      <c r="I963" s="66" t="s">
        <v>470</v>
      </c>
      <c r="J963" s="66" t="s">
        <v>470</v>
      </c>
      <c r="K963" s="66" t="s">
        <v>470</v>
      </c>
      <c r="L963" s="66" t="s">
        <v>470</v>
      </c>
      <c r="M963" s="66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>
      <c r="A964" s="226"/>
      <c r="B964" s="13"/>
      <c r="C964" s="13"/>
      <c r="D964" s="13"/>
      <c r="E964" s="64"/>
      <c r="F964" s="66" t="s">
        <v>470</v>
      </c>
      <c r="G964" s="13"/>
      <c r="H964" s="66" t="s">
        <v>470</v>
      </c>
      <c r="I964" s="66" t="s">
        <v>470</v>
      </c>
      <c r="J964" s="66" t="s">
        <v>470</v>
      </c>
      <c r="K964" s="66" t="s">
        <v>470</v>
      </c>
      <c r="L964" s="66" t="s">
        <v>470</v>
      </c>
      <c r="M964" s="66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>
      <c r="A965" s="226"/>
      <c r="B965" s="13"/>
      <c r="C965" s="13"/>
      <c r="D965" s="13"/>
      <c r="E965" s="64"/>
      <c r="F965" s="66" t="s">
        <v>470</v>
      </c>
      <c r="G965" s="13"/>
      <c r="H965" s="66" t="s">
        <v>470</v>
      </c>
      <c r="I965" s="66" t="s">
        <v>470</v>
      </c>
      <c r="J965" s="66" t="s">
        <v>470</v>
      </c>
      <c r="K965" s="66" t="s">
        <v>470</v>
      </c>
      <c r="L965" s="66" t="s">
        <v>470</v>
      </c>
      <c r="M965" s="66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>
      <c r="A966" s="226"/>
      <c r="B966" s="13"/>
      <c r="C966" s="13"/>
      <c r="D966" s="13"/>
      <c r="E966" s="64"/>
      <c r="F966" s="66" t="s">
        <v>470</v>
      </c>
      <c r="G966" s="13"/>
      <c r="H966" s="66" t="s">
        <v>470</v>
      </c>
      <c r="I966" s="66" t="s">
        <v>470</v>
      </c>
      <c r="J966" s="66" t="s">
        <v>470</v>
      </c>
      <c r="K966" s="66" t="s">
        <v>470</v>
      </c>
      <c r="L966" s="66" t="s">
        <v>470</v>
      </c>
      <c r="M966" s="66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>
      <c r="A967" s="226"/>
      <c r="B967" s="13"/>
      <c r="C967" s="13"/>
      <c r="D967" s="13"/>
      <c r="E967" s="64"/>
      <c r="F967" s="66" t="s">
        <v>470</v>
      </c>
      <c r="G967" s="13"/>
      <c r="H967" s="66" t="s">
        <v>470</v>
      </c>
      <c r="I967" s="66" t="s">
        <v>470</v>
      </c>
      <c r="J967" s="66" t="s">
        <v>470</v>
      </c>
      <c r="K967" s="66" t="s">
        <v>470</v>
      </c>
      <c r="L967" s="66" t="s">
        <v>470</v>
      </c>
      <c r="M967" s="66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>
      <c r="A968" s="226"/>
      <c r="B968" s="13"/>
      <c r="C968" s="13"/>
      <c r="D968" s="13"/>
      <c r="E968" s="64"/>
      <c r="F968" s="66" t="s">
        <v>470</v>
      </c>
      <c r="G968" s="13"/>
      <c r="H968" s="66" t="s">
        <v>470</v>
      </c>
      <c r="I968" s="66" t="s">
        <v>470</v>
      </c>
      <c r="J968" s="66" t="s">
        <v>470</v>
      </c>
      <c r="K968" s="66" t="s">
        <v>470</v>
      </c>
      <c r="L968" s="66" t="s">
        <v>470</v>
      </c>
      <c r="M968" s="66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>
      <c r="A969" s="226"/>
      <c r="B969" s="13"/>
      <c r="C969" s="13"/>
      <c r="D969" s="13"/>
      <c r="E969" s="64"/>
      <c r="F969" s="66" t="s">
        <v>470</v>
      </c>
      <c r="G969" s="13"/>
      <c r="H969" s="66" t="s">
        <v>470</v>
      </c>
      <c r="I969" s="66" t="s">
        <v>470</v>
      </c>
      <c r="J969" s="66" t="s">
        <v>470</v>
      </c>
      <c r="K969" s="66" t="s">
        <v>470</v>
      </c>
      <c r="L969" s="66" t="s">
        <v>470</v>
      </c>
      <c r="M969" s="66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>
      <c r="A970" s="226"/>
      <c r="B970" s="13"/>
      <c r="C970" s="13"/>
      <c r="D970" s="13"/>
      <c r="E970" s="64"/>
      <c r="F970" s="66" t="s">
        <v>470</v>
      </c>
      <c r="G970" s="13"/>
      <c r="H970" s="66" t="s">
        <v>470</v>
      </c>
      <c r="I970" s="66" t="s">
        <v>470</v>
      </c>
      <c r="J970" s="66" t="s">
        <v>470</v>
      </c>
      <c r="K970" s="66" t="s">
        <v>470</v>
      </c>
      <c r="L970" s="66" t="s">
        <v>470</v>
      </c>
      <c r="M970" s="66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>
      <c r="A971" s="226"/>
      <c r="B971" s="13"/>
      <c r="C971" s="13"/>
      <c r="D971" s="13"/>
      <c r="E971" s="64"/>
      <c r="F971" s="66" t="s">
        <v>470</v>
      </c>
      <c r="G971" s="13"/>
      <c r="H971" s="66" t="s">
        <v>470</v>
      </c>
      <c r="I971" s="66" t="s">
        <v>470</v>
      </c>
      <c r="J971" s="66" t="s">
        <v>470</v>
      </c>
      <c r="K971" s="66" t="s">
        <v>470</v>
      </c>
      <c r="L971" s="66" t="s">
        <v>470</v>
      </c>
      <c r="M971" s="66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>
      <c r="A972" s="226"/>
      <c r="B972" s="13"/>
      <c r="C972" s="13"/>
      <c r="D972" s="13"/>
      <c r="E972" s="64"/>
      <c r="F972" s="66" t="s">
        <v>470</v>
      </c>
      <c r="G972" s="13"/>
      <c r="H972" s="66" t="s">
        <v>470</v>
      </c>
      <c r="I972" s="66" t="s">
        <v>470</v>
      </c>
      <c r="J972" s="66" t="s">
        <v>470</v>
      </c>
      <c r="K972" s="66" t="s">
        <v>470</v>
      </c>
      <c r="L972" s="66" t="s">
        <v>470</v>
      </c>
      <c r="M972" s="66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>
      <c r="A973" s="226"/>
      <c r="B973" s="13"/>
      <c r="C973" s="13"/>
      <c r="D973" s="13"/>
      <c r="E973" s="64"/>
      <c r="F973" s="66" t="s">
        <v>470</v>
      </c>
      <c r="G973" s="13"/>
      <c r="H973" s="66" t="s">
        <v>470</v>
      </c>
      <c r="I973" s="66" t="s">
        <v>470</v>
      </c>
      <c r="J973" s="66" t="s">
        <v>470</v>
      </c>
      <c r="K973" s="66" t="s">
        <v>470</v>
      </c>
      <c r="L973" s="66" t="s">
        <v>470</v>
      </c>
      <c r="M973" s="66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>
      <c r="A974" s="226"/>
      <c r="B974" s="13"/>
      <c r="C974" s="13"/>
      <c r="D974" s="13"/>
      <c r="E974" s="64"/>
      <c r="F974" s="66" t="s">
        <v>470</v>
      </c>
      <c r="G974" s="13"/>
      <c r="H974" s="66" t="s">
        <v>470</v>
      </c>
      <c r="I974" s="66" t="s">
        <v>470</v>
      </c>
      <c r="J974" s="66" t="s">
        <v>470</v>
      </c>
      <c r="K974" s="66" t="s">
        <v>470</v>
      </c>
      <c r="L974" s="66" t="s">
        <v>470</v>
      </c>
      <c r="M974" s="66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>
      <c r="A975" s="226"/>
      <c r="B975" s="13"/>
      <c r="C975" s="13"/>
      <c r="D975" s="13"/>
      <c r="E975" s="64"/>
      <c r="F975" s="66" t="s">
        <v>470</v>
      </c>
      <c r="G975" s="13"/>
      <c r="H975" s="66" t="s">
        <v>470</v>
      </c>
      <c r="I975" s="66" t="s">
        <v>470</v>
      </c>
      <c r="J975" s="66" t="s">
        <v>470</v>
      </c>
      <c r="K975" s="66" t="s">
        <v>470</v>
      </c>
      <c r="L975" s="66" t="s">
        <v>470</v>
      </c>
      <c r="M975" s="66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>
      <c r="A976" s="226"/>
      <c r="B976" s="13"/>
      <c r="C976" s="13"/>
      <c r="D976" s="13"/>
      <c r="E976" s="64"/>
      <c r="F976" s="66" t="s">
        <v>470</v>
      </c>
      <c r="G976" s="13"/>
      <c r="H976" s="66" t="s">
        <v>470</v>
      </c>
      <c r="I976" s="66" t="s">
        <v>470</v>
      </c>
      <c r="J976" s="66" t="s">
        <v>470</v>
      </c>
      <c r="K976" s="66" t="s">
        <v>470</v>
      </c>
      <c r="L976" s="66" t="s">
        <v>470</v>
      </c>
      <c r="M976" s="66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>
      <c r="A977" s="226"/>
      <c r="B977" s="13"/>
      <c r="C977" s="13"/>
      <c r="D977" s="13"/>
      <c r="E977" s="64"/>
      <c r="F977" s="66" t="s">
        <v>470</v>
      </c>
      <c r="G977" s="13"/>
      <c r="H977" s="66" t="s">
        <v>470</v>
      </c>
      <c r="I977" s="66" t="s">
        <v>470</v>
      </c>
      <c r="J977" s="66" t="s">
        <v>470</v>
      </c>
      <c r="K977" s="66" t="s">
        <v>470</v>
      </c>
      <c r="L977" s="66" t="s">
        <v>470</v>
      </c>
      <c r="M977" s="66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>
      <c r="A978" s="226"/>
      <c r="B978" s="13"/>
      <c r="C978" s="13"/>
      <c r="D978" s="13"/>
      <c r="E978" s="64"/>
      <c r="F978" s="66" t="s">
        <v>470</v>
      </c>
      <c r="G978" s="13"/>
      <c r="H978" s="66" t="s">
        <v>470</v>
      </c>
      <c r="I978" s="66" t="s">
        <v>470</v>
      </c>
      <c r="J978" s="66" t="s">
        <v>470</v>
      </c>
      <c r="K978" s="66" t="s">
        <v>470</v>
      </c>
      <c r="L978" s="66" t="s">
        <v>470</v>
      </c>
      <c r="M978" s="66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>
      <c r="A979" s="226"/>
      <c r="B979" s="13"/>
      <c r="C979" s="13"/>
      <c r="D979" s="13"/>
      <c r="E979" s="64"/>
      <c r="F979" s="66" t="s">
        <v>470</v>
      </c>
      <c r="G979" s="13"/>
      <c r="H979" s="66" t="s">
        <v>470</v>
      </c>
      <c r="I979" s="66" t="s">
        <v>470</v>
      </c>
      <c r="J979" s="66" t="s">
        <v>470</v>
      </c>
      <c r="K979" s="66" t="s">
        <v>470</v>
      </c>
      <c r="L979" s="66" t="s">
        <v>470</v>
      </c>
      <c r="M979" s="66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>
      <c r="A980" s="226"/>
      <c r="B980" s="13"/>
      <c r="C980" s="13"/>
      <c r="D980" s="13"/>
      <c r="E980" s="64"/>
      <c r="F980" s="66" t="s">
        <v>470</v>
      </c>
      <c r="G980" s="13"/>
      <c r="H980" s="66" t="s">
        <v>470</v>
      </c>
      <c r="I980" s="66" t="s">
        <v>470</v>
      </c>
      <c r="J980" s="66" t="s">
        <v>470</v>
      </c>
      <c r="K980" s="66" t="s">
        <v>470</v>
      </c>
      <c r="L980" s="66" t="s">
        <v>470</v>
      </c>
      <c r="M980" s="66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>
      <c r="A981" s="226"/>
      <c r="B981" s="13"/>
      <c r="C981" s="13"/>
      <c r="D981" s="13"/>
      <c r="E981" s="64"/>
      <c r="F981" s="66" t="s">
        <v>470</v>
      </c>
      <c r="G981" s="13"/>
      <c r="H981" s="66" t="s">
        <v>470</v>
      </c>
      <c r="I981" s="66" t="s">
        <v>470</v>
      </c>
      <c r="J981" s="66" t="s">
        <v>470</v>
      </c>
      <c r="K981" s="66" t="s">
        <v>470</v>
      </c>
      <c r="L981" s="66" t="s">
        <v>470</v>
      </c>
      <c r="M981" s="66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>
      <c r="A982" s="226"/>
      <c r="B982" s="13"/>
      <c r="C982" s="13"/>
      <c r="D982" s="13"/>
      <c r="E982" s="64"/>
      <c r="F982" s="66" t="s">
        <v>470</v>
      </c>
      <c r="G982" s="13"/>
      <c r="H982" s="66" t="s">
        <v>470</v>
      </c>
      <c r="I982" s="66" t="s">
        <v>470</v>
      </c>
      <c r="J982" s="66" t="s">
        <v>470</v>
      </c>
      <c r="K982" s="66" t="s">
        <v>470</v>
      </c>
      <c r="L982" s="66" t="s">
        <v>470</v>
      </c>
      <c r="M982" s="66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>
      <c r="A983" s="226"/>
      <c r="B983" s="13"/>
      <c r="C983" s="13"/>
      <c r="D983" s="13"/>
      <c r="E983" s="64"/>
      <c r="F983" s="66" t="s">
        <v>470</v>
      </c>
      <c r="G983" s="13"/>
      <c r="H983" s="66" t="s">
        <v>470</v>
      </c>
      <c r="I983" s="66" t="s">
        <v>470</v>
      </c>
      <c r="J983" s="66" t="s">
        <v>470</v>
      </c>
      <c r="K983" s="66" t="s">
        <v>470</v>
      </c>
      <c r="L983" s="66" t="s">
        <v>470</v>
      </c>
      <c r="M983" s="66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>
      <c r="A984" s="226"/>
      <c r="B984" s="13"/>
      <c r="C984" s="13"/>
      <c r="D984" s="13"/>
      <c r="E984" s="64"/>
      <c r="F984" s="66" t="s">
        <v>470</v>
      </c>
      <c r="G984" s="13"/>
      <c r="H984" s="66" t="s">
        <v>470</v>
      </c>
      <c r="I984" s="66" t="s">
        <v>470</v>
      </c>
      <c r="J984" s="66" t="s">
        <v>470</v>
      </c>
      <c r="K984" s="66" t="s">
        <v>470</v>
      </c>
      <c r="L984" s="66" t="s">
        <v>470</v>
      </c>
      <c r="M984" s="66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>
      <c r="A985" s="226"/>
      <c r="B985" s="13"/>
      <c r="C985" s="13"/>
      <c r="D985" s="13"/>
      <c r="E985" s="64"/>
      <c r="F985" s="66" t="s">
        <v>470</v>
      </c>
      <c r="G985" s="13"/>
      <c r="H985" s="66" t="s">
        <v>470</v>
      </c>
      <c r="I985" s="66" t="s">
        <v>470</v>
      </c>
      <c r="J985" s="66" t="s">
        <v>470</v>
      </c>
      <c r="K985" s="66" t="s">
        <v>470</v>
      </c>
      <c r="L985" s="66" t="s">
        <v>470</v>
      </c>
      <c r="M985" s="66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>
      <c r="A986" s="226"/>
      <c r="B986" s="13"/>
      <c r="C986" s="13"/>
      <c r="D986" s="13"/>
      <c r="E986" s="64"/>
      <c r="F986" s="66" t="s">
        <v>470</v>
      </c>
      <c r="G986" s="13"/>
      <c r="H986" s="66" t="s">
        <v>470</v>
      </c>
      <c r="I986" s="66" t="s">
        <v>470</v>
      </c>
      <c r="J986" s="66" t="s">
        <v>470</v>
      </c>
      <c r="K986" s="66" t="s">
        <v>470</v>
      </c>
      <c r="L986" s="66" t="s">
        <v>470</v>
      </c>
      <c r="M986" s="66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>
      <c r="A987" s="226"/>
      <c r="B987" s="13"/>
      <c r="C987" s="13"/>
      <c r="D987" s="13"/>
      <c r="E987" s="64"/>
      <c r="F987" s="66" t="s">
        <v>470</v>
      </c>
      <c r="G987" s="13"/>
      <c r="H987" s="66" t="s">
        <v>470</v>
      </c>
      <c r="I987" s="66" t="s">
        <v>470</v>
      </c>
      <c r="J987" s="66" t="s">
        <v>470</v>
      </c>
      <c r="K987" s="66" t="s">
        <v>470</v>
      </c>
      <c r="L987" s="66" t="s">
        <v>470</v>
      </c>
      <c r="M987" s="66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>
      <c r="A988" s="226"/>
      <c r="B988" s="13"/>
      <c r="C988" s="13"/>
      <c r="D988" s="13"/>
      <c r="E988" s="64"/>
      <c r="F988" s="66" t="s">
        <v>470</v>
      </c>
      <c r="G988" s="13"/>
      <c r="H988" s="66" t="s">
        <v>470</v>
      </c>
      <c r="I988" s="66" t="s">
        <v>470</v>
      </c>
      <c r="J988" s="66" t="s">
        <v>470</v>
      </c>
      <c r="K988" s="66" t="s">
        <v>470</v>
      </c>
      <c r="L988" s="66" t="s">
        <v>470</v>
      </c>
      <c r="M988" s="66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>
      <c r="A989" s="226"/>
      <c r="B989" s="13"/>
      <c r="C989" s="13"/>
      <c r="D989" s="13"/>
      <c r="E989" s="64"/>
      <c r="F989" s="66" t="s">
        <v>470</v>
      </c>
      <c r="G989" s="13"/>
      <c r="H989" s="66" t="s">
        <v>470</v>
      </c>
      <c r="I989" s="66" t="s">
        <v>470</v>
      </c>
      <c r="J989" s="66" t="s">
        <v>470</v>
      </c>
      <c r="K989" s="66" t="s">
        <v>470</v>
      </c>
      <c r="L989" s="66" t="s">
        <v>470</v>
      </c>
      <c r="M989" s="66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>
      <c r="A990" s="226"/>
      <c r="B990" s="13"/>
      <c r="C990" s="13"/>
      <c r="D990" s="13"/>
      <c r="E990" s="64"/>
      <c r="F990" s="66" t="s">
        <v>470</v>
      </c>
      <c r="G990" s="13"/>
      <c r="H990" s="66" t="s">
        <v>470</v>
      </c>
      <c r="I990" s="66" t="s">
        <v>470</v>
      </c>
      <c r="J990" s="66" t="s">
        <v>470</v>
      </c>
      <c r="K990" s="66" t="s">
        <v>470</v>
      </c>
      <c r="L990" s="66" t="s">
        <v>470</v>
      </c>
      <c r="M990" s="66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>
      <c r="A991" s="226"/>
      <c r="B991" s="13"/>
      <c r="C991" s="13"/>
      <c r="D991" s="13"/>
      <c r="E991" s="64"/>
      <c r="F991" s="66" t="s">
        <v>470</v>
      </c>
      <c r="G991" s="13"/>
      <c r="H991" s="66" t="s">
        <v>470</v>
      </c>
      <c r="I991" s="66" t="s">
        <v>470</v>
      </c>
      <c r="J991" s="66" t="s">
        <v>470</v>
      </c>
      <c r="K991" s="66" t="s">
        <v>470</v>
      </c>
      <c r="L991" s="66" t="s">
        <v>470</v>
      </c>
      <c r="M991" s="66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>
      <c r="A992" s="226"/>
      <c r="B992" s="13"/>
      <c r="C992" s="13"/>
      <c r="D992" s="13"/>
      <c r="E992" s="64"/>
      <c r="F992" s="66" t="s">
        <v>470</v>
      </c>
      <c r="G992" s="13"/>
      <c r="H992" s="66" t="s">
        <v>470</v>
      </c>
      <c r="I992" s="66" t="s">
        <v>470</v>
      </c>
      <c r="J992" s="66" t="s">
        <v>470</v>
      </c>
      <c r="K992" s="66" t="s">
        <v>470</v>
      </c>
      <c r="L992" s="66" t="s">
        <v>470</v>
      </c>
      <c r="M992" s="66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>
      <c r="A993" s="226"/>
      <c r="B993" s="13"/>
      <c r="C993" s="13"/>
      <c r="D993" s="13"/>
      <c r="E993" s="64"/>
      <c r="F993" s="66" t="s">
        <v>470</v>
      </c>
      <c r="G993" s="13"/>
      <c r="H993" s="66" t="s">
        <v>470</v>
      </c>
      <c r="I993" s="66" t="s">
        <v>470</v>
      </c>
      <c r="J993" s="66" t="s">
        <v>470</v>
      </c>
      <c r="K993" s="66" t="s">
        <v>470</v>
      </c>
      <c r="L993" s="66" t="s">
        <v>470</v>
      </c>
      <c r="M993" s="66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>
      <c r="A994" s="226"/>
      <c r="B994" s="13"/>
      <c r="C994" s="13"/>
      <c r="D994" s="13"/>
      <c r="E994" s="64"/>
      <c r="F994" s="66" t="s">
        <v>470</v>
      </c>
      <c r="G994" s="13"/>
      <c r="H994" s="66" t="s">
        <v>470</v>
      </c>
      <c r="I994" s="66" t="s">
        <v>470</v>
      </c>
      <c r="J994" s="66" t="s">
        <v>470</v>
      </c>
      <c r="K994" s="66" t="s">
        <v>470</v>
      </c>
      <c r="L994" s="66" t="s">
        <v>470</v>
      </c>
      <c r="M994" s="66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>
      <c r="A995" s="226"/>
      <c r="B995" s="13"/>
      <c r="C995" s="13"/>
      <c r="D995" s="13"/>
      <c r="E995" s="64"/>
      <c r="F995" s="66" t="s">
        <v>470</v>
      </c>
      <c r="G995" s="13"/>
      <c r="H995" s="66" t="s">
        <v>470</v>
      </c>
      <c r="I995" s="66" t="s">
        <v>470</v>
      </c>
      <c r="J995" s="66" t="s">
        <v>470</v>
      </c>
      <c r="K995" s="66" t="s">
        <v>470</v>
      </c>
      <c r="L995" s="66" t="s">
        <v>470</v>
      </c>
      <c r="M995" s="66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0.0"/>
    <col customWidth="1" min="2" max="2" width="16.75"/>
    <col customWidth="1" min="3" max="4" width="22.75"/>
    <col customWidth="1" min="5" max="5" width="23.88"/>
    <col customWidth="1" min="6" max="6" width="22.75"/>
    <col customWidth="1" min="7" max="12" width="21.5"/>
    <col customWidth="1" min="13" max="13" width="16.75"/>
    <col customWidth="1" min="14" max="14" width="20.38"/>
    <col customWidth="1" min="15" max="15" width="13.13"/>
    <col customWidth="1" min="16" max="16" width="19.88"/>
    <col customWidth="1" min="17" max="17" width="19.0"/>
    <col customWidth="1" min="18" max="18" width="17.63"/>
    <col customWidth="1" min="19" max="19" width="16.38"/>
    <col customWidth="1" min="20" max="20" width="18.25"/>
    <col customWidth="1" min="25" max="25" width="33.63"/>
  </cols>
  <sheetData>
    <row r="1">
      <c r="A1" s="1" t="s">
        <v>1</v>
      </c>
      <c r="B1" s="3" t="s">
        <v>4</v>
      </c>
      <c r="C1" s="5" t="s">
        <v>6</v>
      </c>
      <c r="D1" s="5" t="s">
        <v>11</v>
      </c>
      <c r="E1" s="12" t="s">
        <v>14</v>
      </c>
      <c r="F1" s="5" t="s">
        <v>23</v>
      </c>
      <c r="G1" s="5" t="s">
        <v>26</v>
      </c>
      <c r="H1" s="5" t="s">
        <v>29</v>
      </c>
      <c r="I1" s="5" t="s">
        <v>30</v>
      </c>
      <c r="J1" s="5" t="s">
        <v>32</v>
      </c>
      <c r="K1" s="5" t="s">
        <v>33</v>
      </c>
      <c r="L1" s="5" t="s">
        <v>34</v>
      </c>
      <c r="M1" s="16" t="s">
        <v>37</v>
      </c>
      <c r="N1" s="18" t="s">
        <v>40</v>
      </c>
      <c r="O1" s="21" t="s">
        <v>44</v>
      </c>
      <c r="P1" s="24" t="s">
        <v>48</v>
      </c>
      <c r="Q1" s="26" t="s">
        <v>49</v>
      </c>
      <c r="R1" s="27" t="s">
        <v>50</v>
      </c>
      <c r="S1" s="26" t="s">
        <v>51</v>
      </c>
      <c r="T1" s="28" t="s">
        <v>52</v>
      </c>
      <c r="U1" s="29" t="s">
        <v>53</v>
      </c>
      <c r="V1" s="30" t="s">
        <v>54</v>
      </c>
      <c r="W1" s="30" t="s">
        <v>55</v>
      </c>
      <c r="X1" s="30" t="s">
        <v>56</v>
      </c>
      <c r="Y1" s="33" t="s">
        <v>58</v>
      </c>
    </row>
    <row r="2">
      <c r="A2" s="35" t="s">
        <v>59</v>
      </c>
      <c r="C2" s="36"/>
      <c r="D2" s="37"/>
      <c r="E2" s="38"/>
      <c r="F2" s="40"/>
      <c r="G2" s="40"/>
      <c r="H2" s="40"/>
      <c r="I2" s="40"/>
      <c r="J2" s="40"/>
      <c r="K2" s="41"/>
      <c r="L2" s="41"/>
      <c r="M2" s="43"/>
      <c r="N2" s="44"/>
      <c r="O2" s="45"/>
      <c r="P2" s="47"/>
      <c r="Q2" s="49"/>
      <c r="R2" s="50"/>
      <c r="S2" s="51"/>
      <c r="T2" s="50"/>
      <c r="U2" s="52"/>
      <c r="V2" s="54"/>
      <c r="W2" s="55"/>
      <c r="X2" s="54"/>
      <c r="Y2" s="56"/>
    </row>
    <row r="3">
      <c r="A3" s="35"/>
      <c r="C3" s="36"/>
      <c r="D3" s="37"/>
      <c r="E3" s="38"/>
      <c r="F3" s="40"/>
      <c r="G3" s="40"/>
      <c r="H3" s="40"/>
      <c r="I3" s="40"/>
      <c r="J3" s="40"/>
      <c r="K3" s="41"/>
      <c r="L3" s="41"/>
      <c r="M3" s="43"/>
      <c r="N3" s="44"/>
      <c r="O3" s="45"/>
      <c r="P3" s="47"/>
      <c r="Q3" s="49"/>
      <c r="R3" s="50"/>
      <c r="S3" s="51"/>
      <c r="T3" s="50"/>
      <c r="U3" s="52"/>
      <c r="V3" s="54"/>
      <c r="W3" s="55"/>
      <c r="X3" s="54"/>
      <c r="Y3" s="56"/>
    </row>
    <row r="4">
      <c r="A4" s="61"/>
      <c r="B4" s="63"/>
      <c r="C4" s="65"/>
      <c r="D4" s="67"/>
      <c r="E4" s="70"/>
      <c r="F4" s="71"/>
      <c r="G4" s="71"/>
      <c r="H4" s="71"/>
      <c r="I4" s="71"/>
      <c r="J4" s="71"/>
      <c r="K4" s="72"/>
      <c r="L4" s="72"/>
      <c r="M4" s="73"/>
      <c r="N4" s="74"/>
      <c r="O4" s="75"/>
      <c r="P4" s="76"/>
      <c r="Q4" s="78"/>
      <c r="R4" s="79"/>
      <c r="S4" s="80"/>
      <c r="T4" s="79"/>
      <c r="U4" s="81"/>
      <c r="V4" s="82"/>
      <c r="W4" s="83"/>
      <c r="X4" s="82"/>
      <c r="Y4" s="84"/>
      <c r="Z4" s="63"/>
      <c r="AA4" s="63"/>
      <c r="AB4" s="63"/>
      <c r="AC4" s="63"/>
      <c r="AD4" s="63"/>
      <c r="AE4" s="63"/>
      <c r="AF4" s="63"/>
      <c r="AG4" s="63"/>
      <c r="AH4" s="63"/>
    </row>
    <row r="5">
      <c r="A5" s="35" t="s">
        <v>64</v>
      </c>
      <c r="C5" s="36"/>
      <c r="D5" s="37"/>
      <c r="E5" s="38"/>
      <c r="F5" s="40"/>
      <c r="G5" s="40"/>
      <c r="H5" s="40"/>
      <c r="I5" s="40"/>
      <c r="J5" s="40"/>
      <c r="K5" s="41"/>
      <c r="L5" s="41"/>
      <c r="M5" s="43"/>
      <c r="N5" s="44"/>
      <c r="O5" s="45"/>
      <c r="P5" s="47"/>
      <c r="Q5" s="49"/>
      <c r="R5" s="50"/>
      <c r="S5" s="51"/>
      <c r="T5" s="50"/>
      <c r="U5" s="52"/>
      <c r="V5" s="54"/>
      <c r="W5" s="55"/>
      <c r="X5" s="54"/>
      <c r="Y5" s="56"/>
    </row>
    <row r="6">
      <c r="A6" s="35" t="s">
        <v>65</v>
      </c>
      <c r="C6" s="36"/>
      <c r="D6" s="37"/>
      <c r="E6" s="38"/>
      <c r="F6" s="40"/>
      <c r="G6" s="40"/>
      <c r="H6" s="40"/>
      <c r="I6" s="40"/>
      <c r="J6" s="40"/>
      <c r="K6" s="41"/>
      <c r="L6" s="41"/>
      <c r="M6" s="43"/>
      <c r="N6" s="44"/>
      <c r="O6" s="45"/>
      <c r="P6" s="47"/>
      <c r="Q6" s="49"/>
      <c r="R6" s="50"/>
      <c r="S6" s="51"/>
      <c r="T6" s="50"/>
      <c r="U6" s="52"/>
      <c r="V6" s="54"/>
      <c r="W6" s="55"/>
      <c r="X6" s="54"/>
      <c r="Y6" s="56"/>
    </row>
    <row r="7">
      <c r="A7" s="61"/>
      <c r="B7" s="63"/>
      <c r="C7" s="65"/>
      <c r="D7" s="67"/>
      <c r="E7" s="70"/>
      <c r="F7" s="71"/>
      <c r="G7" s="71"/>
      <c r="H7" s="71"/>
      <c r="I7" s="71"/>
      <c r="J7" s="71"/>
      <c r="K7" s="72"/>
      <c r="L7" s="72"/>
      <c r="M7" s="73"/>
      <c r="N7" s="74"/>
      <c r="O7" s="75"/>
      <c r="P7" s="76"/>
      <c r="Q7" s="78"/>
      <c r="R7" s="79"/>
      <c r="S7" s="80"/>
      <c r="T7" s="79"/>
      <c r="U7" s="81"/>
      <c r="V7" s="82"/>
      <c r="W7" s="83"/>
      <c r="X7" s="82"/>
      <c r="Y7" s="84"/>
      <c r="Z7" s="63"/>
      <c r="AA7" s="63"/>
      <c r="AB7" s="63"/>
      <c r="AC7" s="63"/>
      <c r="AD7" s="63"/>
      <c r="AE7" s="63"/>
      <c r="AF7" s="63"/>
      <c r="AG7" s="63"/>
      <c r="AH7" s="63"/>
    </row>
    <row r="8">
      <c r="A8" s="35" t="s">
        <v>68</v>
      </c>
      <c r="C8" s="36">
        <v>46239.0</v>
      </c>
      <c r="D8" s="37"/>
      <c r="E8" s="38"/>
      <c r="F8" s="40"/>
      <c r="G8" s="40"/>
      <c r="H8" s="40"/>
      <c r="I8" s="40"/>
      <c r="J8" s="40"/>
      <c r="K8" s="41">
        <f>IFERROR(__xludf.DUMMYFUNCTION("IF(
  OR(A8="""",C8=""""),
  """",
  IFERROR(
    LET(
      data,
      GOOGLEFINANCE(
        ""NSE:""&amp;UPPER(TRIM(A8)),
        ""close"",
        C8+1,
        C8+10,
        ""DAILY""
      ),
      INDEX(data,2,2)
    ),
    ""Not Available""
  )
)"),1954.4)</f>
        <v>1954.4</v>
      </c>
      <c r="L8" s="41"/>
      <c r="M8" s="43">
        <f>IFERROR(__xludf.DUMMYFUNCTION("IF(A8="""","""",IFERROR(GOOGLEFINANCE(""NSE:""&amp;UPPER(TRIM(A8)),""price""),""Not Available""))"),2079.7)</f>
        <v>2079.7</v>
      </c>
      <c r="N8" s="44"/>
      <c r="O8" s="45">
        <f t="shared" ref="O8:O11" si="1">sum(M8-K8)*(100000/K8)</f>
        <v>6411.174785</v>
      </c>
      <c r="P8" s="47"/>
      <c r="Q8" s="49"/>
      <c r="R8" s="50"/>
      <c r="S8" s="51"/>
      <c r="T8" s="50"/>
      <c r="U8" s="52"/>
      <c r="V8" s="54"/>
      <c r="W8" s="55"/>
      <c r="X8" s="54"/>
      <c r="Y8" s="56"/>
    </row>
    <row r="9">
      <c r="A9" s="35" t="s">
        <v>72</v>
      </c>
      <c r="C9" s="36">
        <v>46239.0</v>
      </c>
      <c r="D9" s="37"/>
      <c r="E9" s="38"/>
      <c r="F9" s="40" t="s">
        <v>73</v>
      </c>
      <c r="G9" s="40">
        <v>2142.0</v>
      </c>
      <c r="H9" s="40">
        <v>2176.0</v>
      </c>
      <c r="I9" s="40"/>
      <c r="J9" s="40">
        <v>1995.0</v>
      </c>
      <c r="K9" s="41">
        <f>IFERROR(__xludf.DUMMYFUNCTION("IF(
  OR(A9="""",C9=""""),
  """",
  IFERROR(
    LET(
      data,
      GOOGLEFINANCE(
        ""NSE:""&amp;UPPER(TRIM(A9)),
        ""close"",
        C9+1,
        C9+10,
        ""DAILY""
      ),
      INDEX(data,2,2)
    ),
    ""Not Available""
  )
)"),2071.5)</f>
        <v>2071.5</v>
      </c>
      <c r="L9" s="41"/>
      <c r="M9" s="43">
        <f>IFERROR(__xludf.DUMMYFUNCTION("IF(A9="""","""",IFERROR(GOOGLEFINANCE(""NSE:""&amp;UPPER(TRIM(A9)),""price""),""Not Available""))"),2172.6)</f>
        <v>2172.6</v>
      </c>
      <c r="N9" s="44"/>
      <c r="O9" s="45">
        <f t="shared" si="1"/>
        <v>4880.521361</v>
      </c>
      <c r="P9" s="47"/>
      <c r="Q9" s="49"/>
      <c r="R9" s="50"/>
      <c r="S9" s="51"/>
      <c r="T9" s="50"/>
      <c r="U9" s="52"/>
      <c r="V9" s="54"/>
      <c r="W9" s="55"/>
      <c r="X9" s="54"/>
      <c r="Y9" s="56"/>
    </row>
    <row r="10">
      <c r="A10" s="35" t="s">
        <v>76</v>
      </c>
      <c r="C10" s="36">
        <v>46239.0</v>
      </c>
      <c r="D10" s="37"/>
      <c r="E10" s="38"/>
      <c r="F10" s="40" t="s">
        <v>77</v>
      </c>
      <c r="G10" s="40">
        <v>126.0</v>
      </c>
      <c r="H10" s="40">
        <v>131.0</v>
      </c>
      <c r="I10" s="40"/>
      <c r="J10" s="40">
        <v>113.0</v>
      </c>
      <c r="K10" s="41">
        <f>IFERROR(__xludf.DUMMYFUNCTION("IF(
  OR(A10="""",C10=""""),
  """",
  IFERROR(
    LET(
      data,
      GOOGLEFINANCE(
        ""NSE:""&amp;UPPER(TRIM(A10)),
        ""close"",
        C10+1,
        C10+10,
        ""DAILY""
      ),
      INDEX(data,2,2)
    ),
    ""Not Available""
  "&amp;")
)"),121.16)</f>
        <v>121.16</v>
      </c>
      <c r="L10" s="41"/>
      <c r="M10" s="43">
        <f>IFERROR(__xludf.DUMMYFUNCTION("IF(A10="""","""",IFERROR(GOOGLEFINANCE(""NSE:""&amp;UPPER(TRIM(A10)),""price""),""Not Available""))"),139.65)</f>
        <v>139.65</v>
      </c>
      <c r="N10" s="44"/>
      <c r="O10" s="45">
        <f t="shared" si="1"/>
        <v>15260.81215</v>
      </c>
      <c r="P10" s="47"/>
      <c r="Q10" s="49"/>
      <c r="R10" s="50"/>
      <c r="S10" s="51"/>
      <c r="T10" s="50"/>
      <c r="U10" s="52"/>
      <c r="V10" s="54"/>
      <c r="W10" s="55"/>
      <c r="X10" s="54"/>
      <c r="Y10" s="56"/>
    </row>
    <row r="11">
      <c r="A11" s="35" t="s">
        <v>78</v>
      </c>
      <c r="C11" s="36">
        <v>46239.0</v>
      </c>
      <c r="D11" s="37"/>
      <c r="E11" s="38"/>
      <c r="F11" s="40" t="s">
        <v>79</v>
      </c>
      <c r="G11" s="40">
        <v>1270.0</v>
      </c>
      <c r="H11" s="40">
        <v>1333.0</v>
      </c>
      <c r="I11" s="40"/>
      <c r="J11" s="40">
        <v>1081.0</v>
      </c>
      <c r="K11" s="41">
        <f>IFERROR(__xludf.DUMMYFUNCTION("IF(
  OR(A11="""",C11=""""),
  """",
  IFERROR(
    LET(
      data,
      GOOGLEFINANCE(
        ""NSE:""&amp;UPPER(TRIM(A11)),
        ""close"",
        C11+1,
        C11+10,
        ""DAILY""
      ),
      INDEX(data,2,2)
    ),
    ""Not Available""
  "&amp;")
)"),613.85)</f>
        <v>613.85</v>
      </c>
      <c r="L11" s="41"/>
      <c r="M11" s="43">
        <f>IFERROR(__xludf.DUMMYFUNCTION("IF(A11="""","""",IFERROR(GOOGLEFINANCE(""NSE:""&amp;UPPER(TRIM(A11)),""price""),""Not Available""))"),747.6)</f>
        <v>747.6</v>
      </c>
      <c r="N11" s="44"/>
      <c r="O11" s="45">
        <f t="shared" si="1"/>
        <v>21788.7106</v>
      </c>
      <c r="P11" s="47"/>
      <c r="Q11" s="49"/>
      <c r="R11" s="50"/>
      <c r="S11" s="51"/>
      <c r="T11" s="50"/>
      <c r="U11" s="52"/>
      <c r="V11" s="54"/>
      <c r="W11" s="55"/>
      <c r="X11" s="54"/>
      <c r="Y11" s="56"/>
    </row>
    <row r="12">
      <c r="A12" s="91" t="s">
        <v>82</v>
      </c>
      <c r="B12" s="63"/>
      <c r="C12" s="65"/>
      <c r="D12" s="67"/>
      <c r="E12" s="70"/>
      <c r="F12" s="71"/>
      <c r="G12" s="71"/>
      <c r="H12" s="71"/>
      <c r="I12" s="71"/>
      <c r="J12" s="71"/>
      <c r="K12" s="72" t="str">
        <f>IFERROR(__xludf.DUMMYFUNCTION("IF(
  OR(A12="""",C12=""""),
  """",
  IFERROR(
    LET(
      data,
      GOOGLEFINANCE(
        ""NSE:""&amp;UPPER(TRIM(A12)),
        ""close"",
        C12+1,
        C12+10,
        ""DAILY""
      ),
      INDEX(data,2,2)
    ),
    ""Not Available""
  "&amp;")
)"),"")</f>
        <v/>
      </c>
      <c r="L12" s="72"/>
      <c r="M12" s="73">
        <f>IFERROR(__xludf.DUMMYFUNCTION("IF(A12="""","""",IFERROR(GOOGLEFINANCE(""NSE:""&amp;UPPER(TRIM(A12)),""price""),""Not Available""))"),71.94)</f>
        <v>71.94</v>
      </c>
      <c r="N12" s="74"/>
      <c r="O12" s="92">
        <f>sum(O8:O11)</f>
        <v>48341.21889</v>
      </c>
      <c r="P12" s="76"/>
      <c r="Q12" s="78"/>
      <c r="R12" s="79"/>
      <c r="S12" s="80"/>
      <c r="T12" s="79"/>
      <c r="U12" s="81"/>
      <c r="V12" s="82"/>
      <c r="W12" s="83"/>
      <c r="X12" s="82"/>
      <c r="Y12" s="84"/>
      <c r="Z12" s="63"/>
      <c r="AA12" s="63"/>
      <c r="AB12" s="63"/>
      <c r="AC12" s="63"/>
      <c r="AD12" s="63"/>
      <c r="AE12" s="63"/>
      <c r="AF12" s="63"/>
      <c r="AG12" s="63"/>
      <c r="AH12" s="63"/>
    </row>
    <row r="13">
      <c r="A13" s="35" t="s">
        <v>85</v>
      </c>
      <c r="C13" s="36">
        <v>46238.0</v>
      </c>
      <c r="D13" s="37"/>
      <c r="E13" s="38"/>
      <c r="F13" s="40"/>
      <c r="G13" s="40"/>
      <c r="H13" s="40"/>
      <c r="I13" s="40"/>
      <c r="J13" s="40"/>
      <c r="K13" s="41">
        <f>IFERROR(__xludf.DUMMYFUNCTION("IF(
  OR(A13="""",C13=""""),
  """",
  IFERROR(
    LET(
      data,
      GOOGLEFINANCE(
        ""NSE:""&amp;UPPER(TRIM(A13)),
        ""close"",
        C13+1,
        C13+10,
        ""DAILY""
      ),
      INDEX(data,2,2)
    ),
    ""Not Available""
  "&amp;")
)"),265.6)</f>
        <v>265.6</v>
      </c>
      <c r="L13" s="41"/>
      <c r="M13" s="43">
        <f>IFERROR(__xludf.DUMMYFUNCTION("IF(A13="""","""",IFERROR(GOOGLEFINANCE(""NSE:""&amp;UPPER(TRIM(A13)),""price""),""Not Available""))"),283.1)</f>
        <v>283.1</v>
      </c>
      <c r="N13" s="44"/>
      <c r="O13" s="45">
        <f t="shared" ref="O13:O15" si="2">sum(M13-K13)*(100000/K13)</f>
        <v>6588.855422</v>
      </c>
      <c r="P13" s="47"/>
      <c r="Q13" s="49"/>
      <c r="R13" s="50"/>
      <c r="S13" s="51"/>
      <c r="T13" s="50"/>
      <c r="U13" s="52"/>
      <c r="V13" s="54"/>
      <c r="W13" s="55"/>
      <c r="X13" s="54"/>
      <c r="Y13" s="56"/>
    </row>
    <row r="14">
      <c r="A14" s="35" t="s">
        <v>87</v>
      </c>
      <c r="C14" s="36">
        <v>46238.0</v>
      </c>
      <c r="D14" s="37"/>
      <c r="E14" s="38"/>
      <c r="F14" s="40"/>
      <c r="G14" s="40"/>
      <c r="H14" s="40"/>
      <c r="I14" s="40"/>
      <c r="J14" s="40"/>
      <c r="K14" s="41">
        <f>IFERROR(__xludf.DUMMYFUNCTION("IF(
  OR(A14="""",C14=""""),
  """",
  IFERROR(
    LET(
      data,
      GOOGLEFINANCE(
        ""NSE:""&amp;UPPER(TRIM(A14)),
        ""close"",
        C14+1,
        C14+10,
        ""DAILY""
      ),
      INDEX(data,2,2)
    ),
    ""Not Available""
  "&amp;")
)"),545.1)</f>
        <v>545.1</v>
      </c>
      <c r="L14" s="41"/>
      <c r="M14" s="43">
        <f>IFERROR(__xludf.DUMMYFUNCTION("IF(A14="""","""",IFERROR(GOOGLEFINANCE(""NSE:""&amp;UPPER(TRIM(A14)),""price""),""Not Available""))"),567.55)</f>
        <v>567.55</v>
      </c>
      <c r="N14" s="44"/>
      <c r="O14" s="45">
        <f t="shared" si="2"/>
        <v>4118.510365</v>
      </c>
      <c r="P14" s="47"/>
      <c r="Q14" s="49"/>
      <c r="R14" s="50"/>
      <c r="S14" s="51"/>
      <c r="T14" s="50"/>
      <c r="U14" s="52"/>
      <c r="V14" s="54"/>
      <c r="W14" s="55"/>
      <c r="X14" s="54"/>
      <c r="Y14" s="56"/>
    </row>
    <row r="15">
      <c r="A15" s="35" t="s">
        <v>68</v>
      </c>
      <c r="C15" s="36">
        <v>46239.0</v>
      </c>
      <c r="D15" s="37"/>
      <c r="E15" s="38"/>
      <c r="F15" s="40"/>
      <c r="G15" s="40"/>
      <c r="H15" s="40"/>
      <c r="I15" s="40"/>
      <c r="J15" s="40"/>
      <c r="K15" s="41">
        <f>IFERROR(__xludf.DUMMYFUNCTION("IF(
  OR(A15="""",C15=""""),
  """",
  IFERROR(
    LET(
      data,
      GOOGLEFINANCE(
        ""NSE:""&amp;UPPER(TRIM(A15)),
        ""close"",
        C15+1,
        C15+10,
        ""DAILY""
      ),
      INDEX(data,2,2)
    ),
    ""Not Available""
  "&amp;")
)"),1954.4)</f>
        <v>1954.4</v>
      </c>
      <c r="L15" s="41"/>
      <c r="M15" s="43">
        <f>IFERROR(__xludf.DUMMYFUNCTION("IF(A15="""","""",IFERROR(GOOGLEFINANCE(""NSE:""&amp;UPPER(TRIM(A15)),""price""),""Not Available""))"),2079.7)</f>
        <v>2079.7</v>
      </c>
      <c r="N15" s="44"/>
      <c r="O15" s="45">
        <f t="shared" si="2"/>
        <v>6411.174785</v>
      </c>
      <c r="P15" s="47"/>
      <c r="Q15" s="49"/>
      <c r="R15" s="50"/>
      <c r="S15" s="51"/>
      <c r="T15" s="50"/>
      <c r="U15" s="52"/>
      <c r="V15" s="54"/>
      <c r="W15" s="55"/>
      <c r="X15" s="54"/>
      <c r="Y15" s="56"/>
    </row>
    <row r="16">
      <c r="A16" s="61"/>
      <c r="B16" s="63"/>
      <c r="C16" s="65"/>
      <c r="D16" s="67"/>
      <c r="E16" s="70"/>
      <c r="F16" s="71"/>
      <c r="G16" s="71"/>
      <c r="H16" s="71"/>
      <c r="I16" s="71"/>
      <c r="J16" s="71"/>
      <c r="K16" s="72" t="str">
        <f>IFERROR(__xludf.DUMMYFUNCTION("IF(
  OR(A16="""",C16=""""),
  """",
  IFERROR(
    LET(
      data,
      GOOGLEFINANCE(
        ""NSE:""&amp;UPPER(TRIM(A16)),
        ""close"",
        C16+1,
        C16+10,
        ""DAILY""
      ),
      INDEX(data,2,2)
    ),
    ""Not Available""
  "&amp;")
)"),"")</f>
        <v/>
      </c>
      <c r="L16" s="72"/>
      <c r="M16" s="73" t="str">
        <f>IFERROR(__xludf.DUMMYFUNCTION("IF(A16="""","""",IFERROR(GOOGLEFINANCE(""NSE:""&amp;UPPER(TRIM(A16)),""price""),""Not Available""))"),"")</f>
        <v/>
      </c>
      <c r="N16" s="74"/>
      <c r="O16" s="92">
        <f>sum(O13:O15)</f>
        <v>17118.54057</v>
      </c>
      <c r="P16" s="76"/>
      <c r="Q16" s="78"/>
      <c r="R16" s="79"/>
      <c r="S16" s="80"/>
      <c r="T16" s="79"/>
      <c r="U16" s="81"/>
      <c r="V16" s="82"/>
      <c r="W16" s="83"/>
      <c r="X16" s="82"/>
      <c r="Y16" s="84"/>
      <c r="Z16" s="63"/>
      <c r="AA16" s="63"/>
      <c r="AB16" s="63"/>
      <c r="AC16" s="63"/>
      <c r="AD16" s="63"/>
      <c r="AE16" s="63"/>
      <c r="AF16" s="63"/>
      <c r="AG16" s="63"/>
      <c r="AH16" s="63"/>
    </row>
    <row r="17">
      <c r="A17" s="35" t="s">
        <v>91</v>
      </c>
      <c r="C17" s="36">
        <v>46237.0</v>
      </c>
      <c r="D17" s="37"/>
      <c r="E17" s="38"/>
      <c r="F17" s="40">
        <v>261.5</v>
      </c>
      <c r="G17" s="40">
        <v>281.0</v>
      </c>
      <c r="H17" s="40">
        <v>292.0</v>
      </c>
      <c r="I17" s="40"/>
      <c r="J17" s="40"/>
      <c r="K17" s="41">
        <f>IFERROR(__xludf.DUMMYFUNCTION("IF(
  OR(A17="""",C17=""""),
  """",
  IFERROR(
    LET(
      data,
      GOOGLEFINANCE(
        ""NSE:""&amp;UPPER(TRIM(A17)),
        ""close"",
        C17+1,
        C17+10,
        ""DAILY""
      ),
      INDEX(data,2,2)
    ),
    ""Not Available""
  "&amp;")
)"),269.1)</f>
        <v>269.1</v>
      </c>
      <c r="L17" s="41"/>
      <c r="M17" s="43">
        <f>IFERROR(__xludf.DUMMYFUNCTION("IF(A17="""","""",IFERROR(GOOGLEFINANCE(""NSE:""&amp;UPPER(TRIM(A17)),""price""),""Not Available""))"),337.9)</f>
        <v>337.9</v>
      </c>
      <c r="N17" s="44"/>
      <c r="O17" s="45">
        <f t="shared" ref="O17:O19" si="3">sum(M17-K17)*(100000/K17)</f>
        <v>25566.70383</v>
      </c>
      <c r="P17" s="47"/>
      <c r="Q17" s="49"/>
      <c r="R17" s="50"/>
      <c r="S17" s="51"/>
      <c r="T17" s="50"/>
      <c r="U17" s="52"/>
      <c r="V17" s="54"/>
      <c r="W17" s="55"/>
      <c r="X17" s="54"/>
      <c r="Y17" s="56"/>
    </row>
    <row r="18">
      <c r="A18" s="35" t="s">
        <v>85</v>
      </c>
      <c r="C18" s="94">
        <v>46238.0</v>
      </c>
      <c r="D18" s="95"/>
      <c r="E18" s="96"/>
      <c r="F18" s="97">
        <v>259.0</v>
      </c>
      <c r="G18" s="97">
        <v>278.0</v>
      </c>
      <c r="H18" s="97">
        <v>287.0</v>
      </c>
      <c r="I18" s="97"/>
      <c r="J18" s="97"/>
      <c r="K18" s="41">
        <f>IFERROR(__xludf.DUMMYFUNCTION("IF(
  OR(A18="""",C18=""""),
  """",
  IFERROR(
    LET(
      data,
      GOOGLEFINANCE(
        ""NSE:""&amp;UPPER(TRIM(A18)),
        ""close"",
        C18+1,
        C18+10,
        ""DAILY""
      ),
      INDEX(data,2,2)
    ),
    ""Not Available""
  "&amp;")
)"),265.6)</f>
        <v>265.6</v>
      </c>
      <c r="L18" s="41"/>
      <c r="M18" s="43">
        <f>IFERROR(__xludf.DUMMYFUNCTION("IF(A18="""","""",IFERROR(GOOGLEFINANCE(""NSE:""&amp;UPPER(TRIM(A18)),""price""),""Not Available""))"),283.1)</f>
        <v>283.1</v>
      </c>
      <c r="N18" s="44"/>
      <c r="O18" s="45">
        <f t="shared" si="3"/>
        <v>6588.855422</v>
      </c>
      <c r="P18" s="47"/>
      <c r="Q18" s="49"/>
      <c r="R18" s="50"/>
      <c r="S18" s="51"/>
      <c r="T18" s="50"/>
      <c r="U18" s="52"/>
      <c r="V18" s="54"/>
      <c r="W18" s="55"/>
      <c r="X18" s="54"/>
      <c r="Y18" s="56"/>
    </row>
    <row r="19">
      <c r="A19" s="35" t="s">
        <v>96</v>
      </c>
      <c r="C19" s="98">
        <v>46237.0</v>
      </c>
      <c r="D19" s="98"/>
      <c r="E19" s="99"/>
      <c r="F19" s="100">
        <v>151.0</v>
      </c>
      <c r="G19" s="100">
        <v>166.0</v>
      </c>
      <c r="H19" s="100">
        <v>174.0</v>
      </c>
      <c r="I19" s="100"/>
      <c r="J19" s="100"/>
      <c r="K19" s="41">
        <f>IFERROR(__xludf.DUMMYFUNCTION("IF(
  OR(A19="""",C19=""""),
  """",
  IFERROR(
    LET(
      data,
      GOOGLEFINANCE(
        ""NSE:""&amp;UPPER(TRIM(A19)),
        ""close"",
        C19+1,
        C19+10,
        ""DAILY""
      ),
      INDEX(data,2,2)
    ),
    ""Not Available""
  "&amp;")
)"),153.74)</f>
        <v>153.74</v>
      </c>
      <c r="L19" s="41"/>
      <c r="M19" s="43">
        <f>IFERROR(__xludf.DUMMYFUNCTION("IF(A19="""","""",IFERROR(GOOGLEFINANCE(""NSE:""&amp;UPPER(TRIM(A19)),""price""),""Not Available""))"),203.69)</f>
        <v>203.69</v>
      </c>
      <c r="N19" s="44"/>
      <c r="O19" s="45">
        <f t="shared" si="3"/>
        <v>32489.91804</v>
      </c>
      <c r="P19" s="47"/>
      <c r="Q19" s="49"/>
      <c r="R19" s="50"/>
      <c r="S19" s="51"/>
      <c r="T19" s="50"/>
      <c r="U19" s="52"/>
      <c r="V19" s="54"/>
      <c r="W19" s="55"/>
      <c r="X19" s="54"/>
      <c r="Y19" s="56"/>
    </row>
    <row r="20">
      <c r="A20" s="103" t="s">
        <v>82</v>
      </c>
      <c r="B20" s="105"/>
      <c r="C20" s="106"/>
      <c r="D20" s="106"/>
      <c r="E20" s="109"/>
      <c r="F20" s="110"/>
      <c r="G20" s="110"/>
      <c r="H20" s="110"/>
      <c r="I20" s="110"/>
      <c r="J20" s="110"/>
      <c r="K20" s="72" t="str">
        <f>IFERROR(__xludf.DUMMYFUNCTION("IF(
  OR(A20="""",C20=""""),
  """",
  IFERROR(
    LET(
      data,
      GOOGLEFINANCE(
        ""NSE:""&amp;UPPER(TRIM(A20)),
        ""close"",
        C20+1,
        C20+10,
        ""DAILY""
      ),
      INDEX(data,2,2)
    ),
    ""Not Available""
  "&amp;")
)"),"")</f>
        <v/>
      </c>
      <c r="L20" s="72"/>
      <c r="M20" s="73">
        <f>IFERROR(__xludf.DUMMYFUNCTION("IF(A20="""","""",IFERROR(GOOGLEFINANCE(""NSE:""&amp;UPPER(TRIM(A20)),""price""),""Not Available""))"),71.94)</f>
        <v>71.94</v>
      </c>
      <c r="N20" s="74"/>
      <c r="O20" s="92">
        <f>sum(O17:O19)</f>
        <v>64645.47729</v>
      </c>
      <c r="P20" s="116"/>
      <c r="Q20" s="117"/>
      <c r="R20" s="118"/>
      <c r="S20" s="119"/>
      <c r="T20" s="118"/>
      <c r="U20" s="120"/>
      <c r="V20" s="121"/>
      <c r="W20" s="122"/>
      <c r="X20" s="121"/>
      <c r="Y20" s="123"/>
      <c r="Z20" s="105"/>
      <c r="AA20" s="105"/>
      <c r="AB20" s="105"/>
      <c r="AC20" s="105"/>
      <c r="AD20" s="105"/>
      <c r="AE20" s="105"/>
      <c r="AF20" s="105"/>
      <c r="AG20" s="105"/>
      <c r="AH20" s="105"/>
    </row>
    <row r="21">
      <c r="A21" s="124" t="s">
        <v>104</v>
      </c>
      <c r="B21" s="125"/>
      <c r="C21" s="126">
        <v>46234.0</v>
      </c>
      <c r="D21" s="127"/>
      <c r="E21" s="128"/>
      <c r="F21" s="129" t="s">
        <v>107</v>
      </c>
      <c r="G21" s="129">
        <v>421.0</v>
      </c>
      <c r="H21" s="129">
        <v>434.0</v>
      </c>
      <c r="I21" s="129">
        <v>446.0</v>
      </c>
      <c r="J21" s="129">
        <v>398.0</v>
      </c>
      <c r="K21" s="41">
        <f>IFERROR(__xludf.DUMMYFUNCTION("IF(
  OR(A21="""",C21=""""),
  """",
  IFERROR(
    LET(
      data,
      GOOGLEFINANCE(
        ""NSE:""&amp;UPPER(TRIM(A21)),
        ""close"",
        C21+1,
        C21+10,
        ""DAILY""
      ),
      INDEX(data,2,2)
    ),
    ""Not Available""
  "&amp;")
)"),411.15)</f>
        <v>411.15</v>
      </c>
      <c r="L21" s="41"/>
      <c r="M21" s="43">
        <f>IFERROR(__xludf.DUMMYFUNCTION("IF(A21="""","""",IFERROR(GOOGLEFINANCE(""NSE:""&amp;UPPER(TRIM(A21)),""price""),""Not Available""))"),417.2)</f>
        <v>417.2</v>
      </c>
      <c r="N21" s="44"/>
      <c r="O21" s="45">
        <f t="shared" ref="O21:O24" si="4">sum(M21-K21)*(100000/K21)</f>
        <v>1471.482427</v>
      </c>
      <c r="P21" s="47"/>
      <c r="Q21" s="49"/>
      <c r="R21" s="50"/>
      <c r="S21" s="51"/>
      <c r="T21" s="50"/>
      <c r="U21" s="52"/>
      <c r="V21" s="54"/>
      <c r="W21" s="55"/>
      <c r="X21" s="54"/>
      <c r="Y21" s="56"/>
    </row>
    <row r="22">
      <c r="A22" s="124" t="s">
        <v>96</v>
      </c>
      <c r="B22" s="125"/>
      <c r="C22" s="36">
        <v>46237.0</v>
      </c>
      <c r="D22" s="37"/>
      <c r="E22" s="38"/>
      <c r="F22" s="40" t="s">
        <v>111</v>
      </c>
      <c r="G22" s="40">
        <v>158.0</v>
      </c>
      <c r="H22" s="40">
        <v>166.0</v>
      </c>
      <c r="I22" s="40">
        <v>174.0</v>
      </c>
      <c r="J22" s="40">
        <v>138.0</v>
      </c>
      <c r="K22" s="41">
        <f>IFERROR(__xludf.DUMMYFUNCTION("IF(
  OR(A22="""",C22=""""),
  """",
  IFERROR(
    LET(
      data,
      GOOGLEFINANCE(
        ""NSE:""&amp;UPPER(TRIM(A22)),
        ""close"",
        C22+1,
        C22+10,
        ""DAILY""
      ),
      INDEX(data,2,2)
    ),
    ""Not Available""
  "&amp;")
)"),153.74)</f>
        <v>153.74</v>
      </c>
      <c r="L22" s="130"/>
      <c r="M22" s="131">
        <f>IFERROR(__xludf.DUMMYFUNCTION("IF(A22="""","""",IFERROR(GOOGLEFINANCE(""NSE:""&amp;UPPER(TRIM(A22)),""price""),""Not Available""))"),203.69)</f>
        <v>203.69</v>
      </c>
      <c r="N22" s="132"/>
      <c r="O22" s="133">
        <f t="shared" si="4"/>
        <v>32489.91804</v>
      </c>
      <c r="P22" s="47"/>
      <c r="Q22" s="49"/>
      <c r="R22" s="50"/>
      <c r="S22" s="51"/>
      <c r="T22" s="50"/>
      <c r="U22" s="52"/>
      <c r="V22" s="54"/>
      <c r="W22" s="55"/>
      <c r="X22" s="54"/>
      <c r="Y22" s="56"/>
    </row>
    <row r="23">
      <c r="A23" s="134" t="s">
        <v>115</v>
      </c>
      <c r="C23" s="36">
        <v>46237.0</v>
      </c>
      <c r="D23" s="37"/>
      <c r="E23" s="38"/>
      <c r="F23" s="130"/>
      <c r="G23" s="130"/>
      <c r="H23" s="130"/>
      <c r="I23" s="130"/>
      <c r="J23" s="130"/>
      <c r="K23" s="41">
        <f>IFERROR(__xludf.DUMMYFUNCTION("IF(
  OR(A23="""",C23=""""),
  """",
  IFERROR(
    LET(
      data,
      GOOGLEFINANCE(
        ""NSE:""&amp;UPPER(TRIM(A23)),
        ""close"",
        C23+1,
        C23+10,
        ""DAILY""
      ),
      INDEX(data,2,2)
    ),
    ""Not Available""
  "&amp;")
)"),404.6)</f>
        <v>404.6</v>
      </c>
      <c r="L23" s="130"/>
      <c r="M23" s="131">
        <f>IFERROR(__xludf.DUMMYFUNCTION("IF(A23="""","""",IFERROR(GOOGLEFINANCE(""NSE:""&amp;UPPER(TRIM(A23)),""price""),""Not Available""))"),454.85)</f>
        <v>454.85</v>
      </c>
      <c r="N23" s="132"/>
      <c r="O23" s="133">
        <f t="shared" si="4"/>
        <v>12419.67375</v>
      </c>
      <c r="P23" s="47"/>
      <c r="Q23" s="49"/>
      <c r="R23" s="50"/>
      <c r="S23" s="51"/>
      <c r="T23" s="50"/>
      <c r="U23" s="52"/>
      <c r="V23" s="54"/>
      <c r="W23" s="55"/>
      <c r="X23" s="54"/>
      <c r="Y23" s="56"/>
    </row>
    <row r="24">
      <c r="A24" s="135" t="s">
        <v>117</v>
      </c>
      <c r="C24" s="36">
        <v>46233.0</v>
      </c>
      <c r="D24" s="37"/>
      <c r="E24" s="38"/>
      <c r="F24" s="100" t="s">
        <v>120</v>
      </c>
      <c r="G24" s="40">
        <v>4575.0</v>
      </c>
      <c r="H24" s="40">
        <v>4777.0</v>
      </c>
      <c r="I24" s="40">
        <v>4974.0</v>
      </c>
      <c r="J24" s="40">
        <v>4280.0</v>
      </c>
      <c r="K24" s="41">
        <f>IFERROR(__xludf.DUMMYFUNCTION("IF(
  OR(A24="""",C24=""""),
  """",
  IFERROR(
    LET(
      data,
      GOOGLEFINANCE(
        ""NSE:""&amp;UPPER(TRIM(A24)),
        ""close"",
        C24+1,
        C24+10,
        ""DAILY""
      ),
      INDEX(data,2,2)
    ),
    ""Not Available""
  "&amp;")
)"),4524.0)</f>
        <v>4524</v>
      </c>
      <c r="L24" s="130"/>
      <c r="M24" s="131">
        <f>IFERROR(__xludf.DUMMYFUNCTION("IF(A24="""","""",IFERROR(GOOGLEFINANCE(""NSE:""&amp;UPPER(TRIM(A24)),""price""),""Not Available""))"),4666.0)</f>
        <v>4666</v>
      </c>
      <c r="N24" s="132"/>
      <c r="O24" s="133">
        <f t="shared" si="4"/>
        <v>3138.815208</v>
      </c>
      <c r="P24" s="47"/>
      <c r="Q24" s="49"/>
      <c r="R24" s="50"/>
      <c r="S24" s="51"/>
      <c r="T24" s="50"/>
      <c r="U24" s="52"/>
      <c r="V24" s="54"/>
      <c r="W24" s="55"/>
      <c r="X24" s="54"/>
      <c r="Y24" s="56"/>
    </row>
    <row r="25">
      <c r="A25" s="91" t="s">
        <v>82</v>
      </c>
      <c r="B25" s="63"/>
      <c r="C25" s="65"/>
      <c r="D25" s="67"/>
      <c r="E25" s="70"/>
      <c r="F25" s="136"/>
      <c r="G25" s="136"/>
      <c r="H25" s="136"/>
      <c r="I25" s="136"/>
      <c r="J25" s="136"/>
      <c r="K25" s="72" t="str">
        <f>IFERROR(__xludf.DUMMYFUNCTION("IF(
  OR(A25="""",C25=""""),
  """",
  IFERROR(
    LET(
      data,
      GOOGLEFINANCE(
        ""NSE:""&amp;UPPER(TRIM(A25)),
        ""close"",
        C25+1,
        C25+10,
        ""DAILY""
      ),
      INDEX(data,2,2)
    ),
    ""Not Available""
  "&amp;")
)"),"")</f>
        <v/>
      </c>
      <c r="L25" s="136"/>
      <c r="M25" s="137">
        <f>IFERROR(__xludf.DUMMYFUNCTION("IF(A25="""","""",IFERROR(GOOGLEFINANCE(""NSE:""&amp;UPPER(TRIM(A25)),""price""),""Not Available""))"),71.94)</f>
        <v>71.94</v>
      </c>
      <c r="N25" s="138"/>
      <c r="O25" s="140">
        <f>sum(O21:O24)</f>
        <v>49519.88943</v>
      </c>
      <c r="P25" s="76"/>
      <c r="Q25" s="78"/>
      <c r="R25" s="79"/>
      <c r="S25" s="80"/>
      <c r="T25" s="79"/>
      <c r="U25" s="81"/>
      <c r="V25" s="82"/>
      <c r="W25" s="83"/>
      <c r="X25" s="82"/>
      <c r="Y25" s="84"/>
      <c r="Z25" s="63"/>
      <c r="AA25" s="63"/>
      <c r="AB25" s="63"/>
      <c r="AC25" s="63"/>
      <c r="AD25" s="63"/>
      <c r="AE25" s="63"/>
      <c r="AF25" s="63"/>
      <c r="AG25" s="63"/>
      <c r="AH25" s="63"/>
    </row>
    <row r="26">
      <c r="A26" s="143" t="s">
        <v>124</v>
      </c>
      <c r="B26" s="125"/>
      <c r="C26" s="36">
        <v>46233.0</v>
      </c>
      <c r="D26" s="37"/>
      <c r="E26" s="38"/>
      <c r="F26" s="130"/>
      <c r="G26" s="130"/>
      <c r="H26" s="130"/>
      <c r="I26" s="130"/>
      <c r="J26" s="130"/>
      <c r="K26" s="41">
        <f>IFERROR(__xludf.DUMMYFUNCTION("IF(
  OR(A26="""",C26=""""),
  """",
  IFERROR(
    LET(
      data,
      GOOGLEFINANCE(
        ""NSE:""&amp;UPPER(TRIM(A26)),
        ""close"",
        C26+1,
        C26+10,
        ""DAILY""
      ),
      INDEX(data,2,2)
    ),
    ""Not Available""
  "&amp;")
)"),236.73)</f>
        <v>236.73</v>
      </c>
      <c r="L26" s="130"/>
      <c r="M26" s="131">
        <f>IFERROR(__xludf.DUMMYFUNCTION("IF(A26="""","""",IFERROR(GOOGLEFINANCE(""NSE:""&amp;UPPER(TRIM(A26)),""price""),""Not Available""))"),245.4)</f>
        <v>245.4</v>
      </c>
      <c r="N26" s="132"/>
      <c r="O26" s="133">
        <f t="shared" ref="O26:O32" si="5">(M26-K26)*(100000/K26)</f>
        <v>3662.400203</v>
      </c>
      <c r="P26" s="47"/>
      <c r="Q26" s="49"/>
      <c r="R26" s="50"/>
      <c r="S26" s="51"/>
      <c r="T26" s="50"/>
      <c r="U26" s="52"/>
      <c r="V26" s="54"/>
      <c r="W26" s="55"/>
      <c r="X26" s="54"/>
      <c r="Y26" s="56"/>
    </row>
    <row r="27">
      <c r="A27" s="135" t="s">
        <v>117</v>
      </c>
      <c r="C27" s="36">
        <v>46233.0</v>
      </c>
      <c r="D27" s="37"/>
      <c r="E27" s="38"/>
      <c r="F27" s="130"/>
      <c r="G27" s="130"/>
      <c r="H27" s="130"/>
      <c r="I27" s="130"/>
      <c r="J27" s="130"/>
      <c r="K27" s="41">
        <f>IFERROR(__xludf.DUMMYFUNCTION("IF(
  OR(A27="""",C27=""""),
  """",
  IFERROR(
    LET(
      data,
      GOOGLEFINANCE(
        ""NSE:""&amp;UPPER(TRIM(A27)),
        ""close"",
        C27+1,
        C27+10,
        ""DAILY""
      ),
      INDEX(data,2,2)
    ),
    ""Not Available""
  "&amp;")
)"),4524.0)</f>
        <v>4524</v>
      </c>
      <c r="L27" s="130"/>
      <c r="M27" s="131">
        <f>IFERROR(__xludf.DUMMYFUNCTION("IF(A27="""","""",IFERROR(GOOGLEFINANCE(""NSE:""&amp;UPPER(TRIM(A27)),""price""),""Not Available""))"),4666.0)</f>
        <v>4666</v>
      </c>
      <c r="N27" s="132"/>
      <c r="O27" s="133">
        <f t="shared" si="5"/>
        <v>3138.815208</v>
      </c>
      <c r="P27" s="47"/>
      <c r="Q27" s="49"/>
      <c r="R27" s="50"/>
      <c r="S27" s="51"/>
      <c r="T27" s="50"/>
      <c r="U27" s="52"/>
      <c r="V27" s="54"/>
      <c r="W27" s="55"/>
      <c r="X27" s="54"/>
      <c r="Y27" s="56"/>
    </row>
    <row r="28">
      <c r="A28" s="143" t="s">
        <v>128</v>
      </c>
      <c r="C28" s="36">
        <v>46234.0</v>
      </c>
      <c r="D28" s="37"/>
      <c r="E28" s="38"/>
      <c r="F28" s="130"/>
      <c r="G28" s="130"/>
      <c r="H28" s="130"/>
      <c r="I28" s="130"/>
      <c r="J28" s="130"/>
      <c r="K28" s="41">
        <f>IFERROR(__xludf.DUMMYFUNCTION("IF(
  OR(A28="""",C28=""""),
  """",
  IFERROR(
    LET(
      data,
      GOOGLEFINANCE(
        ""NSE:""&amp;UPPER(TRIM(A28)),
        ""close"",
        C28+1,
        C28+10,
        ""DAILY""
      ),
      INDEX(data,2,2)
    ),
    ""Not Available""
  "&amp;")
)"),1346.1)</f>
        <v>1346.1</v>
      </c>
      <c r="L28" s="130"/>
      <c r="M28" s="131">
        <f>IFERROR(__xludf.DUMMYFUNCTION("IF(A28="""","""",IFERROR(GOOGLEFINANCE(""NSE:""&amp;UPPER(TRIM(A28)),""price""),""Not Available""))"),1217.0)</f>
        <v>1217</v>
      </c>
      <c r="N28" s="132"/>
      <c r="O28" s="133">
        <f t="shared" si="5"/>
        <v>-9590.669341</v>
      </c>
      <c r="P28" s="47"/>
      <c r="Q28" s="49"/>
      <c r="R28" s="50"/>
      <c r="S28" s="51"/>
      <c r="T28" s="50"/>
      <c r="U28" s="52"/>
      <c r="V28" s="54"/>
      <c r="W28" s="55"/>
      <c r="X28" s="54"/>
      <c r="Y28" s="56"/>
    </row>
    <row r="29">
      <c r="A29" s="134" t="s">
        <v>131</v>
      </c>
      <c r="C29" s="36">
        <v>46234.0</v>
      </c>
      <c r="D29" s="37"/>
      <c r="E29" s="38"/>
      <c r="F29" s="130"/>
      <c r="G29" s="130"/>
      <c r="H29" s="130"/>
      <c r="I29" s="130"/>
      <c r="J29" s="130"/>
      <c r="K29" s="41">
        <f>IFERROR(__xludf.DUMMYFUNCTION("IF(
  OR(A29="""",C29=""""),
  """",
  IFERROR(
    LET(
      data,
      GOOGLEFINANCE(
        ""NSE:""&amp;UPPER(TRIM(A29)),
        ""close"",
        C29+1,
        C29+10,
        ""DAILY""
      ),
      INDEX(data,2,2)
    ),
    ""Not Available""
  "&amp;")
)"),7182.0)</f>
        <v>7182</v>
      </c>
      <c r="L29" s="130"/>
      <c r="M29" s="131">
        <f>IFERROR(__xludf.DUMMYFUNCTION("IF(A29="""","""",IFERROR(GOOGLEFINANCE(""NSE:""&amp;UPPER(TRIM(A29)),""price""),""Not Available""))"),6276.5)</f>
        <v>6276.5</v>
      </c>
      <c r="N29" s="132"/>
      <c r="O29" s="133">
        <f t="shared" si="5"/>
        <v>-12607.90866</v>
      </c>
      <c r="P29" s="47"/>
      <c r="Q29" s="49"/>
      <c r="R29" s="50"/>
      <c r="S29" s="51"/>
      <c r="T29" s="50"/>
      <c r="U29" s="52"/>
      <c r="V29" s="54"/>
      <c r="W29" s="55"/>
      <c r="X29" s="54"/>
      <c r="Y29" s="56"/>
    </row>
    <row r="30">
      <c r="A30" s="135" t="s">
        <v>104</v>
      </c>
      <c r="C30" s="36">
        <v>46234.0</v>
      </c>
      <c r="D30" s="37"/>
      <c r="E30" s="38"/>
      <c r="F30" s="130"/>
      <c r="G30" s="130"/>
      <c r="H30" s="130"/>
      <c r="I30" s="130"/>
      <c r="J30" s="130"/>
      <c r="K30" s="41">
        <f>IFERROR(__xludf.DUMMYFUNCTION("IF(
  OR(A30="""",C30=""""),
  """",
  IFERROR(
    LET(
      data,
      GOOGLEFINANCE(
        ""NSE:""&amp;UPPER(TRIM(A30)),
        ""close"",
        C30+1,
        C30+10,
        ""DAILY""
      ),
      INDEX(data,2,2)
    ),
    ""Not Available""
  "&amp;")
)"),411.15)</f>
        <v>411.15</v>
      </c>
      <c r="L30" s="130"/>
      <c r="M30" s="131">
        <f>IFERROR(__xludf.DUMMYFUNCTION("IF(A30="""","""",IFERROR(GOOGLEFINANCE(""NSE:""&amp;UPPER(TRIM(A30)),""price""),""Not Available""))"),417.2)</f>
        <v>417.2</v>
      </c>
      <c r="N30" s="132"/>
      <c r="O30" s="133">
        <f t="shared" si="5"/>
        <v>1471.482427</v>
      </c>
      <c r="P30" s="47"/>
      <c r="Q30" s="49"/>
      <c r="R30" s="50"/>
      <c r="S30" s="51"/>
      <c r="T30" s="50"/>
      <c r="U30" s="52"/>
      <c r="V30" s="54"/>
      <c r="W30" s="55"/>
      <c r="X30" s="54"/>
      <c r="Y30" s="56"/>
    </row>
    <row r="31">
      <c r="A31" s="134" t="s">
        <v>68</v>
      </c>
      <c r="C31" s="36">
        <v>46233.0</v>
      </c>
      <c r="D31" s="37"/>
      <c r="E31" s="38"/>
      <c r="F31" s="130"/>
      <c r="G31" s="130"/>
      <c r="H31" s="130"/>
      <c r="I31" s="130"/>
      <c r="J31" s="130"/>
      <c r="K31" s="41">
        <f>IFERROR(__xludf.DUMMYFUNCTION("IF(
  OR(A31="""",C31=""""),
  """",
  IFERROR(
    LET(
      data,
      GOOGLEFINANCE(
        ""NSE:""&amp;UPPER(TRIM(A31)),
        ""close"",
        C31+1,
        C31+10,
        ""DAILY""
      ),
      INDEX(data,2,2)
    ),
    ""Not Available""
  "&amp;")
)"),1908.0)</f>
        <v>1908</v>
      </c>
      <c r="L31" s="130"/>
      <c r="M31" s="131">
        <f>IFERROR(__xludf.DUMMYFUNCTION("IF(A31="""","""",IFERROR(GOOGLEFINANCE(""NSE:""&amp;UPPER(TRIM(A31)),""price""),""Not Available""))"),2079.7)</f>
        <v>2079.7</v>
      </c>
      <c r="N31" s="132"/>
      <c r="O31" s="133">
        <f t="shared" si="5"/>
        <v>8998.951782</v>
      </c>
      <c r="P31" s="47"/>
      <c r="Q31" s="49"/>
      <c r="R31" s="50"/>
      <c r="S31" s="51"/>
      <c r="T31" s="50"/>
      <c r="U31" s="52"/>
      <c r="V31" s="54"/>
      <c r="W31" s="55"/>
      <c r="X31" s="54"/>
      <c r="Y31" s="56"/>
    </row>
    <row r="32">
      <c r="A32" s="135" t="s">
        <v>135</v>
      </c>
      <c r="C32" s="36">
        <v>46233.0</v>
      </c>
      <c r="D32" s="37"/>
      <c r="E32" s="38"/>
      <c r="F32" s="130"/>
      <c r="G32" s="130"/>
      <c r="H32" s="130"/>
      <c r="I32" s="130"/>
      <c r="J32" s="130"/>
      <c r="K32" s="41">
        <f>IFERROR(__xludf.DUMMYFUNCTION("IF(
  OR(A32="""",C32=""""),
  """",
  IFERROR(
    LET(
      data,
      GOOGLEFINANCE(
        ""NSE:""&amp;UPPER(TRIM(A32)),
        ""close"",
        C32+1,
        C32+10,
        ""DAILY""
      ),
      INDEX(data,2,2)
    ),
    ""Not Available""
  "&amp;")
)"),14348.0)</f>
        <v>14348</v>
      </c>
      <c r="L32" s="130"/>
      <c r="M32" s="131">
        <f>IFERROR(__xludf.DUMMYFUNCTION("IF(A32="""","""",IFERROR(GOOGLEFINANCE(""NSE:""&amp;UPPER(TRIM(A32)),""price""),""Not Available""))"),17806.0)</f>
        <v>17806</v>
      </c>
      <c r="N32" s="132"/>
      <c r="O32" s="133">
        <f t="shared" si="5"/>
        <v>24100.91999</v>
      </c>
      <c r="P32" s="47"/>
      <c r="Q32" s="49"/>
      <c r="R32" s="50"/>
      <c r="S32" s="51"/>
      <c r="T32" s="50"/>
      <c r="U32" s="52"/>
      <c r="V32" s="54"/>
      <c r="W32" s="55"/>
      <c r="X32" s="54"/>
      <c r="Y32" s="56"/>
    </row>
    <row r="33">
      <c r="A33" s="91" t="s">
        <v>82</v>
      </c>
      <c r="B33" s="146"/>
      <c r="C33" s="67"/>
      <c r="D33" s="67"/>
      <c r="E33" s="70"/>
      <c r="F33" s="136"/>
      <c r="G33" s="136"/>
      <c r="H33" s="136"/>
      <c r="I33" s="136"/>
      <c r="J33" s="136"/>
      <c r="K33" s="72" t="str">
        <f>IFERROR(__xludf.DUMMYFUNCTION("IF(
  OR(A33="""",C33=""""),
  """",
  IFERROR(
    LET(
      data,
      GOOGLEFINANCE(
        ""NSE:""&amp;UPPER(TRIM(A33)),
        ""close"",
        C33+1,
        C33+10,
        ""DAILY""
      ),
      INDEX(data,2,2)
    ),
    ""Not Available""
  "&amp;")
)"),"")</f>
        <v/>
      </c>
      <c r="L33" s="136"/>
      <c r="M33" s="137">
        <f>IFERROR(__xludf.DUMMYFUNCTION("IF(A33="""","""",IFERROR(GOOGLEFINANCE(""NSE:""&amp;UPPER(TRIM(A33)),""price""),""Not Available""))"),71.94)</f>
        <v>71.94</v>
      </c>
      <c r="N33" s="138"/>
      <c r="O33" s="140">
        <f>sum(O26:O32)</f>
        <v>19173.99161</v>
      </c>
      <c r="P33" s="76"/>
      <c r="Q33" s="78"/>
      <c r="R33" s="79"/>
      <c r="S33" s="80"/>
      <c r="T33" s="79"/>
      <c r="U33" s="81"/>
      <c r="V33" s="82"/>
      <c r="W33" s="83"/>
      <c r="X33" s="82"/>
      <c r="Y33" s="84"/>
      <c r="Z33" s="63"/>
      <c r="AA33" s="63"/>
      <c r="AB33" s="63"/>
      <c r="AC33" s="63"/>
      <c r="AD33" s="63"/>
      <c r="AE33" s="63"/>
      <c r="AF33" s="63"/>
      <c r="AG33" s="63"/>
      <c r="AH33" s="63"/>
    </row>
    <row r="34">
      <c r="A34" s="35" t="s">
        <v>136</v>
      </c>
      <c r="B34" s="37">
        <v>46232.0</v>
      </c>
      <c r="C34" s="37">
        <v>46232.0</v>
      </c>
      <c r="D34" s="37"/>
      <c r="E34" s="38"/>
      <c r="F34" s="130"/>
      <c r="G34" s="130"/>
      <c r="H34" s="130"/>
      <c r="I34" s="130"/>
      <c r="J34" s="130"/>
      <c r="K34" s="41">
        <f>IFERROR(__xludf.DUMMYFUNCTION("IF(
  OR(A34="""",C34=""""),
  """",
  IFERROR(
    LET(
      data,
      GOOGLEFINANCE(
        ""NSE:""&amp;UPPER(TRIM(A34)),
        ""close"",
        C34+1,
        C34+10,
        ""DAILY""
      ),
      INDEX(data,2,2)
    ),
    ""Not Available""
  "&amp;")
)"),1153.4)</f>
        <v>1153.4</v>
      </c>
      <c r="L34" s="130"/>
      <c r="M34" s="131">
        <f>IFERROR(__xludf.DUMMYFUNCTION("IF(A34="""","""",IFERROR(GOOGLEFINANCE(""NSE:""&amp;UPPER(TRIM(A34)),""price""),""Not Available""))"),1383.4)</f>
        <v>1383.4</v>
      </c>
      <c r="N34" s="132"/>
      <c r="O34" s="133">
        <f t="shared" ref="O34:O36" si="6">(M34-K34)*(100000/K34)</f>
        <v>19941.04387</v>
      </c>
      <c r="P34" s="47"/>
      <c r="Q34" s="49"/>
      <c r="R34" s="50"/>
      <c r="S34" s="51"/>
      <c r="T34" s="50"/>
      <c r="U34" s="52"/>
      <c r="V34" s="54">
        <v>1143.0</v>
      </c>
      <c r="W34" s="54">
        <v>1209.0</v>
      </c>
      <c r="X34" s="54">
        <v>1123.0</v>
      </c>
      <c r="Y34" s="147" t="s">
        <v>138</v>
      </c>
    </row>
    <row r="35">
      <c r="A35" s="35" t="s">
        <v>139</v>
      </c>
      <c r="B35" s="37">
        <v>46227.0</v>
      </c>
      <c r="C35" s="37">
        <v>46232.0</v>
      </c>
      <c r="D35" s="37"/>
      <c r="E35" s="38"/>
      <c r="F35" s="130"/>
      <c r="G35" s="130"/>
      <c r="H35" s="130"/>
      <c r="I35" s="130"/>
      <c r="J35" s="130"/>
      <c r="K35" s="41">
        <f>IFERROR(__xludf.DUMMYFUNCTION("IF(
  OR(A35="""",C35=""""),
  """",
  IFERROR(
    LET(
      data,
      GOOGLEFINANCE(
        ""NSE:""&amp;UPPER(TRIM(A35)),
        ""close"",
        C35+1,
        C35+10,
        ""DAILY""
      ),
      INDEX(data,2,2)
    ),
    ""Not Available""
  "&amp;")
)"),1759.5)</f>
        <v>1759.5</v>
      </c>
      <c r="L35" s="130"/>
      <c r="M35" s="131">
        <f>IFERROR(__xludf.DUMMYFUNCTION("IF(A35="""","""",IFERROR(GOOGLEFINANCE(""NSE:""&amp;UPPER(TRIM(A35)),""price""),""Not Available""))"),2313.3)</f>
        <v>2313.3</v>
      </c>
      <c r="N35" s="132"/>
      <c r="O35" s="133">
        <f t="shared" si="6"/>
        <v>31474.85081</v>
      </c>
      <c r="P35" s="47"/>
      <c r="Q35" s="49"/>
      <c r="R35" s="50"/>
      <c r="S35" s="51"/>
      <c r="T35" s="50"/>
      <c r="U35" s="52"/>
      <c r="V35" s="54"/>
      <c r="W35" s="55"/>
      <c r="X35" s="54"/>
      <c r="Y35" s="56"/>
    </row>
    <row r="36">
      <c r="A36" s="35" t="s">
        <v>141</v>
      </c>
      <c r="B36" s="37">
        <v>46231.0</v>
      </c>
      <c r="C36" s="37">
        <v>46232.0</v>
      </c>
      <c r="D36" s="37"/>
      <c r="E36" s="38"/>
      <c r="F36" s="130"/>
      <c r="G36" s="130"/>
      <c r="H36" s="130"/>
      <c r="I36" s="130"/>
      <c r="J36" s="130"/>
      <c r="K36" s="41">
        <f>IFERROR(__xludf.DUMMYFUNCTION("IF(
  OR(A36="""",C36=""""),
  """",
  IFERROR(
    LET(
      data,
      GOOGLEFINANCE(
        ""NSE:""&amp;UPPER(TRIM(A36)),
        ""close"",
        C36+1,
        C36+10,
        ""DAILY""
      ),
      INDEX(data,2,2)
    ),
    ""Not Available""
  "&amp;")
)"),308.05)</f>
        <v>308.05</v>
      </c>
      <c r="L36" s="130"/>
      <c r="M36" s="131">
        <f>IFERROR(__xludf.DUMMYFUNCTION("IF(A36="""","""",IFERROR(GOOGLEFINANCE(""NSE:""&amp;UPPER(TRIM(A36)),""price""),""Not Available""))"),374.0)</f>
        <v>374</v>
      </c>
      <c r="N36" s="132"/>
      <c r="O36" s="133">
        <f t="shared" si="6"/>
        <v>21408.8622</v>
      </c>
      <c r="P36" s="47"/>
      <c r="Q36" s="49"/>
      <c r="R36" s="50"/>
      <c r="S36" s="51"/>
      <c r="T36" s="50"/>
      <c r="U36" s="52"/>
      <c r="V36" s="54"/>
      <c r="W36" s="55"/>
      <c r="X36" s="54"/>
      <c r="Y36" s="56"/>
    </row>
    <row r="37">
      <c r="A37" s="91" t="s">
        <v>82</v>
      </c>
      <c r="B37" s="67"/>
      <c r="C37" s="67"/>
      <c r="D37" s="67"/>
      <c r="E37" s="70"/>
      <c r="F37" s="136"/>
      <c r="G37" s="136"/>
      <c r="H37" s="136"/>
      <c r="I37" s="136"/>
      <c r="J37" s="136"/>
      <c r="K37" s="41" t="str">
        <f>IFERROR(__xludf.DUMMYFUNCTION("IF(
  OR(A37="""",C37=""""),
  """",
  IFERROR(
    LET(
      data,
      GOOGLEFINANCE(
        ""NSE:""&amp;UPPER(TRIM(A37)),
        ""close"",
        C37+1,
        C37+10,
        ""DAILY""
      ),
      INDEX(data,2,2)
    ),
    ""Not Available""
  "&amp;")
)"),"")</f>
        <v/>
      </c>
      <c r="L37" s="136"/>
      <c r="M37" s="137"/>
      <c r="N37" s="138"/>
      <c r="O37" s="140">
        <f>sum(O34:O36)</f>
        <v>72824.75688</v>
      </c>
      <c r="P37" s="76"/>
      <c r="Q37" s="78"/>
      <c r="R37" s="79"/>
      <c r="S37" s="80"/>
      <c r="T37" s="79"/>
      <c r="U37" s="81"/>
      <c r="V37" s="82"/>
      <c r="W37" s="83"/>
      <c r="X37" s="82"/>
      <c r="Y37" s="84"/>
      <c r="Z37" s="63"/>
      <c r="AA37" s="63"/>
      <c r="AB37" s="63"/>
      <c r="AC37" s="63"/>
      <c r="AD37" s="63"/>
      <c r="AE37" s="63"/>
      <c r="AF37" s="63"/>
      <c r="AG37" s="63"/>
      <c r="AH37" s="63"/>
    </row>
    <row r="38">
      <c r="A38" s="35" t="s">
        <v>147</v>
      </c>
      <c r="B38" s="37">
        <v>46192.0</v>
      </c>
      <c r="C38" s="37">
        <v>46231.0</v>
      </c>
      <c r="D38" s="37"/>
      <c r="E38" s="38"/>
      <c r="F38" s="130"/>
      <c r="G38" s="130"/>
      <c r="H38" s="130"/>
      <c r="I38" s="130"/>
      <c r="J38" s="130"/>
      <c r="K38" s="41">
        <f>IFERROR(__xludf.DUMMYFUNCTION("IF(
  OR(A38="""",C38=""""),
  """",
  IFERROR(
    LET(
      data,
      GOOGLEFINANCE(
        ""NSE:""&amp;UPPER(TRIM(A38)),
        ""close"",
        C38+1,
        C38+10,
        ""DAILY""
      ),
      INDEX(data,2,2)
    ),
    ""Not Available""
  "&amp;")
)"),3638.6)</f>
        <v>3638.6</v>
      </c>
      <c r="L38" s="130"/>
      <c r="M38" s="131">
        <f>IFERROR(__xludf.DUMMYFUNCTION("IF(A38="""","""",IFERROR(GOOGLEFINANCE(""NSE:""&amp;UPPER(TRIM(A38)),""price""),""Not Available""))"),3559.9)</f>
        <v>3559.9</v>
      </c>
      <c r="N38" s="132"/>
      <c r="O38" s="133">
        <f t="shared" ref="O38:O42" si="7">(M38-K38) * (100000/K38)</f>
        <v>-2162.919804</v>
      </c>
      <c r="P38" s="47"/>
      <c r="Q38" s="49"/>
      <c r="R38" s="50"/>
      <c r="S38" s="51"/>
      <c r="T38" s="50"/>
      <c r="U38" s="52"/>
      <c r="V38" s="54"/>
      <c r="W38" s="55"/>
      <c r="X38" s="54"/>
      <c r="Y38" s="56"/>
    </row>
    <row r="39">
      <c r="A39" s="35" t="s">
        <v>149</v>
      </c>
      <c r="B39" s="37">
        <v>46196.0</v>
      </c>
      <c r="C39" s="37">
        <v>46231.0</v>
      </c>
      <c r="D39" s="37"/>
      <c r="E39" s="38"/>
      <c r="F39" s="130"/>
      <c r="G39" s="130"/>
      <c r="H39" s="130"/>
      <c r="I39" s="130"/>
      <c r="J39" s="130"/>
      <c r="K39" s="41">
        <f>IFERROR(__xludf.DUMMYFUNCTION("IF(
  OR(A39="""",C39=""""),
  """",
  IFERROR(
    LET(
      data,
      GOOGLEFINANCE(
        ""NSE:""&amp;UPPER(TRIM(A39)),
        ""close"",
        C39+1,
        C39+10,
        ""DAILY""
      ),
      INDEX(data,2,2)
    ),
    ""Not Available""
  "&amp;")
)"),249.48)</f>
        <v>249.48</v>
      </c>
      <c r="L39" s="130"/>
      <c r="M39" s="131">
        <f>IFERROR(__xludf.DUMMYFUNCTION("IF(A39="""","""",IFERROR(GOOGLEFINANCE(""NSE:""&amp;UPPER(TRIM(A39)),""price""),""Not Available""))"),227.38)</f>
        <v>227.38</v>
      </c>
      <c r="N39" s="132"/>
      <c r="O39" s="133">
        <f t="shared" si="7"/>
        <v>-8858.425525</v>
      </c>
      <c r="P39" s="47"/>
      <c r="Q39" s="49"/>
      <c r="R39" s="50"/>
      <c r="S39" s="51"/>
      <c r="T39" s="50"/>
      <c r="U39" s="52"/>
      <c r="V39" s="54"/>
      <c r="W39" s="55"/>
      <c r="X39" s="54"/>
      <c r="Y39" s="56"/>
    </row>
    <row r="40">
      <c r="A40" s="35" t="s">
        <v>151</v>
      </c>
      <c r="B40" s="37">
        <v>46212.0</v>
      </c>
      <c r="C40" s="37">
        <v>46230.0</v>
      </c>
      <c r="D40" s="37"/>
      <c r="E40" s="38"/>
      <c r="F40" s="130"/>
      <c r="G40" s="130"/>
      <c r="H40" s="130"/>
      <c r="I40" s="130"/>
      <c r="J40" s="130"/>
      <c r="K40" s="41">
        <f>IFERROR(__xludf.DUMMYFUNCTION("IF(
  OR(A40="""",C40=""""),
  """",
  IFERROR(
    LET(
      data,
      GOOGLEFINANCE(
        ""NSE:""&amp;UPPER(TRIM(A40)),
        ""close"",
        C40+1,
        C40+10,
        ""DAILY""
      ),
      INDEX(data,2,2)
    ),
    ""Not Available""
  "&amp;")
)"),1105.7)</f>
        <v>1105.7</v>
      </c>
      <c r="L40" s="130"/>
      <c r="M40" s="131">
        <f>IFERROR(__xludf.DUMMYFUNCTION("IF(A40="""","""",IFERROR(GOOGLEFINANCE(""NSE:""&amp;UPPER(TRIM(A40)),""price""),""Not Available""))"),1007.9)</f>
        <v>1007.9</v>
      </c>
      <c r="N40" s="132"/>
      <c r="O40" s="133">
        <f t="shared" si="7"/>
        <v>-8845.075518</v>
      </c>
      <c r="P40" s="47"/>
      <c r="Q40" s="49"/>
      <c r="R40" s="50"/>
      <c r="S40" s="51"/>
      <c r="T40" s="50"/>
      <c r="U40" s="52"/>
      <c r="V40" s="54"/>
      <c r="W40" s="55"/>
      <c r="X40" s="54"/>
      <c r="Y40" s="56"/>
    </row>
    <row r="41">
      <c r="A41" s="35" t="s">
        <v>153</v>
      </c>
      <c r="B41" s="37">
        <v>46206.0</v>
      </c>
      <c r="C41" s="37">
        <v>46232.0</v>
      </c>
      <c r="D41" s="37"/>
      <c r="E41" s="38"/>
      <c r="F41" s="130"/>
      <c r="G41" s="130"/>
      <c r="H41" s="130"/>
      <c r="I41" s="130"/>
      <c r="J41" s="130"/>
      <c r="K41" s="41">
        <f>IFERROR(__xludf.DUMMYFUNCTION("IF(
  OR(A41="""",C41=""""),
  """",
  IFERROR(
    LET(
      data,
      GOOGLEFINANCE(
        ""NSE:""&amp;UPPER(TRIM(A41)),
        ""close"",
        C41+1,
        C41+10,
        ""DAILY""
      ),
      INDEX(data,2,2)
    ),
    ""Not Available""
  "&amp;")
)"),2190.3)</f>
        <v>2190.3</v>
      </c>
      <c r="L41" s="130"/>
      <c r="M41" s="131">
        <f>IFERROR(__xludf.DUMMYFUNCTION("IF(A41="""","""",IFERROR(GOOGLEFINANCE(""NSE:""&amp;UPPER(TRIM(A41)),""price""),""Not Available""))"),2430.8)</f>
        <v>2430.8</v>
      </c>
      <c r="N41" s="132"/>
      <c r="O41" s="133">
        <f t="shared" si="7"/>
        <v>10980.23102</v>
      </c>
      <c r="P41" s="47"/>
      <c r="Q41" s="49"/>
      <c r="R41" s="50"/>
      <c r="S41" s="51"/>
      <c r="T41" s="50"/>
      <c r="U41" s="52"/>
      <c r="V41" s="54"/>
      <c r="W41" s="55"/>
      <c r="X41" s="54"/>
      <c r="Y41" s="56"/>
    </row>
    <row r="42">
      <c r="A42" s="35" t="s">
        <v>155</v>
      </c>
      <c r="B42" s="37"/>
      <c r="C42" s="37">
        <v>46232.0</v>
      </c>
      <c r="D42" s="37"/>
      <c r="E42" s="38"/>
      <c r="F42" s="130"/>
      <c r="G42" s="130"/>
      <c r="H42" s="130"/>
      <c r="I42" s="130"/>
      <c r="J42" s="130"/>
      <c r="K42" s="41">
        <f>IFERROR(__xludf.DUMMYFUNCTION("IF(
  OR(A42="""",C42=""""),
  """",
  IFERROR(
    LET(
      data,
      GOOGLEFINANCE(
        ""NSE:""&amp;UPPER(TRIM(A42)),
        ""close"",
        C42+1,
        C42+10,
        ""DAILY""
      ),
      INDEX(data,2,2)
    ),
    ""Not Available""
  "&amp;")
)"),2421.2)</f>
        <v>2421.2</v>
      </c>
      <c r="L42" s="130"/>
      <c r="M42" s="131">
        <f>IFERROR(__xludf.DUMMYFUNCTION("IF(A42="""","""",IFERROR(GOOGLEFINANCE(""NSE:""&amp;UPPER(TRIM(A42)),""price""),""Not Available""))"),2095.3)</f>
        <v>2095.3</v>
      </c>
      <c r="N42" s="132"/>
      <c r="O42" s="133">
        <f t="shared" si="7"/>
        <v>-13460.26764</v>
      </c>
      <c r="P42" s="47"/>
      <c r="Q42" s="49"/>
      <c r="R42" s="50"/>
      <c r="S42" s="51"/>
      <c r="T42" s="50"/>
      <c r="U42" s="52"/>
      <c r="V42" s="54"/>
      <c r="W42" s="55"/>
      <c r="X42" s="54"/>
      <c r="Y42" s="56"/>
    </row>
    <row r="43">
      <c r="A43" s="91" t="s">
        <v>82</v>
      </c>
      <c r="B43" s="67"/>
      <c r="C43" s="67"/>
      <c r="D43" s="67"/>
      <c r="E43" s="70"/>
      <c r="F43" s="136"/>
      <c r="G43" s="136"/>
      <c r="H43" s="136"/>
      <c r="I43" s="136"/>
      <c r="J43" s="136"/>
      <c r="K43" s="136" t="str">
        <f>IFERROR(__xludf.DUMMYFUNCTION("IF(OR(A43="""",C43=""""),"""",IFERROR(LET(data,GOOGLEFINANCE(""NSE:""&amp;UPPER(TRIM(A43)),""close"",C43-3,C43,""DAILY""),INDEX(data,ROWS(data),2)),""Not Available""))"),"")</f>
        <v/>
      </c>
      <c r="L43" s="136"/>
      <c r="M43" s="137">
        <f>IFERROR(__xludf.DUMMYFUNCTION("IF(A43="""","""",IFERROR(GOOGLEFINANCE(""NSE:""&amp;UPPER(TRIM(A43)),""price""),""Not Available""))"),71.94)</f>
        <v>71.94</v>
      </c>
      <c r="N43" s="138"/>
      <c r="O43" s="140">
        <f>sum(O38:O42)</f>
        <v>-22346.45746</v>
      </c>
      <c r="P43" s="76"/>
      <c r="Q43" s="78"/>
      <c r="R43" s="79"/>
      <c r="S43" s="80"/>
      <c r="T43" s="79"/>
      <c r="U43" s="81"/>
      <c r="V43" s="82"/>
      <c r="W43" s="83"/>
      <c r="X43" s="82"/>
      <c r="Y43" s="84"/>
      <c r="Z43" s="63"/>
      <c r="AA43" s="63"/>
      <c r="AB43" s="63"/>
      <c r="AC43" s="63"/>
      <c r="AD43" s="63"/>
      <c r="AE43" s="63"/>
      <c r="AF43" s="63"/>
      <c r="AG43" s="63"/>
      <c r="AH43" s="63"/>
    </row>
    <row r="44">
      <c r="A44" s="35" t="s">
        <v>159</v>
      </c>
      <c r="B44" s="37">
        <v>46197.0</v>
      </c>
      <c r="C44" s="37"/>
      <c r="D44" s="37">
        <v>46231.0</v>
      </c>
      <c r="E44" s="38"/>
      <c r="F44" s="130"/>
      <c r="G44" s="130"/>
      <c r="H44" s="130"/>
      <c r="I44" s="130"/>
      <c r="J44" s="130"/>
      <c r="K44" s="130" t="str">
        <f>IFERROR(__xludf.DUMMYFUNCTION("IF(OR(A44="""",C44=""""),"""",IFERROR(LET(data,GOOGLEFINANCE(""NSE:""&amp;UPPER(TRIM(A44)),""close"",C44-3,C44,""DAILY""),INDEX(data,ROWS(data),2)),""Not Available""))"),"")</f>
        <v/>
      </c>
      <c r="L44" s="130">
        <f>IFERROR(__xludf.DUMMYFUNCTION("IF(OR(A44="""",D44=""""),"""",IFERROR(LET(data,GOOGLEFINANCE(""NSE:""&amp;UPPER(TRIM(A44)),""close"",D44-3,D44,""DAILY""),INDEX(data,ROWS(data),2)),""Not Available""))"),303.65)</f>
        <v>303.65</v>
      </c>
      <c r="M44" s="131">
        <f>IFERROR(__xludf.DUMMYFUNCTION("IF(A44="""","""",IFERROR(GOOGLEFINANCE(""NSE:""&amp;UPPER(TRIM(A44)),""price""),""Not Available""))"),361.55)</f>
        <v>361.55</v>
      </c>
      <c r="N44" s="132">
        <f t="shared" ref="N44:N51" si="8">(M44-L44)/L44</f>
        <v>0.1906800593</v>
      </c>
      <c r="O44" s="133">
        <f t="shared" ref="O44:O51" si="9">(100000 * (1+N44)-100000)</f>
        <v>19068.00593</v>
      </c>
      <c r="P44" s="47" t="str">
        <f>IFERROR(__xludf.DUMMYFUNCTION("IF(OR(A44="""",E44=""""),"""",IFERROR(LET(data,GOOGLEFINANCE(""NSE:""&amp;UPPER(TRIM(A44)),""close"",E44-3,E44,""DAILY""),INDEX(data,ROWS(data),2)),""Not Available""))"),"")</f>
        <v/>
      </c>
      <c r="Q44" s="49"/>
      <c r="R44" s="50" t="str">
        <f t="shared" ref="R44:R50" si="10">(M44-P44)/P44</f>
        <v>#DIV/0!</v>
      </c>
      <c r="S44" s="51"/>
      <c r="T44" s="50"/>
      <c r="U44" s="52">
        <f t="shared" ref="U44:U50" si="11">(100000 * (1+T44)-100000)</f>
        <v>0</v>
      </c>
      <c r="Y44" s="56"/>
    </row>
    <row r="45">
      <c r="A45" s="35" t="s">
        <v>166</v>
      </c>
      <c r="B45" s="37">
        <v>46196.0</v>
      </c>
      <c r="C45" s="37"/>
      <c r="D45" s="37">
        <v>46230.0</v>
      </c>
      <c r="E45" s="38"/>
      <c r="F45" s="130"/>
      <c r="G45" s="130"/>
      <c r="H45" s="130"/>
      <c r="I45" s="130"/>
      <c r="J45" s="130"/>
      <c r="K45" s="130" t="str">
        <f>IFERROR(__xludf.DUMMYFUNCTION("IF(OR(A45="""",C45=""""),"""",IFERROR(LET(data,GOOGLEFINANCE(""NSE:""&amp;UPPER(TRIM(A45)),""close"",C45-3,C45,""DAILY""),INDEX(data,ROWS(data),2)),""Not Available""))"),"")</f>
        <v/>
      </c>
      <c r="L45" s="130">
        <f>IFERROR(__xludf.DUMMYFUNCTION("IF(OR(A45="""",D45=""""),"""",IFERROR(LET(data,GOOGLEFINANCE(""NSE:""&amp;UPPER(TRIM(A45)),""close"",D45-3,D45,""DAILY""),INDEX(data,ROWS(data),2)),""Not Available""))"),2332.7)</f>
        <v>2332.7</v>
      </c>
      <c r="M45" s="131">
        <f>IFERROR(__xludf.DUMMYFUNCTION("IF(A45="""","""",IFERROR(GOOGLEFINANCE(""NSE:""&amp;UPPER(TRIM(A45)),""price""),""Not Available""))"),2248.4)</f>
        <v>2248.4</v>
      </c>
      <c r="N45" s="132">
        <f t="shared" si="8"/>
        <v>-0.03613838042</v>
      </c>
      <c r="O45" s="133">
        <f t="shared" si="9"/>
        <v>-3613.838042</v>
      </c>
      <c r="P45" s="47" t="str">
        <f>IFERROR(__xludf.DUMMYFUNCTION("IF(OR(A45="""",E45=""""),"""",IFERROR(LET(data,GOOGLEFINANCE(""NSE:""&amp;UPPER(TRIM(A45)),""close"",E45-3,E45,""DAILY""),INDEX(data,ROWS(data),2)),""Not Available""))"),"")</f>
        <v/>
      </c>
      <c r="Q45" s="49"/>
      <c r="R45" s="50" t="str">
        <f t="shared" si="10"/>
        <v>#DIV/0!</v>
      </c>
      <c r="S45" s="51"/>
      <c r="T45" s="50"/>
      <c r="U45" s="52">
        <f t="shared" si="11"/>
        <v>0</v>
      </c>
      <c r="V45" s="55"/>
      <c r="W45" s="55"/>
      <c r="X45" s="55"/>
      <c r="Y45" s="56"/>
    </row>
    <row r="46">
      <c r="A46" s="35" t="s">
        <v>170</v>
      </c>
      <c r="B46" s="37">
        <v>46198.0</v>
      </c>
      <c r="C46" s="37"/>
      <c r="D46" s="37">
        <v>46230.0</v>
      </c>
      <c r="E46" s="38"/>
      <c r="F46" s="130"/>
      <c r="G46" s="130"/>
      <c r="H46" s="130"/>
      <c r="I46" s="130"/>
      <c r="J46" s="130"/>
      <c r="K46" s="130" t="str">
        <f>IFERROR(__xludf.DUMMYFUNCTION("IF(OR(A46="""",C46=""""),"""",IFERROR(LET(data,GOOGLEFINANCE(""NSE:""&amp;UPPER(TRIM(A46)),""close"",C46-3,C46,""DAILY""),INDEX(data,ROWS(data),2)),""Not Available""))"),"")</f>
        <v/>
      </c>
      <c r="L46" s="130">
        <f>IFERROR(__xludf.DUMMYFUNCTION("IF(OR(A46="""",D46=""""),"""",IFERROR(LET(data,GOOGLEFINANCE(""NSE:""&amp;UPPER(TRIM(A46)),""close"",D46-3,D46,""DAILY""),INDEX(data,ROWS(data),2)),""Not Available""))"),5384.5)</f>
        <v>5384.5</v>
      </c>
      <c r="M46" s="131">
        <f>IFERROR(__xludf.DUMMYFUNCTION("IF(A46="""","""",IFERROR(GOOGLEFINANCE(""NSE:""&amp;UPPER(TRIM(A46)),""price""),""Not Available""))"),4910.0)</f>
        <v>4910</v>
      </c>
      <c r="N46" s="132">
        <f t="shared" si="8"/>
        <v>-0.08812331693</v>
      </c>
      <c r="O46" s="133">
        <f t="shared" si="9"/>
        <v>-8812.331693</v>
      </c>
      <c r="P46" s="47" t="str">
        <f>IFERROR(__xludf.DUMMYFUNCTION("IF(OR(A46="""",E46=""""),"""",IFERROR(LET(data,GOOGLEFINANCE(""NSE:""&amp;UPPER(TRIM(A46)),""close"",E46-3,E46,""DAILY""),INDEX(data,ROWS(data),2)),""Not Available""))"),"")</f>
        <v/>
      </c>
      <c r="Q46" s="49"/>
      <c r="R46" s="50" t="str">
        <f t="shared" si="10"/>
        <v>#DIV/0!</v>
      </c>
      <c r="S46" s="51"/>
      <c r="T46" s="50"/>
      <c r="U46" s="52">
        <f t="shared" si="11"/>
        <v>0</v>
      </c>
      <c r="V46" s="55"/>
      <c r="W46" s="55"/>
      <c r="X46" s="55"/>
      <c r="Y46" s="56"/>
    </row>
    <row r="47">
      <c r="A47" s="35" t="s">
        <v>174</v>
      </c>
      <c r="B47" s="37">
        <v>46224.0</v>
      </c>
      <c r="C47" s="37"/>
      <c r="D47" s="37">
        <v>46230.0</v>
      </c>
      <c r="E47" s="38">
        <v>46231.0</v>
      </c>
      <c r="F47" s="130"/>
      <c r="G47" s="130"/>
      <c r="H47" s="130"/>
      <c r="I47" s="130"/>
      <c r="J47" s="130"/>
      <c r="K47" s="130" t="str">
        <f>IFERROR(__xludf.DUMMYFUNCTION("IF(OR(A47="""",C47=""""),"""",IFERROR(LET(data,GOOGLEFINANCE(""NSE:""&amp;UPPER(TRIM(A47)),""close"",C47-3,C47,""DAILY""),INDEX(data,ROWS(data),2)),""Not Available""))"),"")</f>
        <v/>
      </c>
      <c r="L47" s="130">
        <f>IFERROR(__xludf.DUMMYFUNCTION("IF(OR(A47="""",D47=""""),"""",IFERROR(LET(data,GOOGLEFINANCE(""NSE:""&amp;UPPER(TRIM(A47)),""close"",D47-3,D47,""DAILY""),INDEX(data,ROWS(data),2)),""Not Available""))"),2054.0)</f>
        <v>2054</v>
      </c>
      <c r="M47" s="131">
        <f>IFERROR(__xludf.DUMMYFUNCTION("IF(A47="""","""",IFERROR(GOOGLEFINANCE(""NSE:""&amp;UPPER(TRIM(A47)),""price""),""Not Available""))"),1881.8)</f>
        <v>1881.8</v>
      </c>
      <c r="N47" s="132">
        <f t="shared" si="8"/>
        <v>-0.08383641675</v>
      </c>
      <c r="O47" s="133">
        <f t="shared" si="9"/>
        <v>-8383.641675</v>
      </c>
      <c r="P47" s="47">
        <f>IFERROR(__xludf.DUMMYFUNCTION("IF(OR(A47="""",E47=""""),"""",IFERROR(LET(data,GOOGLEFINANCE(""NSE:""&amp;UPPER(TRIM(A47)),""close"",E47-3,E47,""DAILY""),INDEX(data,ROWS(data),2)),""Not Available""))"),2072.8)</f>
        <v>2072.8</v>
      </c>
      <c r="Q47" s="49"/>
      <c r="R47" s="50">
        <f t="shared" si="10"/>
        <v>-0.09214588962</v>
      </c>
      <c r="S47" s="51"/>
      <c r="T47" s="50"/>
      <c r="U47" s="52">
        <f t="shared" si="11"/>
        <v>0</v>
      </c>
      <c r="V47" s="55"/>
      <c r="W47" s="55"/>
      <c r="X47" s="55"/>
      <c r="Y47" s="56"/>
    </row>
    <row r="48">
      <c r="A48" s="35" t="s">
        <v>178</v>
      </c>
      <c r="B48" s="37">
        <v>46174.0</v>
      </c>
      <c r="C48" s="37"/>
      <c r="D48" s="37">
        <v>46227.0</v>
      </c>
      <c r="E48" s="38"/>
      <c r="F48" s="130"/>
      <c r="G48" s="130"/>
      <c r="H48" s="130"/>
      <c r="I48" s="130"/>
      <c r="J48" s="130"/>
      <c r="K48" s="130" t="str">
        <f>IFERROR(__xludf.DUMMYFUNCTION("IF(OR(A48="""",C48=""""),"""",IFERROR(LET(data,GOOGLEFINANCE(""NSE:""&amp;UPPER(TRIM(A48)),""close"",C48-3,C48,""DAILY""),INDEX(data,ROWS(data),2)),""Not Available""))"),"")</f>
        <v/>
      </c>
      <c r="L48" s="130">
        <f>IFERROR(__xludf.DUMMYFUNCTION("IF(OR(A48="""",D48=""""),"""",IFERROR(LET(data,GOOGLEFINANCE(""NSE:""&amp;UPPER(TRIM(A48)),""close"",D48-3,D48,""DAILY""),INDEX(data,ROWS(data),2)),""Not Available""))"),932.15)</f>
        <v>932.15</v>
      </c>
      <c r="M48" s="131">
        <f>IFERROR(__xludf.DUMMYFUNCTION("IF(A48="""","""",IFERROR(GOOGLEFINANCE(""NSE:""&amp;UPPER(TRIM(A48)),""price""),""Not Available""))"),953.6)</f>
        <v>953.6</v>
      </c>
      <c r="N48" s="132">
        <f t="shared" si="8"/>
        <v>0.02301131792</v>
      </c>
      <c r="O48" s="133">
        <f t="shared" si="9"/>
        <v>2301.131792</v>
      </c>
      <c r="P48" s="47" t="str">
        <f>IFERROR(__xludf.DUMMYFUNCTION("IF(OR(A48="""",E48=""""),"""",IFERROR(LET(data,GOOGLEFINANCE(""NSE:""&amp;UPPER(TRIM(A48)),""close"",E48-3,E48,""DAILY""),INDEX(data,ROWS(data),2)),""Not Available""))"),"")</f>
        <v/>
      </c>
      <c r="Q48" s="49"/>
      <c r="R48" s="50" t="str">
        <f t="shared" si="10"/>
        <v>#DIV/0!</v>
      </c>
      <c r="S48" s="51"/>
      <c r="T48" s="50"/>
      <c r="U48" s="52">
        <f t="shared" si="11"/>
        <v>0</v>
      </c>
      <c r="V48" s="54"/>
      <c r="W48" s="55"/>
      <c r="X48" s="54"/>
      <c r="Y48" s="56"/>
    </row>
    <row r="49">
      <c r="A49" s="35" t="s">
        <v>182</v>
      </c>
      <c r="B49" s="37">
        <v>46188.0</v>
      </c>
      <c r="C49" s="37"/>
      <c r="D49" s="37">
        <v>46230.0</v>
      </c>
      <c r="E49" s="38">
        <v>46231.0</v>
      </c>
      <c r="F49" s="130"/>
      <c r="G49" s="130"/>
      <c r="H49" s="130"/>
      <c r="I49" s="130"/>
      <c r="J49" s="130"/>
      <c r="K49" s="130" t="str">
        <f>IFERROR(__xludf.DUMMYFUNCTION("IF(OR(A49="""",C49=""""),"""",IFERROR(LET(data,GOOGLEFINANCE(""NSE:""&amp;UPPER(TRIM(A49)),""close"",C49-3,C49,""DAILY""),INDEX(data,ROWS(data),2)),""Not Available""))"),"")</f>
        <v/>
      </c>
      <c r="L49" s="130">
        <f>IFERROR(__xludf.DUMMYFUNCTION("IF(OR(A49="""",D49=""""),"""",IFERROR(LET(data,GOOGLEFINANCE(""NSE:""&amp;UPPER(TRIM(A49)),""close"",D49-3,D49,""DAILY""),INDEX(data,ROWS(data),2)),""Not Available""))"),5114.2)</f>
        <v>5114.2</v>
      </c>
      <c r="M49" s="131">
        <f>IFERROR(__xludf.DUMMYFUNCTION("IF(A49="""","""",IFERROR(GOOGLEFINANCE(""NSE:""&amp;UPPER(TRIM(A49)),""price""),""Not Available""))"),4750.1)</f>
        <v>4750.1</v>
      </c>
      <c r="N49" s="132">
        <f t="shared" si="8"/>
        <v>-0.07119393062</v>
      </c>
      <c r="O49" s="133">
        <f t="shared" si="9"/>
        <v>-7119.393062</v>
      </c>
      <c r="P49" s="47">
        <f>IFERROR(__xludf.DUMMYFUNCTION("IF(OR(A49="""",E49=""""),"""",IFERROR(LET(data,GOOGLEFINANCE(""NSE:""&amp;UPPER(TRIM(A49)),""close"",E49-3,E49,""DAILY""),INDEX(data,ROWS(data),2)),""Not Available""))"),5103.5)</f>
        <v>5103.5</v>
      </c>
      <c r="Q49" s="49"/>
      <c r="R49" s="50">
        <f t="shared" si="10"/>
        <v>-0.06924659547</v>
      </c>
      <c r="S49" s="51"/>
      <c r="T49" s="50"/>
      <c r="U49" s="52">
        <f t="shared" si="11"/>
        <v>0</v>
      </c>
      <c r="V49" s="54"/>
      <c r="W49" s="55"/>
      <c r="X49" s="54"/>
      <c r="Y49" s="56"/>
    </row>
    <row r="50">
      <c r="A50" s="35" t="s">
        <v>186</v>
      </c>
      <c r="B50" s="37">
        <v>46224.0</v>
      </c>
      <c r="C50" s="37"/>
      <c r="D50" s="37">
        <v>46231.0</v>
      </c>
      <c r="E50" s="38"/>
      <c r="F50" s="130"/>
      <c r="G50" s="130"/>
      <c r="H50" s="130"/>
      <c r="I50" s="130"/>
      <c r="J50" s="130"/>
      <c r="K50" s="130" t="str">
        <f>IFERROR(__xludf.DUMMYFUNCTION("IF(OR(A50="""",C50=""""),"""",IFERROR(LET(data,GOOGLEFINANCE(""NSE:""&amp;UPPER(TRIM(A50)),""close"",C50-3,C50,""DAILY""),INDEX(data,ROWS(data),2)),""Not Available""))"),"")</f>
        <v/>
      </c>
      <c r="L50" s="130">
        <f>IFERROR(__xludf.DUMMYFUNCTION("IF(OR(A50="""",D50=""""),"""",IFERROR(LET(data,GOOGLEFINANCE(""NSE:""&amp;UPPER(TRIM(A50)),""close"",D50-3,D50,""DAILY""),INDEX(data,ROWS(data),2)),""Not Available""))"),506.95)</f>
        <v>506.95</v>
      </c>
      <c r="M50" s="131">
        <f>IFERROR(__xludf.DUMMYFUNCTION("IF(A50="""","""",IFERROR(GOOGLEFINANCE(""NSE:""&amp;UPPER(TRIM(A50)),""price""),""Not Available""))"),753.0)</f>
        <v>753</v>
      </c>
      <c r="N50" s="132">
        <f t="shared" si="8"/>
        <v>0.4853535852</v>
      </c>
      <c r="O50" s="133">
        <f t="shared" si="9"/>
        <v>48535.35852</v>
      </c>
      <c r="P50" s="47" t="str">
        <f>IFERROR(__xludf.DUMMYFUNCTION("IF(OR(A50="""",E50=""""),"""",IFERROR(LET(data,GOOGLEFINANCE(""NSE:""&amp;UPPER(TRIM(A50)),""close"",E50-3,E50,""DAILY""),INDEX(data,ROWS(data),2)),""Not Available""))"),"")</f>
        <v/>
      </c>
      <c r="Q50" s="49"/>
      <c r="R50" s="50" t="str">
        <f t="shared" si="10"/>
        <v>#DIV/0!</v>
      </c>
      <c r="S50" s="51"/>
      <c r="T50" s="50"/>
      <c r="U50" s="52">
        <f t="shared" si="11"/>
        <v>0</v>
      </c>
      <c r="V50" s="54"/>
      <c r="W50" s="55"/>
      <c r="X50" s="54"/>
      <c r="Y50" s="56"/>
    </row>
    <row r="51">
      <c r="A51" s="148" t="s">
        <v>189</v>
      </c>
      <c r="B51" s="149">
        <v>46168.0</v>
      </c>
      <c r="C51" s="149">
        <v>46227.0</v>
      </c>
      <c r="D51" s="149">
        <v>46230.0</v>
      </c>
      <c r="E51" s="150"/>
      <c r="F51" s="151"/>
      <c r="G51" s="151"/>
      <c r="H51" s="151"/>
      <c r="I51" s="151"/>
      <c r="J51" s="151"/>
      <c r="K51" s="151">
        <f>IFERROR(__xludf.DUMMYFUNCTION("IF(OR(A51="""",C51=""""),"""",IFERROR(LET(data,GOOGLEFINANCE(""NSE:""&amp;UPPER(TRIM(A51)),""close"",C51-3,C51,""DAILY""),INDEX(data,ROWS(data),2)),""Not Available""))"),258.25)</f>
        <v>258.25</v>
      </c>
      <c r="L51" s="151">
        <f>IFERROR(__xludf.DUMMYFUNCTION("IF(OR(A51="""",D51=""""),"""",IFERROR(LET(data,GOOGLEFINANCE(""NSE:""&amp;UPPER(TRIM(A51)),""close"",D51-3,D51,""DAILY""),INDEX(data,ROWS(data),2)),""Not Available""))"),260.15)</f>
        <v>260.15</v>
      </c>
      <c r="M51" s="152">
        <f>IFERROR(__xludf.DUMMYFUNCTION("IF(A51="""","""",IFERROR(GOOGLEFINANCE(""NSE:""&amp;UPPER(TRIM(A51)),""price""),""Not Available""))"),260.0)</f>
        <v>260</v>
      </c>
      <c r="N51" s="153">
        <f t="shared" si="8"/>
        <v>-0.0005765904286</v>
      </c>
      <c r="O51" s="154">
        <f t="shared" si="9"/>
        <v>-57.65904286</v>
      </c>
      <c r="P51" s="155"/>
      <c r="Q51" s="156"/>
      <c r="R51" s="157"/>
      <c r="S51" s="158"/>
      <c r="T51" s="157"/>
      <c r="U51" s="159"/>
      <c r="V51" s="160">
        <v>263.85</v>
      </c>
      <c r="W51" s="160">
        <v>280.0</v>
      </c>
      <c r="X51" s="160">
        <v>257.0</v>
      </c>
      <c r="Y51" s="161" t="s">
        <v>195</v>
      </c>
      <c r="Z51" s="162"/>
      <c r="AA51" s="162"/>
      <c r="AB51" s="162"/>
      <c r="AC51" s="162"/>
      <c r="AD51" s="162"/>
      <c r="AE51" s="162"/>
      <c r="AF51" s="162"/>
      <c r="AG51" s="162"/>
      <c r="AH51" s="162"/>
    </row>
    <row r="52">
      <c r="A52" s="163" t="s">
        <v>82</v>
      </c>
      <c r="B52" s="164"/>
      <c r="C52" s="164"/>
      <c r="D52" s="164"/>
      <c r="E52" s="165"/>
      <c r="F52" s="166"/>
      <c r="G52" s="166"/>
      <c r="H52" s="166"/>
      <c r="I52" s="166"/>
      <c r="J52" s="166"/>
      <c r="K52" s="166"/>
      <c r="L52" s="166"/>
      <c r="M52" s="167"/>
      <c r="N52" s="168"/>
      <c r="O52" s="169">
        <f>sum(O44:O50)</f>
        <v>41975.29176</v>
      </c>
      <c r="P52" s="170"/>
      <c r="Q52" s="171"/>
      <c r="R52" s="172"/>
      <c r="S52" s="173"/>
      <c r="T52" s="172"/>
      <c r="U52" s="174"/>
      <c r="V52" s="175"/>
      <c r="W52" s="176"/>
      <c r="X52" s="175"/>
      <c r="Y52" s="177"/>
      <c r="Z52" s="178"/>
      <c r="AA52" s="178"/>
      <c r="AB52" s="178"/>
      <c r="AC52" s="178"/>
      <c r="AD52" s="178"/>
      <c r="AE52" s="178"/>
      <c r="AF52" s="178"/>
      <c r="AG52" s="178"/>
      <c r="AH52" s="178"/>
    </row>
    <row r="53">
      <c r="A53" s="35" t="s">
        <v>201</v>
      </c>
      <c r="B53" s="37">
        <v>46204.0</v>
      </c>
      <c r="C53" s="37"/>
      <c r="D53" s="37">
        <v>46225.0</v>
      </c>
      <c r="E53" s="38">
        <v>46226.0</v>
      </c>
      <c r="F53" s="130"/>
      <c r="G53" s="130"/>
      <c r="H53" s="130"/>
      <c r="I53" s="130"/>
      <c r="J53" s="130"/>
      <c r="K53" s="130"/>
      <c r="L53" s="130">
        <f>IFERROR(__xludf.DUMMYFUNCTION("IF(OR(A53="""",D53=""""),"""",IFERROR(LET(data,GOOGLEFINANCE(""NSE:""&amp;UPPER(TRIM(A53)),""close"",D53-3,D53,""DAILY""),INDEX(data,ROWS(data),2)),""Not Available""))"),162.7)</f>
        <v>162.7</v>
      </c>
      <c r="M53" s="131">
        <f>IFERROR(__xludf.DUMMYFUNCTION("IF(A53="""","""",IFERROR(GOOGLEFINANCE(""NSE:""&amp;UPPER(TRIM(A53)),""price""),""Not Available""))"),219.0)</f>
        <v>219</v>
      </c>
      <c r="N53" s="132">
        <f t="shared" ref="N53:N61" si="12">(M53-L53)/L53</f>
        <v>0.3460356484</v>
      </c>
      <c r="O53" s="133">
        <f t="shared" ref="O53:O61" si="13">(100000 * (1+N53)-100000)</f>
        <v>34603.56484</v>
      </c>
      <c r="P53" s="179">
        <f>IFERROR(__xludf.DUMMYFUNCTION("IF(OR(A53="""",E53=""""),"""",IFERROR(LET(data,GOOGLEFINANCE(""NSE:""&amp;UPPER(TRIM(A53)),""close"",E53-3,E53,""DAILY""),INDEX(data,ROWS(data),2)),""Not Available""))"),173.57)</f>
        <v>173.57</v>
      </c>
      <c r="Q53" s="180"/>
      <c r="R53" s="181">
        <f t="shared" ref="R53:R61" si="14">(M53-P53)/P53</f>
        <v>0.2617387797</v>
      </c>
      <c r="S53" s="182"/>
      <c r="T53" s="181"/>
      <c r="U53" s="183">
        <f t="shared" ref="U53:U61" si="15">(100000 * (1+T53)-100000)</f>
        <v>0</v>
      </c>
      <c r="V53" s="184"/>
      <c r="W53" s="185"/>
      <c r="X53" s="184"/>
      <c r="Y53" s="186"/>
      <c r="Z53" s="187"/>
      <c r="AA53" s="187"/>
      <c r="AB53" s="187"/>
      <c r="AC53" s="187"/>
      <c r="AD53" s="187"/>
      <c r="AE53" s="187"/>
      <c r="AF53" s="187"/>
      <c r="AG53" s="187"/>
      <c r="AH53" s="187"/>
    </row>
    <row r="54">
      <c r="A54" s="35" t="s">
        <v>208</v>
      </c>
      <c r="B54" s="37">
        <v>46168.0</v>
      </c>
      <c r="C54" s="37"/>
      <c r="D54" s="37">
        <v>46226.0</v>
      </c>
      <c r="E54" s="38">
        <v>46227.0</v>
      </c>
      <c r="F54" s="130"/>
      <c r="G54" s="130"/>
      <c r="H54" s="130"/>
      <c r="I54" s="130"/>
      <c r="J54" s="130"/>
      <c r="K54" s="130"/>
      <c r="L54" s="130">
        <f>IFERROR(__xludf.DUMMYFUNCTION("IF(OR(A54="""",D54=""""),"""",IFERROR(LET(data,GOOGLEFINANCE(""NSE:""&amp;UPPER(TRIM(A54)),""close"",D54-3,D54,""DAILY""),INDEX(data,ROWS(data),2)),""Not Available""))"),644.0)</f>
        <v>644</v>
      </c>
      <c r="M54" s="131">
        <f>IFERROR(__xludf.DUMMYFUNCTION("IF(A54="""","""",IFERROR(GOOGLEFINANCE(""NSE:""&amp;UPPER(TRIM(A54)),""price""),""Not Available""))"),619.7)</f>
        <v>619.7</v>
      </c>
      <c r="N54" s="132">
        <f t="shared" si="12"/>
        <v>-0.03773291925</v>
      </c>
      <c r="O54" s="133">
        <f t="shared" si="13"/>
        <v>-3773.291925</v>
      </c>
      <c r="P54" s="47">
        <f>IFERROR(__xludf.DUMMYFUNCTION("IF(OR(A54="""",E54=""""),"""",IFERROR(LET(data,GOOGLEFINANCE(""NSE:""&amp;UPPER(TRIM(A54)),""close"",E54-3,E54,""DAILY""),INDEX(data,ROWS(data),2)),""Not Available""))"),674.8)</f>
        <v>674.8</v>
      </c>
      <c r="Q54" s="49"/>
      <c r="R54" s="188">
        <f t="shared" si="14"/>
        <v>-0.08165382336</v>
      </c>
      <c r="S54" s="51"/>
      <c r="T54" s="189"/>
      <c r="U54" s="52">
        <f t="shared" si="15"/>
        <v>0</v>
      </c>
      <c r="V54" s="190"/>
      <c r="W54" s="190"/>
      <c r="X54" s="190"/>
      <c r="Y54" s="56"/>
    </row>
    <row r="55">
      <c r="A55" s="35" t="s">
        <v>212</v>
      </c>
      <c r="B55" s="37">
        <v>46204.0</v>
      </c>
      <c r="C55" s="37"/>
      <c r="D55" s="37">
        <v>46226.0</v>
      </c>
      <c r="E55" s="38"/>
      <c r="F55" s="130"/>
      <c r="G55" s="130"/>
      <c r="H55" s="130"/>
      <c r="I55" s="130"/>
      <c r="J55" s="130"/>
      <c r="K55" s="130"/>
      <c r="L55" s="130">
        <f>IFERROR(__xludf.DUMMYFUNCTION("IF(OR(A55="""",D55=""""),"""",IFERROR(LET(data,GOOGLEFINANCE(""NSE:""&amp;UPPER(TRIM(A55)),""close"",D55-3,D55,""DAILY""),INDEX(data,ROWS(data),2)),""Not Available""))"),487.6)</f>
        <v>487.6</v>
      </c>
      <c r="M55" s="131">
        <f>IFERROR(__xludf.DUMMYFUNCTION("IF(A55="""","""",IFERROR(GOOGLEFINANCE(""NSE:""&amp;UPPER(TRIM(A55)),""price""),""Not Available""))"),636.95)</f>
        <v>636.95</v>
      </c>
      <c r="N55" s="132">
        <f t="shared" si="12"/>
        <v>0.3062961444</v>
      </c>
      <c r="O55" s="133">
        <f t="shared" si="13"/>
        <v>30629.61444</v>
      </c>
      <c r="P55" s="47" t="str">
        <f>IFERROR(__xludf.DUMMYFUNCTION("IF(OR(A55="""",E55=""""),"""",IFERROR(LET(data,GOOGLEFINANCE(""NSE:""&amp;UPPER(TRIM(A55)),""close"",E55-3,E55,""DAILY""),INDEX(data,ROWS(data),2)),""Not Available""))"),"")</f>
        <v/>
      </c>
      <c r="Q55" s="49"/>
      <c r="R55" s="188" t="str">
        <f t="shared" si="14"/>
        <v>#DIV/0!</v>
      </c>
      <c r="S55" s="51"/>
      <c r="T55" s="189"/>
      <c r="U55" s="52">
        <f t="shared" si="15"/>
        <v>0</v>
      </c>
      <c r="V55" s="190"/>
      <c r="W55" s="190"/>
      <c r="X55" s="190"/>
      <c r="Y55" s="56"/>
    </row>
    <row r="56">
      <c r="A56" s="35" t="s">
        <v>216</v>
      </c>
      <c r="B56" s="37">
        <v>46191.0</v>
      </c>
      <c r="C56" s="37"/>
      <c r="D56" s="37">
        <v>46225.0</v>
      </c>
      <c r="E56" s="38">
        <v>46227.0</v>
      </c>
      <c r="F56" s="130"/>
      <c r="G56" s="130"/>
      <c r="H56" s="130"/>
      <c r="I56" s="130"/>
      <c r="J56" s="130"/>
      <c r="K56" s="130"/>
      <c r="L56" s="130">
        <f>IFERROR(__xludf.DUMMYFUNCTION("IF(OR(A56="""",D56=""""),"""",IFERROR(LET(data,GOOGLEFINANCE(""NSE:""&amp;UPPER(TRIM(A56)),""close"",D56-3,D56,""DAILY""),INDEX(data,ROWS(data),2)),""Not Available""))"),266.32)</f>
        <v>266.32</v>
      </c>
      <c r="M56" s="131">
        <f>IFERROR(__xludf.DUMMYFUNCTION("IF(A56="""","""",IFERROR(GOOGLEFINANCE(""NSE:""&amp;UPPER(TRIM(A56)),""price""),""Not Available""))"),315.1)</f>
        <v>315.1</v>
      </c>
      <c r="N56" s="132">
        <f t="shared" si="12"/>
        <v>0.183163112</v>
      </c>
      <c r="O56" s="133">
        <f t="shared" si="13"/>
        <v>18316.3112</v>
      </c>
      <c r="P56" s="47">
        <f>IFERROR(__xludf.DUMMYFUNCTION("IF(OR(A56="""",E56=""""),"""",IFERROR(LET(data,GOOGLEFINANCE(""NSE:""&amp;UPPER(TRIM(A56)),""close"",E56-3,E56,""DAILY""),INDEX(data,ROWS(data),2)),""Not Available""))"),282.63)</f>
        <v>282.63</v>
      </c>
      <c r="Q56" s="49"/>
      <c r="R56" s="188">
        <f t="shared" si="14"/>
        <v>0.1148851856</v>
      </c>
      <c r="S56" s="51"/>
      <c r="T56" s="189"/>
      <c r="U56" s="52">
        <f t="shared" si="15"/>
        <v>0</v>
      </c>
      <c r="V56" s="190"/>
      <c r="W56" s="190"/>
      <c r="X56" s="190"/>
      <c r="Y56" s="56"/>
    </row>
    <row r="57">
      <c r="A57" s="35" t="s">
        <v>220</v>
      </c>
      <c r="B57" s="37">
        <v>46219.0</v>
      </c>
      <c r="C57" s="37"/>
      <c r="D57" s="37">
        <v>46225.0</v>
      </c>
      <c r="E57" s="38"/>
      <c r="F57" s="130"/>
      <c r="G57" s="130"/>
      <c r="H57" s="130"/>
      <c r="I57" s="130"/>
      <c r="J57" s="130"/>
      <c r="K57" s="130"/>
      <c r="L57" s="130">
        <f>IFERROR(__xludf.DUMMYFUNCTION("IF(OR(A57="""",D57=""""),"""",IFERROR(LET(data,GOOGLEFINANCE(""NSE:""&amp;UPPER(TRIM(A57)),""close"",D57-3,D57,""DAILY""),INDEX(data,ROWS(data),2)),""Not Available""))"),451.15)</f>
        <v>451.15</v>
      </c>
      <c r="M57" s="131">
        <f>IFERROR(__xludf.DUMMYFUNCTION("IF(A57="""","""",IFERROR(GOOGLEFINANCE(""NSE:""&amp;UPPER(TRIM(A57)),""price""),""Not Available""))"),474.4)</f>
        <v>474.4</v>
      </c>
      <c r="N57" s="132">
        <f t="shared" si="12"/>
        <v>0.0515349662</v>
      </c>
      <c r="O57" s="133">
        <f t="shared" si="13"/>
        <v>5153.49662</v>
      </c>
      <c r="P57" s="47" t="str">
        <f>IFERROR(__xludf.DUMMYFUNCTION("IF(OR(A57="""",E57=""""),"""",IFERROR(LET(data,GOOGLEFINANCE(""NSE:""&amp;UPPER(TRIM(A57)),""close"",E57-3,E57,""DAILY""),INDEX(data,ROWS(data),2)),""Not Available""))"),"")</f>
        <v/>
      </c>
      <c r="Q57" s="49"/>
      <c r="R57" s="188" t="str">
        <f t="shared" si="14"/>
        <v>#DIV/0!</v>
      </c>
      <c r="S57" s="51"/>
      <c r="T57" s="189"/>
      <c r="U57" s="52">
        <f t="shared" si="15"/>
        <v>0</v>
      </c>
      <c r="V57" s="190"/>
      <c r="W57" s="190"/>
      <c r="X57" s="190"/>
      <c r="Y57" s="147"/>
    </row>
    <row r="58">
      <c r="A58" s="35" t="s">
        <v>223</v>
      </c>
      <c r="B58" s="37">
        <v>46190.0</v>
      </c>
      <c r="C58" s="37"/>
      <c r="D58" s="37">
        <v>46224.0</v>
      </c>
      <c r="E58" s="38">
        <v>46230.0</v>
      </c>
      <c r="F58" s="130"/>
      <c r="G58" s="130"/>
      <c r="H58" s="130"/>
      <c r="I58" s="130"/>
      <c r="J58" s="130"/>
      <c r="K58" s="130"/>
      <c r="L58" s="130">
        <f>IFERROR(__xludf.DUMMYFUNCTION("IF(OR(A58="""",D58=""""),"""",IFERROR(LET(data,GOOGLEFINANCE(""NSE:""&amp;UPPER(TRIM(A58)),""close"",D58-3,D58,""DAILY""),INDEX(data,ROWS(data),2)),""Not Available""))"),1404.4)</f>
        <v>1404.4</v>
      </c>
      <c r="M58" s="131">
        <f>IFERROR(__xludf.DUMMYFUNCTION("IF(A58="""","""",IFERROR(GOOGLEFINANCE(""NSE:""&amp;UPPER(TRIM(A58)),""price""),""Not Available""))"),1235.5)</f>
        <v>1235.5</v>
      </c>
      <c r="N58" s="132">
        <f t="shared" si="12"/>
        <v>-0.1202648818</v>
      </c>
      <c r="O58" s="133">
        <f t="shared" si="13"/>
        <v>-12026.48818</v>
      </c>
      <c r="P58" s="47">
        <f>IFERROR(__xludf.DUMMYFUNCTION("IF(OR(A58="""",E58=""""),"""",IFERROR(LET(data,GOOGLEFINANCE(""NSE:""&amp;UPPER(TRIM(A58)),""close"",E58-3,E58,""DAILY""),INDEX(data,ROWS(data),2)),""Not Available""))"),1428.7)</f>
        <v>1428.7</v>
      </c>
      <c r="Q58" s="49"/>
      <c r="R58" s="188">
        <f t="shared" si="14"/>
        <v>-0.1352278295</v>
      </c>
      <c r="S58" s="51"/>
      <c r="T58" s="189"/>
      <c r="U58" s="52">
        <f t="shared" si="15"/>
        <v>0</v>
      </c>
      <c r="V58" s="54">
        <v>1430.0</v>
      </c>
      <c r="W58" s="54">
        <v>1432.0</v>
      </c>
      <c r="X58" s="54">
        <v>1410.0</v>
      </c>
      <c r="Y58" s="147" t="s">
        <v>227</v>
      </c>
    </row>
    <row r="59">
      <c r="A59" s="35" t="s">
        <v>193</v>
      </c>
      <c r="B59" s="37">
        <v>46224.0</v>
      </c>
      <c r="C59" s="37"/>
      <c r="D59" s="37">
        <v>46226.0</v>
      </c>
      <c r="E59" s="38">
        <v>46227.0</v>
      </c>
      <c r="F59" s="130"/>
      <c r="G59" s="130"/>
      <c r="H59" s="130"/>
      <c r="I59" s="130"/>
      <c r="J59" s="130"/>
      <c r="K59" s="130"/>
      <c r="L59" s="130">
        <f>IFERROR(__xludf.DUMMYFUNCTION("IF(OR(A59="""",D59=""""),"""",IFERROR(LET(data,GOOGLEFINANCE(""NSE:""&amp;UPPER(TRIM(A59)),""close"",D59-3,D59,""DAILY""),INDEX(data,ROWS(data),2)),""Not Available""))"),657.9)</f>
        <v>657.9</v>
      </c>
      <c r="M59" s="131">
        <f>IFERROR(__xludf.DUMMYFUNCTION("IF(A59="""","""",IFERROR(GOOGLEFINANCE(""NSE:""&amp;UPPER(TRIM(A59)),""price""),""Not Available""))"),808.4)</f>
        <v>808.4</v>
      </c>
      <c r="N59" s="132">
        <f t="shared" si="12"/>
        <v>0.2287581699</v>
      </c>
      <c r="O59" s="133">
        <f t="shared" si="13"/>
        <v>22875.81699</v>
      </c>
      <c r="P59" s="47">
        <f>IFERROR(__xludf.DUMMYFUNCTION("IF(OR(A59="""",E59=""""),"""",IFERROR(LET(data,GOOGLEFINANCE(""NSE:""&amp;UPPER(TRIM(A59)),""close"",E59-3,E59,""DAILY""),INDEX(data,ROWS(data),2)),""Not Available""))"),672.75)</f>
        <v>672.75</v>
      </c>
      <c r="Q59" s="49"/>
      <c r="R59" s="188">
        <f t="shared" si="14"/>
        <v>0.2016350799</v>
      </c>
      <c r="S59" s="51"/>
      <c r="T59" s="189"/>
      <c r="U59" s="52">
        <f t="shared" si="15"/>
        <v>0</v>
      </c>
      <c r="V59" s="190"/>
      <c r="W59" s="190"/>
      <c r="X59" s="190"/>
      <c r="Y59" s="56"/>
    </row>
    <row r="60">
      <c r="A60" s="35" t="s">
        <v>61</v>
      </c>
      <c r="B60" s="37">
        <v>46220.0</v>
      </c>
      <c r="C60" s="37"/>
      <c r="D60" s="37">
        <v>46226.0</v>
      </c>
      <c r="E60" s="38"/>
      <c r="F60" s="130"/>
      <c r="G60" s="130"/>
      <c r="H60" s="130"/>
      <c r="I60" s="130"/>
      <c r="J60" s="130"/>
      <c r="K60" s="130"/>
      <c r="L60" s="130">
        <f>IFERROR(__xludf.DUMMYFUNCTION("IF(OR(A60="""",D60=""""),"""",IFERROR(LET(data,GOOGLEFINANCE(""NSE:""&amp;UPPER(TRIM(A60)),""close"",D60-3,D60,""DAILY""),INDEX(data,ROWS(data),2)),""Not Available""))"),1972.6)</f>
        <v>1972.6</v>
      </c>
      <c r="M60" s="131">
        <f>IFERROR(__xludf.DUMMYFUNCTION("IF(A60="""","""",IFERROR(GOOGLEFINANCE(""NSE:""&amp;UPPER(TRIM(A60)),""price""),""Not Available""))"),2000.0)</f>
        <v>2000</v>
      </c>
      <c r="N60" s="132">
        <f t="shared" si="12"/>
        <v>0.01389029707</v>
      </c>
      <c r="O60" s="133">
        <f t="shared" si="13"/>
        <v>1389.029707</v>
      </c>
      <c r="P60" s="47" t="str">
        <f>IFERROR(__xludf.DUMMYFUNCTION("IF(OR(A60="""",E60=""""),"""",IFERROR(LET(data,GOOGLEFINANCE(""NSE:""&amp;UPPER(TRIM(A60)),""close"",E60-3,E60,""DAILY""),INDEX(data,ROWS(data),2)),""Not Available""))"),"")</f>
        <v/>
      </c>
      <c r="Q60" s="49"/>
      <c r="R60" s="188" t="str">
        <f t="shared" si="14"/>
        <v>#DIV/0!</v>
      </c>
      <c r="S60" s="51"/>
      <c r="T60" s="189"/>
      <c r="U60" s="52">
        <f t="shared" si="15"/>
        <v>0</v>
      </c>
      <c r="V60" s="190"/>
      <c r="W60" s="190"/>
      <c r="X60" s="190"/>
      <c r="Y60" s="56"/>
    </row>
    <row r="61">
      <c r="A61" s="35" t="s">
        <v>233</v>
      </c>
      <c r="B61" s="37">
        <v>46185.0</v>
      </c>
      <c r="C61" s="37"/>
      <c r="D61" s="37">
        <v>46225.0</v>
      </c>
      <c r="E61" s="38">
        <v>46227.0</v>
      </c>
      <c r="F61" s="130"/>
      <c r="G61" s="130"/>
      <c r="H61" s="130"/>
      <c r="I61" s="130"/>
      <c r="J61" s="130"/>
      <c r="K61" s="130"/>
      <c r="L61" s="130">
        <f>IFERROR(__xludf.DUMMYFUNCTION("IF(OR(A61="""",D61=""""),"""",IFERROR(LET(data,GOOGLEFINANCE(""NSE:""&amp;UPPER(TRIM(A61)),""close"",D61-3,D61,""DAILY""),INDEX(data,ROWS(data),2)),""Not Available""))"),409.65)</f>
        <v>409.65</v>
      </c>
      <c r="M61" s="131">
        <f>IFERROR(__xludf.DUMMYFUNCTION("IF(A61="""","""",IFERROR(GOOGLEFINANCE(""NSE:""&amp;UPPER(TRIM(A61)),""price""),""Not Available""))"),332.0)</f>
        <v>332</v>
      </c>
      <c r="N61" s="132">
        <f t="shared" si="12"/>
        <v>-0.1895520566</v>
      </c>
      <c r="O61" s="133">
        <f t="shared" si="13"/>
        <v>-18955.20566</v>
      </c>
      <c r="P61" s="47">
        <f>IFERROR(__xludf.DUMMYFUNCTION("IF(OR(A61="""",E61=""""),"""",IFERROR(LET(data,GOOGLEFINANCE(""NSE:""&amp;UPPER(TRIM(A61)),""close"",E61-3,E61,""DAILY""),INDEX(data,ROWS(data),2)),""Not Available""))"),407.0)</f>
        <v>407</v>
      </c>
      <c r="Q61" s="49"/>
      <c r="R61" s="188">
        <f t="shared" si="14"/>
        <v>-0.1842751843</v>
      </c>
      <c r="S61" s="51"/>
      <c r="T61" s="189"/>
      <c r="U61" s="52">
        <f t="shared" si="15"/>
        <v>0</v>
      </c>
      <c r="V61" s="190"/>
      <c r="W61" s="190"/>
      <c r="X61" s="190"/>
      <c r="Y61" s="56"/>
    </row>
    <row r="62">
      <c r="A62" s="91" t="s">
        <v>82</v>
      </c>
      <c r="B62" s="67"/>
      <c r="C62" s="67"/>
      <c r="D62" s="67"/>
      <c r="E62" s="70"/>
      <c r="F62" s="136"/>
      <c r="G62" s="136"/>
      <c r="H62" s="136"/>
      <c r="I62" s="136"/>
      <c r="J62" s="136"/>
      <c r="K62" s="136"/>
      <c r="L62" s="136"/>
      <c r="M62" s="137"/>
      <c r="N62" s="138"/>
      <c r="O62" s="140">
        <f>sum(O53:O61)</f>
        <v>78212.84804</v>
      </c>
      <c r="P62" s="76"/>
      <c r="Q62" s="78"/>
      <c r="R62" s="79"/>
      <c r="S62" s="80"/>
      <c r="T62" s="79"/>
      <c r="U62" s="81"/>
      <c r="V62" s="191"/>
      <c r="W62" s="191"/>
      <c r="X62" s="191"/>
      <c r="Y62" s="84"/>
      <c r="Z62" s="63"/>
      <c r="AA62" s="63"/>
      <c r="AB62" s="63"/>
      <c r="AC62" s="63"/>
      <c r="AD62" s="63"/>
      <c r="AE62" s="63"/>
      <c r="AF62" s="63"/>
      <c r="AG62" s="63"/>
      <c r="AH62" s="63"/>
    </row>
    <row r="63">
      <c r="A63" s="35"/>
      <c r="B63" s="37"/>
      <c r="C63" s="37"/>
      <c r="D63" s="37"/>
      <c r="E63" s="38"/>
      <c r="F63" s="130"/>
      <c r="G63" s="130"/>
      <c r="H63" s="130"/>
      <c r="I63" s="130"/>
      <c r="J63" s="130"/>
      <c r="K63" s="130"/>
      <c r="L63" s="130"/>
      <c r="M63" s="131"/>
      <c r="N63" s="132"/>
      <c r="O63" s="133"/>
      <c r="P63" s="47"/>
      <c r="Q63" s="49"/>
      <c r="R63" s="188"/>
      <c r="S63" s="51"/>
      <c r="T63" s="189"/>
      <c r="U63" s="52"/>
      <c r="V63" s="190"/>
      <c r="W63" s="190"/>
      <c r="X63" s="190"/>
      <c r="Y63" s="56"/>
    </row>
    <row r="64">
      <c r="A64" s="35" t="s">
        <v>238</v>
      </c>
      <c r="B64" s="37">
        <v>46174.0</v>
      </c>
      <c r="C64" s="37"/>
      <c r="D64" s="37">
        <v>46183.0</v>
      </c>
      <c r="E64" s="38">
        <v>46188.0</v>
      </c>
      <c r="F64" s="130"/>
      <c r="G64" s="130"/>
      <c r="H64" s="130"/>
      <c r="I64" s="130"/>
      <c r="J64" s="130"/>
      <c r="K64" s="130"/>
      <c r="L64" s="130">
        <f>IFERROR(__xludf.DUMMYFUNCTION("IF(OR(A64="""",D64=""""),"""",IFERROR(LET(data,GOOGLEFINANCE(""NSE:""&amp;UPPER(TRIM(A64)),""close"",D64-3,D64,""DAILY""),INDEX(data,ROWS(data),2)),""Not Available""))"),693.95)</f>
        <v>693.95</v>
      </c>
      <c r="M64" s="131">
        <f>IFERROR(__xludf.DUMMYFUNCTION("IF(A64="""","""",IFERROR(GOOGLEFINANCE(""NSE:""&amp;UPPER(TRIM(A64)),""price""),""Not Available""))"),1118.5)</f>
        <v>1118.5</v>
      </c>
      <c r="N64" s="132">
        <f t="shared" ref="N64:N92" si="16">(M64-L64)/L64</f>
        <v>0.6117875928</v>
      </c>
      <c r="O64" s="133">
        <f t="shared" ref="O64:O92" si="17">(100000 * (1+N64)-100000)</f>
        <v>61178.75928</v>
      </c>
      <c r="P64" s="47">
        <f>IFERROR(__xludf.DUMMYFUNCTION("IF(OR(A64="""",E64=""""),"""",IFERROR(LET(data,GOOGLEFINANCE(""NSE:""&amp;UPPER(TRIM(A64)),""close"",E64-3,E64,""DAILY""),INDEX(data,ROWS(data),2)),""Not Available""))"),724.95)</f>
        <v>724.95</v>
      </c>
      <c r="Q64" s="49">
        <v>46227.0</v>
      </c>
      <c r="R64" s="188">
        <f t="shared" ref="R64:R92" si="18">(M64-P64)/P64</f>
        <v>0.5428650252</v>
      </c>
      <c r="S64" s="51">
        <f>IFERROR(__xludf.DUMMYFUNCTION("IF(OR(A64="""",E64=""""),"""",IFERROR(LET(data,GOOGLEFINANCE(""NSE:""&amp;UPPER(TRIM(A64)),""close"",Q64-3,Q64,""DAILY""),INDEX(data,ROWS(data),2)),""Not Available""))"),987.0)</f>
        <v>987</v>
      </c>
      <c r="T64" s="189">
        <f t="shared" ref="T64:T92" si="19">(S64-L64)/L64</f>
        <v>0.4222926724</v>
      </c>
      <c r="U64" s="52">
        <f t="shared" ref="U64:U92" si="20">(100000 * (1+T64)-100000)</f>
        <v>42229.26724</v>
      </c>
      <c r="V64" s="190"/>
      <c r="W64" s="190"/>
      <c r="X64" s="190"/>
      <c r="Y64" s="56"/>
    </row>
    <row r="65">
      <c r="A65" s="35" t="s">
        <v>46</v>
      </c>
      <c r="B65" s="37">
        <v>40980.0</v>
      </c>
      <c r="C65" s="37"/>
      <c r="D65" s="37">
        <v>46132.0</v>
      </c>
      <c r="E65" s="38">
        <v>46133.0</v>
      </c>
      <c r="F65" s="130"/>
      <c r="G65" s="130"/>
      <c r="H65" s="130"/>
      <c r="I65" s="130"/>
      <c r="J65" s="130"/>
      <c r="K65" s="130"/>
      <c r="L65" s="130">
        <f>IFERROR(__xludf.DUMMYFUNCTION("IF(OR(A65="""",D65=""""),"""",IFERROR(LET(data,GOOGLEFINANCE(""NSE:""&amp;UPPER(TRIM(A65)),""close"",D65-3,D65,""DAILY""),INDEX(data,ROWS(data),2)),""Not Available""))"),81.85)</f>
        <v>81.85</v>
      </c>
      <c r="M65" s="131">
        <f>IFERROR(__xludf.DUMMYFUNCTION("IF(A65="""","""",IFERROR(GOOGLEFINANCE(""NSE:""&amp;UPPER(TRIM(A65)),""price""),""Not Available""))"),83.16)</f>
        <v>83.16</v>
      </c>
      <c r="N65" s="132">
        <f t="shared" si="16"/>
        <v>0.01600488699</v>
      </c>
      <c r="O65" s="133">
        <f t="shared" si="17"/>
        <v>1600.488699</v>
      </c>
      <c r="P65" s="47">
        <f>IFERROR(__xludf.DUMMYFUNCTION("IF(OR(A65="""",E65=""""),"""",IFERROR(LET(data,GOOGLEFINANCE(""NSE:""&amp;UPPER(TRIM(A65)),""close"",E65-3,E65,""DAILY""),INDEX(data,ROWS(data),2)),""Not Available""))"),82.25)</f>
        <v>82.25</v>
      </c>
      <c r="Q65" s="49">
        <v>46211.0</v>
      </c>
      <c r="R65" s="188">
        <f t="shared" si="18"/>
        <v>0.01106382979</v>
      </c>
      <c r="S65" s="51">
        <f>IFERROR(__xludf.DUMMYFUNCTION("IF(OR(A65="""",E65=""""),"""",IFERROR(LET(data,GOOGLEFINANCE(""NSE:""&amp;UPPER(TRIM(A65)),""close"",Q65-3,Q65,""DAILY""),INDEX(data,ROWS(data),2)),""Not Available""))"),82.28)</f>
        <v>82.28</v>
      </c>
      <c r="T65" s="189">
        <f t="shared" si="19"/>
        <v>0.005253512523</v>
      </c>
      <c r="U65" s="52">
        <f t="shared" si="20"/>
        <v>525.3512523</v>
      </c>
      <c r="V65" s="190"/>
      <c r="W65" s="190"/>
      <c r="X65" s="190"/>
      <c r="Y65" s="56"/>
    </row>
    <row r="66">
      <c r="A66" s="192" t="s">
        <v>66</v>
      </c>
      <c r="B66" s="37">
        <v>46185.0</v>
      </c>
      <c r="C66" s="37"/>
      <c r="D66" s="37">
        <v>46206.0</v>
      </c>
      <c r="E66" s="38">
        <v>46209.0</v>
      </c>
      <c r="F66" s="130"/>
      <c r="G66" s="130"/>
      <c r="H66" s="130"/>
      <c r="I66" s="130"/>
      <c r="J66" s="130"/>
      <c r="K66" s="130"/>
      <c r="L66" s="130">
        <f>IFERROR(__xludf.DUMMYFUNCTION("IF(OR(A66="""",D66=""""),"""",IFERROR(LET(data,GOOGLEFINANCE(""NSE:""&amp;UPPER(TRIM(A66)),""close"",D66-3,D66,""DAILY""),INDEX(data,ROWS(data),2)),""Not Available""))"),334.05)</f>
        <v>334.05</v>
      </c>
      <c r="M66" s="131">
        <f>IFERROR(__xludf.DUMMYFUNCTION("IF(A66="""","""",IFERROR(GOOGLEFINANCE(""NSE:""&amp;UPPER(TRIM(A66)),""price""),""Not Available""))"),338.95)</f>
        <v>338.95</v>
      </c>
      <c r="N66" s="132">
        <f t="shared" si="16"/>
        <v>0.0146684628</v>
      </c>
      <c r="O66" s="133">
        <f t="shared" si="17"/>
        <v>1466.84628</v>
      </c>
      <c r="P66" s="47">
        <f>IFERROR(__xludf.DUMMYFUNCTION("IF(OR(A66="""",E66=""""),"""",IFERROR(LET(data,GOOGLEFINANCE(""NSE:""&amp;UPPER(TRIM(A66)),""close"",E66-3,E66,""DAILY""),INDEX(data,ROWS(data),2)),""Not Available""))"),331.8)</f>
        <v>331.8</v>
      </c>
      <c r="Q66" s="49">
        <v>46219.0</v>
      </c>
      <c r="R66" s="188">
        <f t="shared" si="18"/>
        <v>0.02154912598</v>
      </c>
      <c r="S66" s="51">
        <f>IFERROR(__xludf.DUMMYFUNCTION("IF(OR(A66="""",E66=""""),"""",IFERROR(LET(data,GOOGLEFINANCE(""NSE:""&amp;UPPER(TRIM(A66)),""close"",Q66-3,Q66,""DAILY""),INDEX(data,ROWS(data),2)),""Not Available""))"),321.85)</f>
        <v>321.85</v>
      </c>
      <c r="T66" s="189">
        <f t="shared" si="19"/>
        <v>-0.03652147882</v>
      </c>
      <c r="U66" s="52">
        <f t="shared" si="20"/>
        <v>-3652.147882</v>
      </c>
      <c r="V66" s="190"/>
      <c r="W66" s="190"/>
      <c r="X66" s="190"/>
      <c r="Y66" s="56"/>
    </row>
    <row r="67">
      <c r="A67" s="35" t="s">
        <v>70</v>
      </c>
      <c r="B67" s="37">
        <v>46160.0</v>
      </c>
      <c r="C67" s="37"/>
      <c r="D67" s="37">
        <v>46164.0</v>
      </c>
      <c r="E67" s="38">
        <v>46183.0</v>
      </c>
      <c r="F67" s="130"/>
      <c r="G67" s="130"/>
      <c r="H67" s="130"/>
      <c r="I67" s="130"/>
      <c r="J67" s="130"/>
      <c r="K67" s="130"/>
      <c r="L67" s="130">
        <f>IFERROR(__xludf.DUMMYFUNCTION("IF(OR(A67="""",D67=""""),"""",IFERROR(LET(data,GOOGLEFINANCE(""NSE:""&amp;UPPER(TRIM(A67)),""close"",D67-3,D67,""DAILY""),INDEX(data,ROWS(data),2)),""Not Available""))"),881.9)</f>
        <v>881.9</v>
      </c>
      <c r="M67" s="131">
        <f>IFERROR(__xludf.DUMMYFUNCTION("IF(A67="""","""",IFERROR(GOOGLEFINANCE(""NSE:""&amp;UPPER(TRIM(A67)),""price""),""Not Available""))"),1238.9)</f>
        <v>1238.9</v>
      </c>
      <c r="N67" s="132">
        <f t="shared" si="16"/>
        <v>0.4048078013</v>
      </c>
      <c r="O67" s="133">
        <f t="shared" si="17"/>
        <v>40480.78013</v>
      </c>
      <c r="P67" s="47">
        <f>IFERROR(__xludf.DUMMYFUNCTION("IF(OR(A67="""",E67=""""),"""",IFERROR(LET(data,GOOGLEFINANCE(""NSE:""&amp;UPPER(TRIM(A67)),""close"",E67-3,E67,""DAILY""),INDEX(data,ROWS(data),2)),""Not Available""))"),877.8)</f>
        <v>877.8</v>
      </c>
      <c r="Q67" s="49">
        <v>46211.0</v>
      </c>
      <c r="R67" s="188">
        <f t="shared" si="18"/>
        <v>0.4113693324</v>
      </c>
      <c r="S67" s="51">
        <f>IFERROR(__xludf.DUMMYFUNCTION("IF(OR(A67="""",E67=""""),"""",IFERROR(LET(data,GOOGLEFINANCE(""NSE:""&amp;UPPER(TRIM(A67)),""close"",Q67-3,Q67,""DAILY""),INDEX(data,ROWS(data),2)),""Not Available""))"),968.7)</f>
        <v>968.7</v>
      </c>
      <c r="T67" s="189">
        <f t="shared" si="19"/>
        <v>0.09842385758</v>
      </c>
      <c r="U67" s="52">
        <f t="shared" si="20"/>
        <v>9842.385758</v>
      </c>
      <c r="V67" s="190"/>
      <c r="W67" s="190"/>
      <c r="X67" s="190"/>
      <c r="Y67" s="56"/>
    </row>
    <row r="68">
      <c r="A68" s="35" t="s">
        <v>75</v>
      </c>
      <c r="B68" s="37">
        <v>46136.0</v>
      </c>
      <c r="C68" s="37"/>
      <c r="D68" s="37">
        <v>46176.0</v>
      </c>
      <c r="E68" s="38">
        <v>46181.0</v>
      </c>
      <c r="F68" s="130"/>
      <c r="G68" s="130"/>
      <c r="H68" s="130"/>
      <c r="I68" s="130"/>
      <c r="J68" s="130"/>
      <c r="K68" s="130"/>
      <c r="L68" s="130">
        <f>IFERROR(__xludf.DUMMYFUNCTION("IF(OR(A68="""",D68=""""),"""",IFERROR(LET(data,GOOGLEFINANCE(""NSE:""&amp;UPPER(TRIM(A68)),""close"",D68-3,D68,""DAILY""),INDEX(data,ROWS(data),2)),""Not Available""))"),498.8)</f>
        <v>498.8</v>
      </c>
      <c r="M68" s="131">
        <f>IFERROR(__xludf.DUMMYFUNCTION("IF(A68="""","""",IFERROR(GOOGLEFINANCE(""NSE:""&amp;UPPER(TRIM(A68)),""price""),""Not Available""))"),620.3)</f>
        <v>620.3</v>
      </c>
      <c r="N68" s="132">
        <f t="shared" si="16"/>
        <v>0.243584603</v>
      </c>
      <c r="O68" s="133">
        <f t="shared" si="17"/>
        <v>24358.4603</v>
      </c>
      <c r="P68" s="47">
        <f>IFERROR(__xludf.DUMMYFUNCTION("IF(OR(A68="""",E68=""""),"""",IFERROR(LET(data,GOOGLEFINANCE(""NSE:""&amp;UPPER(TRIM(A68)),""close"",E68-3,E68,""DAILY""),INDEX(data,ROWS(data),2)),""Not Available""))"),491.85)</f>
        <v>491.85</v>
      </c>
      <c r="Q68" s="49">
        <v>46197.0</v>
      </c>
      <c r="R68" s="188">
        <f t="shared" si="18"/>
        <v>0.2611568568</v>
      </c>
      <c r="S68" s="51">
        <f>IFERROR(__xludf.DUMMYFUNCTION("IF(OR(A68="""",E68=""""),"""",IFERROR(LET(data,GOOGLEFINANCE(""NSE:""&amp;UPPER(TRIM(A68)),""close"",Q68-3,Q68,""DAILY""),INDEX(data,ROWS(data),2)),""Not Available""))"),525.15)</f>
        <v>525.15</v>
      </c>
      <c r="T68" s="189">
        <f t="shared" si="19"/>
        <v>0.05282678428</v>
      </c>
      <c r="U68" s="52">
        <f t="shared" si="20"/>
        <v>5282.678428</v>
      </c>
      <c r="V68" s="190"/>
      <c r="W68" s="190"/>
      <c r="X68" s="190"/>
      <c r="Y68" s="56"/>
    </row>
    <row r="69">
      <c r="A69" s="35" t="s">
        <v>81</v>
      </c>
      <c r="B69" s="37">
        <v>46066.0</v>
      </c>
      <c r="C69" s="37"/>
      <c r="D69" s="37">
        <v>46120.0</v>
      </c>
      <c r="E69" s="38">
        <v>46125.0</v>
      </c>
      <c r="F69" s="130"/>
      <c r="G69" s="130"/>
      <c r="H69" s="130"/>
      <c r="I69" s="130"/>
      <c r="J69" s="130"/>
      <c r="K69" s="130"/>
      <c r="L69" s="130">
        <f>IFERROR(__xludf.DUMMYFUNCTION("IF(OR(A69="""",D69=""""),"""",IFERROR(LET(data,GOOGLEFINANCE(""NSE:""&amp;UPPER(TRIM(A69)),""close"",D69-3,D69,""DAILY""),INDEX(data,ROWS(data),2)),""Not Available""))"),24.13)</f>
        <v>24.13</v>
      </c>
      <c r="M69" s="131">
        <f>IFERROR(__xludf.DUMMYFUNCTION("IF(A69="""","""",IFERROR(GOOGLEFINANCE(""NSE:""&amp;UPPER(TRIM(A69)),""price""),""Not Available""))"),48.55)</f>
        <v>48.55</v>
      </c>
      <c r="N69" s="132">
        <f t="shared" si="16"/>
        <v>1.012018235</v>
      </c>
      <c r="O69" s="133">
        <f t="shared" si="17"/>
        <v>101201.8235</v>
      </c>
      <c r="P69" s="47">
        <f>IFERROR(__xludf.DUMMYFUNCTION("IF(OR(A69="""",E69=""""),"""",IFERROR(LET(data,GOOGLEFINANCE(""NSE:""&amp;UPPER(TRIM(A69)),""close"",E69-3,E69,""DAILY""),INDEX(data,ROWS(data),2)),""Not Available""))"),24.09)</f>
        <v>24.09</v>
      </c>
      <c r="Q69" s="49">
        <v>46142.0</v>
      </c>
      <c r="R69" s="188">
        <f t="shared" si="18"/>
        <v>1.01535907</v>
      </c>
      <c r="S69" s="51">
        <f>IFERROR(__xludf.DUMMYFUNCTION("IF(OR(A69="""",E69=""""),"""",IFERROR(LET(data,GOOGLEFINANCE(""NSE:""&amp;UPPER(TRIM(A69)),""close"",Q69-3,Q69,""DAILY""),INDEX(data,ROWS(data),2)),""Not Available""))"),25.9)</f>
        <v>25.9</v>
      </c>
      <c r="T69" s="189">
        <f t="shared" si="19"/>
        <v>0.07335267302</v>
      </c>
      <c r="U69" s="52">
        <f t="shared" si="20"/>
        <v>7335.267302</v>
      </c>
      <c r="V69" s="190"/>
      <c r="W69" s="190"/>
      <c r="X69" s="190"/>
      <c r="Y69" s="56"/>
    </row>
    <row r="70">
      <c r="A70" s="35" t="s">
        <v>84</v>
      </c>
      <c r="B70" s="130"/>
      <c r="C70" s="37"/>
      <c r="D70" s="37">
        <v>46178.0</v>
      </c>
      <c r="E70" s="38">
        <v>46183.0</v>
      </c>
      <c r="F70" s="130"/>
      <c r="G70" s="130"/>
      <c r="H70" s="130"/>
      <c r="I70" s="130"/>
      <c r="J70" s="130"/>
      <c r="K70" s="130"/>
      <c r="L70" s="130">
        <f>IFERROR(__xludf.DUMMYFUNCTION("IF(OR(A70="""",D70=""""),"""",IFERROR(LET(data,GOOGLEFINANCE(""NSE:""&amp;UPPER(TRIM(A70)),""close"",D70-3,D70,""DAILY""),INDEX(data,ROWS(data),2)),""Not Available""))"),72.24)</f>
        <v>72.24</v>
      </c>
      <c r="M70" s="131">
        <f>IFERROR(__xludf.DUMMYFUNCTION("IF(A70="""","""",IFERROR(GOOGLEFINANCE(""NSE:""&amp;UPPER(TRIM(A70)),""price""),""Not Available""))"),94.0)</f>
        <v>94</v>
      </c>
      <c r="N70" s="132">
        <f t="shared" si="16"/>
        <v>0.3012181617</v>
      </c>
      <c r="O70" s="133">
        <f t="shared" si="17"/>
        <v>30121.81617</v>
      </c>
      <c r="P70" s="47">
        <f>IFERROR(__xludf.DUMMYFUNCTION("IF(OR(A70="""",E70=""""),"""",IFERROR(LET(data,GOOGLEFINANCE(""NSE:""&amp;UPPER(TRIM(A70)),""close"",E70-3,E70,""DAILY""),INDEX(data,ROWS(data),2)),""Not Available""))"),79.61)</f>
        <v>79.61</v>
      </c>
      <c r="Q70" s="49">
        <v>46206.0</v>
      </c>
      <c r="R70" s="188">
        <f t="shared" si="18"/>
        <v>0.1807561864</v>
      </c>
      <c r="S70" s="51">
        <f>IFERROR(__xludf.DUMMYFUNCTION("IF(OR(A70="""",E70=""""),"""",IFERROR(LET(data,GOOGLEFINANCE(""NSE:""&amp;UPPER(TRIM(A70)),""close"",Q70-3,Q70,""DAILY""),INDEX(data,ROWS(data),2)),""Not Available""))"),93.25)</f>
        <v>93.25</v>
      </c>
      <c r="T70" s="189">
        <f t="shared" si="19"/>
        <v>0.2908361019</v>
      </c>
      <c r="U70" s="52">
        <f t="shared" si="20"/>
        <v>29083.61019</v>
      </c>
      <c r="V70" s="190"/>
      <c r="W70" s="190"/>
      <c r="X70" s="190"/>
      <c r="Y70" s="56"/>
    </row>
    <row r="71">
      <c r="A71" s="193" t="s">
        <v>89</v>
      </c>
      <c r="B71" s="37">
        <v>46192.0</v>
      </c>
      <c r="C71" s="37"/>
      <c r="D71" s="37">
        <v>46212.0</v>
      </c>
      <c r="E71" s="38">
        <v>46217.0</v>
      </c>
      <c r="F71" s="130"/>
      <c r="G71" s="130"/>
      <c r="H71" s="130"/>
      <c r="I71" s="130"/>
      <c r="J71" s="130"/>
      <c r="K71" s="130"/>
      <c r="L71" s="130">
        <f>IFERROR(__xludf.DUMMYFUNCTION("IF(OR(A71="""",D71=""""),"""",IFERROR(LET(data,GOOGLEFINANCE(""NSE:""&amp;UPPER(TRIM(A71)),""close"",D71-3,D71,""DAILY""),INDEX(data,ROWS(data),2)),""Not Available""))"),1571.5)</f>
        <v>1571.5</v>
      </c>
      <c r="M71" s="131">
        <f>IFERROR(__xludf.DUMMYFUNCTION("IF(A71="""","""",IFERROR(GOOGLEFINANCE(""NSE:""&amp;UPPER(TRIM(A71)),""price""),""Not Available""))"),1497.7)</f>
        <v>1497.7</v>
      </c>
      <c r="N71" s="132">
        <f t="shared" si="16"/>
        <v>-0.04696150175</v>
      </c>
      <c r="O71" s="133">
        <f t="shared" si="17"/>
        <v>-4696.150175</v>
      </c>
      <c r="P71" s="47">
        <f>IFERROR(__xludf.DUMMYFUNCTION("IF(OR(A71="""",E71=""""),"""",IFERROR(LET(data,GOOGLEFINANCE(""NSE:""&amp;UPPER(TRIM(A71)),""close"",E71-3,E71,""DAILY""),INDEX(data,ROWS(data),2)),""Not Available""))"),1621.8)</f>
        <v>1621.8</v>
      </c>
      <c r="Q71" s="190"/>
      <c r="R71" s="188">
        <f t="shared" si="18"/>
        <v>-0.07651991614</v>
      </c>
      <c r="S71" s="51">
        <f>IFERROR(__xludf.DUMMYFUNCTION("IF(OR(A71="""",E71=""""),"""",IFERROR(LET(data,GOOGLEFINANCE(""NSE:""&amp;UPPER(TRIM(A71)),""close"",Q72-3,Q72,""DAILY""),INDEX(data,ROWS(data),2)),""Not Available""))"),1519.9)</f>
        <v>1519.9</v>
      </c>
      <c r="T71" s="189">
        <f t="shared" si="19"/>
        <v>-0.03283487114</v>
      </c>
      <c r="U71" s="52">
        <f t="shared" si="20"/>
        <v>-3283.487114</v>
      </c>
      <c r="V71" s="190"/>
      <c r="W71" s="190"/>
      <c r="X71" s="190"/>
      <c r="Y71" s="56"/>
    </row>
    <row r="72">
      <c r="A72" s="35" t="s">
        <v>93</v>
      </c>
      <c r="B72" s="37">
        <v>46105.0</v>
      </c>
      <c r="C72" s="37"/>
      <c r="D72" s="37">
        <v>46192.0</v>
      </c>
      <c r="E72" s="38">
        <v>46198.0</v>
      </c>
      <c r="F72" s="130"/>
      <c r="G72" s="130"/>
      <c r="H72" s="130"/>
      <c r="I72" s="130"/>
      <c r="J72" s="130"/>
      <c r="K72" s="130"/>
      <c r="L72" s="130">
        <f>IFERROR(__xludf.DUMMYFUNCTION("IF(OR(A72="""",D72=""""),"""",IFERROR(LET(data,GOOGLEFINANCE(""NSE:""&amp;UPPER(TRIM(A72)),""close"",D72-3,D72,""DAILY""),INDEX(data,ROWS(data),2)),""Not Available""))"),309.5)</f>
        <v>309.5</v>
      </c>
      <c r="M72" s="131">
        <f>IFERROR(__xludf.DUMMYFUNCTION("IF(A72="""","""",IFERROR(GOOGLEFINANCE(""NSE:""&amp;UPPER(TRIM(A72)),""price""),""Not Available""))"),338.05)</f>
        <v>338.05</v>
      </c>
      <c r="N72" s="132">
        <f t="shared" si="16"/>
        <v>0.09224555735</v>
      </c>
      <c r="O72" s="133">
        <f t="shared" si="17"/>
        <v>9224.555735</v>
      </c>
      <c r="P72" s="47">
        <f>IFERROR(__xludf.DUMMYFUNCTION("IF(OR(A72="""",E72=""""),"""",IFERROR(LET(data,GOOGLEFINANCE(""NSE:""&amp;UPPER(TRIM(A72)),""close"",E72-3,E72,""DAILY""),INDEX(data,ROWS(data),2)),""Not Available""))"),317.4)</f>
        <v>317.4</v>
      </c>
      <c r="Q72" s="49">
        <v>46211.0</v>
      </c>
      <c r="R72" s="188">
        <f t="shared" si="18"/>
        <v>0.06505986137</v>
      </c>
      <c r="S72" s="51">
        <f>IFERROR(__xludf.DUMMYFUNCTION("IF(OR(A72="""",E72=""""),"""",IFERROR(LET(data,GOOGLEFINANCE(""NSE:""&amp;UPPER(TRIM(A72)),""close"",Q72-3,Q72,""DAILY""),INDEX(data,ROWS(data),2)),""Not Available""))"),297.0)</f>
        <v>297</v>
      </c>
      <c r="T72" s="189">
        <f t="shared" si="19"/>
        <v>-0.04038772213</v>
      </c>
      <c r="U72" s="52">
        <f t="shared" si="20"/>
        <v>-4038.772213</v>
      </c>
      <c r="V72" s="190"/>
      <c r="W72" s="190"/>
      <c r="X72" s="190"/>
      <c r="Y72" s="56"/>
    </row>
    <row r="73">
      <c r="A73" s="35" t="s">
        <v>95</v>
      </c>
      <c r="B73" s="37">
        <v>46155.0</v>
      </c>
      <c r="C73" s="37"/>
      <c r="D73" s="37">
        <v>46177.0</v>
      </c>
      <c r="E73" s="38">
        <v>46189.0</v>
      </c>
      <c r="F73" s="130"/>
      <c r="G73" s="130"/>
      <c r="H73" s="130"/>
      <c r="I73" s="130"/>
      <c r="J73" s="130"/>
      <c r="K73" s="130"/>
      <c r="L73" s="130">
        <f>IFERROR(__xludf.DUMMYFUNCTION("IF(OR(A73="""",D73=""""),"""",IFERROR(LET(data,GOOGLEFINANCE(""NSE:""&amp;UPPER(TRIM(A73)),""close"",D73-3,D73,""DAILY""),INDEX(data,ROWS(data),2)),""Not Available""))"),3399.3)</f>
        <v>3399.3</v>
      </c>
      <c r="M73" s="131">
        <f>IFERROR(__xludf.DUMMYFUNCTION("IF(A73="""","""",IFERROR(GOOGLEFINANCE(""NSE:""&amp;UPPER(TRIM(A73)),""price""),""Not Available""))"),4544.4)</f>
        <v>4544.4</v>
      </c>
      <c r="N73" s="132">
        <f t="shared" si="16"/>
        <v>0.3368634719</v>
      </c>
      <c r="O73" s="133">
        <f t="shared" si="17"/>
        <v>33686.34719</v>
      </c>
      <c r="P73" s="47">
        <f>IFERROR(__xludf.DUMMYFUNCTION("IF(OR(A73="""",E73=""""),"""",IFERROR(LET(data,GOOGLEFINANCE(""NSE:""&amp;UPPER(TRIM(A73)),""close"",E73-3,E73,""DAILY""),INDEX(data,ROWS(data),2)),""Not Available""))"),3695.8)</f>
        <v>3695.8</v>
      </c>
      <c r="Q73" s="49">
        <v>46218.0</v>
      </c>
      <c r="R73" s="188">
        <f t="shared" si="18"/>
        <v>0.229611992</v>
      </c>
      <c r="S73" s="51">
        <f>IFERROR(__xludf.DUMMYFUNCTION("IF(OR(A73="""",E73=""""),"""",IFERROR(LET(data,GOOGLEFINANCE(""NSE:""&amp;UPPER(TRIM(A73)),""close"",Q73-3,Q73,""DAILY""),INDEX(data,ROWS(data),2)),""Not Available""))"),4175.6)</f>
        <v>4175.6</v>
      </c>
      <c r="T73" s="189">
        <f t="shared" si="19"/>
        <v>0.2283705469</v>
      </c>
      <c r="U73" s="52">
        <f t="shared" si="20"/>
        <v>22837.05469</v>
      </c>
      <c r="V73" s="190"/>
      <c r="W73" s="190"/>
      <c r="X73" s="190"/>
      <c r="Y73" s="56"/>
    </row>
    <row r="74">
      <c r="A74" s="194" t="s">
        <v>99</v>
      </c>
      <c r="B74" s="37">
        <v>46153.0</v>
      </c>
      <c r="C74" s="37"/>
      <c r="D74" s="37">
        <v>46185.0</v>
      </c>
      <c r="E74" s="38">
        <v>46190.0</v>
      </c>
      <c r="F74" s="130"/>
      <c r="G74" s="130"/>
      <c r="H74" s="130"/>
      <c r="I74" s="130"/>
      <c r="J74" s="130"/>
      <c r="K74" s="130"/>
      <c r="L74" s="130">
        <f>IFERROR(__xludf.DUMMYFUNCTION("IF(OR(A74="""",D74=""""),"""",IFERROR(LET(data,GOOGLEFINANCE(""NSE:""&amp;UPPER(TRIM(A74)),""close"",D74-3,D74,""DAILY""),INDEX(data,ROWS(data),2)),""Not Available""))"),183.39)</f>
        <v>183.39</v>
      </c>
      <c r="M74" s="131">
        <f>IFERROR(__xludf.DUMMYFUNCTION("IF(A74="""","""",IFERROR(GOOGLEFINANCE(""NSE:""&amp;UPPER(TRIM(A74)),""price""),""Not Available""))"),220.15)</f>
        <v>220.15</v>
      </c>
      <c r="N74" s="132">
        <f t="shared" si="16"/>
        <v>0.2004471345</v>
      </c>
      <c r="O74" s="133">
        <f t="shared" si="17"/>
        <v>20044.71345</v>
      </c>
      <c r="P74" s="47">
        <f>IFERROR(__xludf.DUMMYFUNCTION("IF(OR(A74="""",E74=""""),"""",IFERROR(LET(data,GOOGLEFINANCE(""NSE:""&amp;UPPER(TRIM(A74)),""close"",E74-3,E74,""DAILY""),INDEX(data,ROWS(data),2)),""Not Available""))"),201.49)</f>
        <v>201.49</v>
      </c>
      <c r="Q74" s="49">
        <v>46211.0</v>
      </c>
      <c r="R74" s="188">
        <f t="shared" si="18"/>
        <v>0.09261005509</v>
      </c>
      <c r="S74" s="195">
        <f>IFERROR(__xludf.DUMMYFUNCTION("IF(OR(A74="""",E74=""""),"""",IFERROR(LET(data,GOOGLEFINANCE(""NSE:""&amp;UPPER(TRIM(A74)),""close"",Q74-3,Q74,""DAILY""),INDEX(data,ROWS(data),2)),""Not Available""))"),217.89)</f>
        <v>217.89</v>
      </c>
      <c r="T74" s="189">
        <f t="shared" si="19"/>
        <v>0.1881236709</v>
      </c>
      <c r="U74" s="52">
        <f t="shared" si="20"/>
        <v>18812.36709</v>
      </c>
      <c r="V74" s="190"/>
      <c r="W74" s="190"/>
      <c r="X74" s="190"/>
      <c r="Y74" s="56"/>
    </row>
    <row r="75">
      <c r="A75" s="35" t="s">
        <v>105</v>
      </c>
      <c r="B75" s="37">
        <v>46186.0</v>
      </c>
      <c r="C75" s="37"/>
      <c r="D75" s="37">
        <v>46217.0</v>
      </c>
      <c r="E75" s="38">
        <v>46220.0</v>
      </c>
      <c r="F75" s="130"/>
      <c r="G75" s="130"/>
      <c r="H75" s="130"/>
      <c r="I75" s="130"/>
      <c r="J75" s="130"/>
      <c r="K75" s="130"/>
      <c r="L75" s="130">
        <f>IFERROR(__xludf.DUMMYFUNCTION("IF(OR(A75="""",D75=""""),"""",IFERROR(LET(data,GOOGLEFINANCE(""NSE:""&amp;UPPER(TRIM(A75)),""close"",D75-3,D75,""DAILY""),INDEX(data,ROWS(data),2)),""Not Available""))"),566.45)</f>
        <v>566.45</v>
      </c>
      <c r="M75" s="131">
        <f>IFERROR(__xludf.DUMMYFUNCTION("IF(A75="""","""",IFERROR(GOOGLEFINANCE(""NSE:""&amp;UPPER(TRIM(A75)),""price""),""Not Available""))"),248.5)</f>
        <v>248.5</v>
      </c>
      <c r="N75" s="132">
        <f t="shared" si="16"/>
        <v>-0.5613028511</v>
      </c>
      <c r="O75" s="133">
        <f t="shared" si="17"/>
        <v>-56130.28511</v>
      </c>
      <c r="P75" s="47">
        <f>IFERROR(__xludf.DUMMYFUNCTION("IF(OR(A75="""",E75=""""),"""",IFERROR(LET(data,GOOGLEFINANCE(""NSE:""&amp;UPPER(TRIM(A75)),""close"",E75-3,E75,""DAILY""),INDEX(data,ROWS(data),2)),""Not Available""))"),587.35)</f>
        <v>587.35</v>
      </c>
      <c r="Q75" s="49">
        <v>46227.0</v>
      </c>
      <c r="R75" s="188">
        <f t="shared" si="18"/>
        <v>-0.5769132544</v>
      </c>
      <c r="S75" s="51">
        <f>IFERROR(__xludf.DUMMYFUNCTION("IF(OR(A75="""",E75=""""),"""",IFERROR(LET(data,GOOGLEFINANCE(""NSE:""&amp;UPPER(TRIM(A75)),""close"",Q75-3,Q75,""DAILY""),INDEX(data,ROWS(data),2)),""Not Available""))"),643.15)</f>
        <v>643.15</v>
      </c>
      <c r="T75" s="189">
        <f t="shared" si="19"/>
        <v>0.1354047136</v>
      </c>
      <c r="U75" s="52">
        <f t="shared" si="20"/>
        <v>13540.47136</v>
      </c>
      <c r="V75" s="190"/>
      <c r="W75" s="190"/>
      <c r="X75" s="190"/>
      <c r="Y75" s="56"/>
    </row>
    <row r="76">
      <c r="A76" s="35" t="s">
        <v>108</v>
      </c>
      <c r="B76" s="37">
        <v>46135.0</v>
      </c>
      <c r="C76" s="37"/>
      <c r="D76" s="37">
        <v>46192.0</v>
      </c>
      <c r="E76" s="38">
        <v>46196.0</v>
      </c>
      <c r="F76" s="130"/>
      <c r="G76" s="130"/>
      <c r="H76" s="130"/>
      <c r="I76" s="130"/>
      <c r="J76" s="130"/>
      <c r="K76" s="130"/>
      <c r="L76" s="130">
        <f>IFERROR(__xludf.DUMMYFUNCTION("IF(OR(A76="""",D76=""""),"""",IFERROR(LET(data,GOOGLEFINANCE(""NSE:""&amp;UPPER(TRIM(A76)),""close"",D76-3,D76,""DAILY""),INDEX(data,ROWS(data),2)),""Not Available""))"),185.85)</f>
        <v>185.85</v>
      </c>
      <c r="M76" s="131">
        <f>IFERROR(__xludf.DUMMYFUNCTION("IF(A76="""","""",IFERROR(GOOGLEFINANCE(""NSE:""&amp;UPPER(TRIM(A76)),""price""),""Not Available""))"),245.4)</f>
        <v>245.4</v>
      </c>
      <c r="N76" s="132">
        <f t="shared" si="16"/>
        <v>0.3204196933</v>
      </c>
      <c r="O76" s="133">
        <f t="shared" si="17"/>
        <v>32041.96933</v>
      </c>
      <c r="P76" s="47">
        <f>IFERROR(__xludf.DUMMYFUNCTION("IF(OR(A76="""",E76=""""),"""",IFERROR(LET(data,GOOGLEFINANCE(""NSE:""&amp;UPPER(TRIM(A76)),""close"",E76-3,E76,""DAILY""),INDEX(data,ROWS(data),2)),""Not Available""))"),193.76)</f>
        <v>193.76</v>
      </c>
      <c r="Q76" s="49">
        <v>46216.0</v>
      </c>
      <c r="R76" s="188">
        <f t="shared" si="18"/>
        <v>0.2665152766</v>
      </c>
      <c r="S76" s="51">
        <f>IFERROR(__xludf.DUMMYFUNCTION("IF(OR(A76="""",E76=""""),"""",IFERROR(LET(data,GOOGLEFINANCE(""NSE:""&amp;UPPER(TRIM(A76)),""close"",Q76-3,Q76,""DAILY""),INDEX(data,ROWS(data),2)),""Not Available""))"),221.53)</f>
        <v>221.53</v>
      </c>
      <c r="T76" s="189">
        <f t="shared" si="19"/>
        <v>0.1919827818</v>
      </c>
      <c r="U76" s="52">
        <f t="shared" si="20"/>
        <v>19198.27818</v>
      </c>
      <c r="V76" s="190"/>
      <c r="W76" s="190"/>
      <c r="X76" s="190"/>
      <c r="Y76" s="56"/>
    </row>
    <row r="77">
      <c r="A77" s="35" t="s">
        <v>109</v>
      </c>
      <c r="B77" s="37">
        <v>46174.0</v>
      </c>
      <c r="C77" s="37"/>
      <c r="D77" s="37">
        <v>46198.0</v>
      </c>
      <c r="E77" s="38">
        <v>46204.0</v>
      </c>
      <c r="F77" s="130"/>
      <c r="G77" s="130"/>
      <c r="H77" s="130"/>
      <c r="I77" s="130"/>
      <c r="J77" s="130"/>
      <c r="K77" s="130"/>
      <c r="L77" s="130">
        <f>IFERROR(__xludf.DUMMYFUNCTION("IF(OR(A77="""",D77=""""),"""",IFERROR(LET(data,GOOGLEFINANCE(""NSE:""&amp;UPPER(TRIM(A77)),""close"",D77-3,D77,""DAILY""),INDEX(data,ROWS(data),2)),""Not Available""))"),275.06)</f>
        <v>275.06</v>
      </c>
      <c r="M77" s="131">
        <f>IFERROR(__xludf.DUMMYFUNCTION("IF(A77="""","""",IFERROR(GOOGLEFINANCE(""NSE:""&amp;UPPER(TRIM(A77)),""price""),""Not Available""))"),268.1)</f>
        <v>268.1</v>
      </c>
      <c r="N77" s="132">
        <f t="shared" si="16"/>
        <v>-0.02530357013</v>
      </c>
      <c r="O77" s="133">
        <f t="shared" si="17"/>
        <v>-2530.357013</v>
      </c>
      <c r="P77" s="47">
        <f>IFERROR(__xludf.DUMMYFUNCTION("IF(OR(A77="""",E77=""""),"""",IFERROR(LET(data,GOOGLEFINANCE(""NSE:""&amp;UPPER(TRIM(A77)),""close"",E77-3,E77,""DAILY""),INDEX(data,ROWS(data),2)),""Not Available""))"),288.9)</f>
        <v>288.9</v>
      </c>
      <c r="Q77" s="51"/>
      <c r="R77" s="188">
        <f t="shared" si="18"/>
        <v>-0.07199723088</v>
      </c>
      <c r="S77" s="51" t="str">
        <f>IFERROR(__xludf.DUMMYFUNCTION("IF(OR(A77="""",E77=""""),"""",IFERROR(LET(data,GOOGLEFINANCE(""NSE:""&amp;UPPER(TRIM(A77)),""close"",Q77-3,Q77,""DAILY""),INDEX(data,ROWS(data),2)),""Not Available""))"),"Not Available")</f>
        <v>Not Available</v>
      </c>
      <c r="T77" s="189" t="str">
        <f t="shared" si="19"/>
        <v>#VALUE!</v>
      </c>
      <c r="U77" s="52" t="str">
        <f t="shared" si="20"/>
        <v>#VALUE!</v>
      </c>
      <c r="V77" s="190"/>
      <c r="W77" s="190"/>
      <c r="X77" s="190"/>
      <c r="Y77" s="56"/>
    </row>
    <row r="78">
      <c r="A78" s="35" t="s">
        <v>112</v>
      </c>
      <c r="B78" s="37">
        <v>46128.0</v>
      </c>
      <c r="C78" s="37"/>
      <c r="D78" s="37">
        <v>46204.0</v>
      </c>
      <c r="E78" s="38">
        <v>46213.0</v>
      </c>
      <c r="F78" s="130"/>
      <c r="G78" s="130"/>
      <c r="H78" s="130"/>
      <c r="I78" s="130"/>
      <c r="J78" s="130"/>
      <c r="K78" s="130"/>
      <c r="L78" s="130">
        <f>IFERROR(__xludf.DUMMYFUNCTION("IF(OR(A78="""",D78=""""),"""",IFERROR(LET(data,GOOGLEFINANCE(""NSE:""&amp;UPPER(TRIM(A78)),""close"",D78-3,D78,""DAILY""),INDEX(data,ROWS(data),2)),""Not Available""))"),548.65)</f>
        <v>548.65</v>
      </c>
      <c r="M78" s="131">
        <f>IFERROR(__xludf.DUMMYFUNCTION("IF(A78="""","""",IFERROR(GOOGLEFINANCE(""NSE:""&amp;UPPER(TRIM(A78)),""price""),""Not Available""))"),676.05)</f>
        <v>676.05</v>
      </c>
      <c r="N78" s="132">
        <f t="shared" si="16"/>
        <v>0.2322063246</v>
      </c>
      <c r="O78" s="133">
        <f t="shared" si="17"/>
        <v>23220.63246</v>
      </c>
      <c r="P78" s="47">
        <f>IFERROR(__xludf.DUMMYFUNCTION("IF(OR(A78="""",E78=""""),"""",IFERROR(LET(data,GOOGLEFINANCE(""NSE:""&amp;UPPER(TRIM(A78)),""close"",E78-3,E78,""DAILY""),INDEX(data,ROWS(data),2)),""Not Available""))"),564.05)</f>
        <v>564.05</v>
      </c>
      <c r="Q78" s="51"/>
      <c r="R78" s="188">
        <f t="shared" si="18"/>
        <v>0.1985639571</v>
      </c>
      <c r="S78" s="51" t="str">
        <f>IFERROR(__xludf.DUMMYFUNCTION("IF(OR(A78="""",E78=""""),"""",IFERROR(LET(data,GOOGLEFINANCE(""NSE:""&amp;UPPER(TRIM(A78)),""close"",Q78-3,Q78,""DAILY""),INDEX(data,ROWS(data),2)),""Not Available""))"),"Not Available")</f>
        <v>Not Available</v>
      </c>
      <c r="T78" s="189" t="str">
        <f t="shared" si="19"/>
        <v>#VALUE!</v>
      </c>
      <c r="U78" s="52" t="str">
        <f t="shared" si="20"/>
        <v>#VALUE!</v>
      </c>
      <c r="V78" s="190"/>
      <c r="W78" s="190"/>
      <c r="X78" s="190"/>
      <c r="Y78" s="56"/>
    </row>
    <row r="79">
      <c r="A79" s="35" t="s">
        <v>113</v>
      </c>
      <c r="B79" s="37">
        <v>46161.0</v>
      </c>
      <c r="C79" s="37"/>
      <c r="D79" s="37">
        <v>46189.0</v>
      </c>
      <c r="E79" s="38">
        <v>46192.0</v>
      </c>
      <c r="F79" s="130"/>
      <c r="G79" s="130"/>
      <c r="H79" s="130"/>
      <c r="I79" s="130"/>
      <c r="J79" s="130"/>
      <c r="K79" s="130"/>
      <c r="L79" s="130">
        <f>IFERROR(__xludf.DUMMYFUNCTION("IF(OR(A79="""",D79=""""),"""",IFERROR(LET(data,GOOGLEFINANCE(""NSE:""&amp;UPPER(TRIM(A79)),""close"",D79-3,D79,""DAILY""),INDEX(data,ROWS(data),2)),""Not Available""))"),1139.1)</f>
        <v>1139.1</v>
      </c>
      <c r="M79" s="131">
        <f>IFERROR(__xludf.DUMMYFUNCTION("IF(A79="""","""",IFERROR(GOOGLEFINANCE(""NSE:""&amp;UPPER(TRIM(A79)),""price""),""Not Available""))"),1227.1)</f>
        <v>1227.1</v>
      </c>
      <c r="N79" s="132">
        <f t="shared" si="16"/>
        <v>0.07725397243</v>
      </c>
      <c r="O79" s="133">
        <f t="shared" si="17"/>
        <v>7725.397243</v>
      </c>
      <c r="P79" s="47">
        <f>IFERROR(__xludf.DUMMYFUNCTION("IF(OR(A79="""",E79=""""),"""",IFERROR(LET(data,GOOGLEFINANCE(""NSE:""&amp;UPPER(TRIM(A79)),""close"",E79-3,E79,""DAILY""),INDEX(data,ROWS(data),2)),""Not Available""))"),1170.4)</f>
        <v>1170.4</v>
      </c>
      <c r="Q79" s="49">
        <v>46211.0</v>
      </c>
      <c r="R79" s="188">
        <f t="shared" si="18"/>
        <v>0.04844497608</v>
      </c>
      <c r="S79" s="51">
        <f>IFERROR(__xludf.DUMMYFUNCTION("IF(OR(A79="""",E79=""""),"""",IFERROR(LET(data,GOOGLEFINANCE(""NSE:""&amp;UPPER(TRIM(A79)),""close"",Q79-3,Q79,""DAILY""),INDEX(data,ROWS(data),2)),""Not Available""))"),1193.4)</f>
        <v>1193.4</v>
      </c>
      <c r="T79" s="189">
        <f t="shared" si="19"/>
        <v>0.04766921254</v>
      </c>
      <c r="U79" s="52">
        <f t="shared" si="20"/>
        <v>4766.921254</v>
      </c>
      <c r="V79" s="190"/>
      <c r="W79" s="190"/>
      <c r="X79" s="190"/>
      <c r="Y79" s="56"/>
    </row>
    <row r="80">
      <c r="A80" s="35" t="s">
        <v>121</v>
      </c>
      <c r="B80" s="37">
        <v>46181.0</v>
      </c>
      <c r="C80" s="37"/>
      <c r="D80" s="37">
        <v>46219.0</v>
      </c>
      <c r="E80" s="38">
        <v>46223.0</v>
      </c>
      <c r="F80" s="130"/>
      <c r="G80" s="130"/>
      <c r="H80" s="130"/>
      <c r="I80" s="130"/>
      <c r="J80" s="130"/>
      <c r="K80" s="130"/>
      <c r="L80" s="130">
        <f>IFERROR(__xludf.DUMMYFUNCTION("IF(OR(A80="""",D80=""""),"""",IFERROR(LET(data,GOOGLEFINANCE(""NSE:""&amp;UPPER(TRIM(A80)),""close"",D80-3,D80,""DAILY""),INDEX(data,ROWS(data),2)),""Not Available""))"),173.33)</f>
        <v>173.33</v>
      </c>
      <c r="M80" s="131">
        <f>IFERROR(__xludf.DUMMYFUNCTION("IF(A80="""","""",IFERROR(GOOGLEFINANCE(""NSE:""&amp;UPPER(TRIM(A80)),""price""),""Not Available""))"),164.44)</f>
        <v>164.44</v>
      </c>
      <c r="N80" s="132">
        <f t="shared" si="16"/>
        <v>-0.05128944787</v>
      </c>
      <c r="O80" s="133">
        <f t="shared" si="17"/>
        <v>-5128.944787</v>
      </c>
      <c r="P80" s="47">
        <f>IFERROR(__xludf.DUMMYFUNCTION("IF(OR(A80="""",E80=""""),"""",IFERROR(LET(data,GOOGLEFINANCE(""NSE:""&amp;UPPER(TRIM(A80)),""close"",E80-3,E80,""DAILY""),INDEX(data,ROWS(data),2)),""Not Available""))"),170.92)</f>
        <v>170.92</v>
      </c>
      <c r="Q80" s="51"/>
      <c r="R80" s="188">
        <f t="shared" si="18"/>
        <v>-0.03791247367</v>
      </c>
      <c r="S80" s="51" t="str">
        <f>IFERROR(__xludf.DUMMYFUNCTION("IF(OR(A80="""",E80=""""),"""",IFERROR(LET(data,GOOGLEFINANCE(""NSE:""&amp;UPPER(TRIM(A80)),""close"",Q80-3,Q80,""DAILY""),INDEX(data,ROWS(data),2)),""Not Available""))"),"Not Available")</f>
        <v>Not Available</v>
      </c>
      <c r="T80" s="189" t="str">
        <f t="shared" si="19"/>
        <v>#VALUE!</v>
      </c>
      <c r="U80" s="52" t="str">
        <f t="shared" si="20"/>
        <v>#VALUE!</v>
      </c>
      <c r="V80" s="190"/>
      <c r="W80" s="190"/>
      <c r="X80" s="190"/>
      <c r="Y80" s="56"/>
    </row>
    <row r="81">
      <c r="A81" s="35" t="s">
        <v>122</v>
      </c>
      <c r="B81" s="37">
        <v>46177.0</v>
      </c>
      <c r="C81" s="37"/>
      <c r="D81" s="37">
        <v>46223.0</v>
      </c>
      <c r="E81" s="38">
        <v>46223.0</v>
      </c>
      <c r="F81" s="130"/>
      <c r="G81" s="130"/>
      <c r="H81" s="130"/>
      <c r="I81" s="130"/>
      <c r="J81" s="130"/>
      <c r="K81" s="130"/>
      <c r="L81" s="130">
        <f>IFERROR(__xludf.DUMMYFUNCTION("IF(OR(A81="""",D81=""""),"""",IFERROR(LET(data,GOOGLEFINANCE(""NSE:""&amp;UPPER(TRIM(A81)),""close"",D81-3,D81,""DAILY""),INDEX(data,ROWS(data),2)),""Not Available""))"),146.47)</f>
        <v>146.47</v>
      </c>
      <c r="M81" s="131">
        <f>IFERROR(__xludf.DUMMYFUNCTION("IF(A81="""","""",IFERROR(GOOGLEFINANCE(""NSE:""&amp;UPPER(TRIM(A81)),""price""),""Not Available""))"),127.8)</f>
        <v>127.8</v>
      </c>
      <c r="N81" s="132">
        <f t="shared" si="16"/>
        <v>-0.1274663754</v>
      </c>
      <c r="O81" s="133">
        <f t="shared" si="17"/>
        <v>-12746.63754</v>
      </c>
      <c r="P81" s="47">
        <f>IFERROR(__xludf.DUMMYFUNCTION("IF(OR(A81="""",E81=""""),"""",IFERROR(LET(data,GOOGLEFINANCE(""NSE:""&amp;UPPER(TRIM(A81)),""close"",E81-3,E81,""DAILY""),INDEX(data,ROWS(data),2)),""Not Available""))"),146.47)</f>
        <v>146.47</v>
      </c>
      <c r="Q81" s="51"/>
      <c r="R81" s="188">
        <f t="shared" si="18"/>
        <v>-0.1274663754</v>
      </c>
      <c r="S81" s="51" t="str">
        <f>IFERROR(__xludf.DUMMYFUNCTION("IF(OR(A81="""",E81=""""),"""",IFERROR(LET(data,GOOGLEFINANCE(""NSE:""&amp;UPPER(TRIM(A81)),""close"",Q81-3,Q81,""DAILY""),INDEX(data,ROWS(data),2)),""Not Available""))"),"Not Available")</f>
        <v>Not Available</v>
      </c>
      <c r="T81" s="189" t="str">
        <f t="shared" si="19"/>
        <v>#VALUE!</v>
      </c>
      <c r="U81" s="52" t="str">
        <f t="shared" si="20"/>
        <v>#VALUE!</v>
      </c>
      <c r="V81" s="190"/>
      <c r="W81" s="190"/>
      <c r="X81" s="190"/>
      <c r="Y81" s="56"/>
    </row>
    <row r="82">
      <c r="A82" s="197" t="s">
        <v>99</v>
      </c>
      <c r="B82" s="37">
        <v>46150.0</v>
      </c>
      <c r="C82" s="37"/>
      <c r="D82" s="37">
        <v>46185.0</v>
      </c>
      <c r="E82" s="38">
        <v>46190.0</v>
      </c>
      <c r="F82" s="130"/>
      <c r="G82" s="130"/>
      <c r="H82" s="130"/>
      <c r="I82" s="130"/>
      <c r="J82" s="130"/>
      <c r="K82" s="130"/>
      <c r="L82" s="130">
        <f>IFERROR(__xludf.DUMMYFUNCTION("IF(OR(A82="""",D82=""""),"""",IFERROR(LET(data,GOOGLEFINANCE(""NSE:""&amp;UPPER(TRIM(A82)),""close"",D82-3,D82,""DAILY""),INDEX(data,ROWS(data),2)),""Not Available""))"),183.39)</f>
        <v>183.39</v>
      </c>
      <c r="M82" s="131">
        <f>IFERROR(__xludf.DUMMYFUNCTION("IF(A82="""","""",IFERROR(GOOGLEFINANCE(""NSE:""&amp;UPPER(TRIM(A82)),""price""),""Not Available""))"),220.15)</f>
        <v>220.15</v>
      </c>
      <c r="N82" s="132">
        <f t="shared" si="16"/>
        <v>0.2004471345</v>
      </c>
      <c r="O82" s="133">
        <f t="shared" si="17"/>
        <v>20044.71345</v>
      </c>
      <c r="P82" s="47">
        <f>IFERROR(__xludf.DUMMYFUNCTION("IF(OR(A82="""",E82=""""),"""",IFERROR(LET(data,GOOGLEFINANCE(""NSE:""&amp;UPPER(TRIM(A82)),""close"",E82-3,E82,""DAILY""),INDEX(data,ROWS(data),2)),""Not Available""))"),201.49)</f>
        <v>201.49</v>
      </c>
      <c r="Q82" s="49">
        <v>46211.0</v>
      </c>
      <c r="R82" s="188">
        <f t="shared" si="18"/>
        <v>0.09261005509</v>
      </c>
      <c r="S82" s="51">
        <f>IFERROR(__xludf.DUMMYFUNCTION("IF(OR(A82="""",E82=""""),"""",IFERROR(LET(data,GOOGLEFINANCE(""NSE:""&amp;UPPER(TRIM(A82)),""close"",Q82-3,Q82,""DAILY""),INDEX(data,ROWS(data),2)),""Not Available""))"),217.89)</f>
        <v>217.89</v>
      </c>
      <c r="T82" s="189">
        <f t="shared" si="19"/>
        <v>0.1881236709</v>
      </c>
      <c r="U82" s="52">
        <f t="shared" si="20"/>
        <v>18812.36709</v>
      </c>
      <c r="V82" s="190"/>
      <c r="W82" s="190"/>
      <c r="X82" s="190"/>
      <c r="Y82" s="56"/>
    </row>
    <row r="83">
      <c r="A83" s="35" t="s">
        <v>126</v>
      </c>
      <c r="B83" s="37">
        <v>46182.0</v>
      </c>
      <c r="C83" s="37"/>
      <c r="D83" s="37">
        <v>46191.0</v>
      </c>
      <c r="E83" s="38">
        <v>46202.0</v>
      </c>
      <c r="F83" s="130"/>
      <c r="G83" s="130"/>
      <c r="H83" s="130"/>
      <c r="I83" s="130"/>
      <c r="J83" s="130"/>
      <c r="K83" s="130"/>
      <c r="L83" s="130">
        <f>IFERROR(__xludf.DUMMYFUNCTION("IF(OR(A83="""",D83=""""),"""",IFERROR(LET(data,GOOGLEFINANCE(""NSE:""&amp;UPPER(TRIM(A83)),""close"",D83-3,D83,""DAILY""),INDEX(data,ROWS(data),2)),""Not Available""))"),317.1)</f>
        <v>317.1</v>
      </c>
      <c r="M83" s="131">
        <f>IFERROR(__xludf.DUMMYFUNCTION("IF(A83="""","""",IFERROR(GOOGLEFINANCE(""NSE:""&amp;UPPER(TRIM(A83)),""price""),""Not Available""))"),352.5)</f>
        <v>352.5</v>
      </c>
      <c r="N83" s="132">
        <f t="shared" si="16"/>
        <v>0.1116367077</v>
      </c>
      <c r="O83" s="133">
        <f t="shared" si="17"/>
        <v>11163.67077</v>
      </c>
      <c r="P83" s="47">
        <f>IFERROR(__xludf.DUMMYFUNCTION("IF(OR(A83="""",E83=""""),"""",IFERROR(LET(data,GOOGLEFINANCE(""NSE:""&amp;UPPER(TRIM(A83)),""close"",E83-3,E83,""DAILY""),INDEX(data,ROWS(data),2)),""Not Available""))"),352.65)</f>
        <v>352.65</v>
      </c>
      <c r="Q83" s="49">
        <v>46216.0</v>
      </c>
      <c r="R83" s="188">
        <f t="shared" si="18"/>
        <v>-0.0004253509145</v>
      </c>
      <c r="S83" s="51">
        <f>IFERROR(__xludf.DUMMYFUNCTION("IF(OR(A83="""",E83=""""),"""",IFERROR(LET(data,GOOGLEFINANCE(""NSE:""&amp;UPPER(TRIM(A83)),""close"",Q83-3,Q83,""DAILY""),INDEX(data,ROWS(data),2)),""Not Available""))"),343.15)</f>
        <v>343.15</v>
      </c>
      <c r="T83" s="189">
        <f t="shared" si="19"/>
        <v>0.08215074109</v>
      </c>
      <c r="U83" s="52">
        <f t="shared" si="20"/>
        <v>8215.074109</v>
      </c>
      <c r="V83" s="190"/>
      <c r="W83" s="190"/>
      <c r="X83" s="190"/>
      <c r="Y83" s="56"/>
    </row>
    <row r="84">
      <c r="A84" s="35" t="s">
        <v>104</v>
      </c>
      <c r="B84" s="37">
        <v>46188.0</v>
      </c>
      <c r="C84" s="37"/>
      <c r="D84" s="37">
        <v>46218.0</v>
      </c>
      <c r="E84" s="38">
        <v>46223.0</v>
      </c>
      <c r="F84" s="130"/>
      <c r="G84" s="130"/>
      <c r="H84" s="130"/>
      <c r="I84" s="130"/>
      <c r="J84" s="130"/>
      <c r="K84" s="130"/>
      <c r="L84" s="130">
        <f>IFERROR(__xludf.DUMMYFUNCTION("IF(OR(A84="""",D84=""""),"""",IFERROR(LET(data,GOOGLEFINANCE(""NSE:""&amp;UPPER(TRIM(A84)),""close"",D84-3,D84,""DAILY""),INDEX(data,ROWS(data),2)),""Not Available""))"),417.95)</f>
        <v>417.95</v>
      </c>
      <c r="M84" s="131">
        <f>IFERROR(__xludf.DUMMYFUNCTION("IF(A84="""","""",IFERROR(GOOGLEFINANCE(""NSE:""&amp;UPPER(TRIM(A84)),""price""),""Not Available""))"),417.2)</f>
        <v>417.2</v>
      </c>
      <c r="N84" s="132">
        <f t="shared" si="16"/>
        <v>-0.001794473023</v>
      </c>
      <c r="O84" s="133">
        <f t="shared" si="17"/>
        <v>-179.4473023</v>
      </c>
      <c r="P84" s="47">
        <f>IFERROR(__xludf.DUMMYFUNCTION("IF(OR(A84="""",E84=""""),"""",IFERROR(LET(data,GOOGLEFINANCE(""NSE:""&amp;UPPER(TRIM(A84)),""close"",E84-3,E84,""DAILY""),INDEX(data,ROWS(data),2)),""Not Available""))"),417.5)</f>
        <v>417.5</v>
      </c>
      <c r="Q84" s="51"/>
      <c r="R84" s="188">
        <f t="shared" si="18"/>
        <v>-0.0007185628743</v>
      </c>
      <c r="S84" s="51" t="str">
        <f>IFERROR(__xludf.DUMMYFUNCTION("IF(OR(A84="""",E84=""""),"""",IFERROR(LET(data,GOOGLEFINANCE(""NSE:""&amp;UPPER(TRIM(A84)),""close"",Q84-3,Q84,""DAILY""),INDEX(data,ROWS(data),2)),""Not Available""))"),"Not Available")</f>
        <v>Not Available</v>
      </c>
      <c r="T84" s="189" t="str">
        <f t="shared" si="19"/>
        <v>#VALUE!</v>
      </c>
      <c r="U84" s="52" t="str">
        <f t="shared" si="20"/>
        <v>#VALUE!</v>
      </c>
      <c r="V84" s="190"/>
      <c r="W84" s="190"/>
      <c r="X84" s="190"/>
      <c r="Y84" s="56"/>
    </row>
    <row r="85">
      <c r="A85" s="35" t="s">
        <v>129</v>
      </c>
      <c r="B85" s="37">
        <v>46213.0</v>
      </c>
      <c r="C85" s="37"/>
      <c r="D85" s="37">
        <v>46218.0</v>
      </c>
      <c r="E85" s="38">
        <v>46224.0</v>
      </c>
      <c r="F85" s="130"/>
      <c r="G85" s="130"/>
      <c r="H85" s="130"/>
      <c r="I85" s="130"/>
      <c r="J85" s="130"/>
      <c r="K85" s="130"/>
      <c r="L85" s="130">
        <f>IFERROR(__xludf.DUMMYFUNCTION("IF(OR(A85="""",D85=""""),"""",IFERROR(LET(data,GOOGLEFINANCE(""NSE:""&amp;UPPER(TRIM(A85)),""close"",D85-3,D85,""DAILY""),INDEX(data,ROWS(data),2)),""Not Available""))"),1753.9)</f>
        <v>1753.9</v>
      </c>
      <c r="M85" s="131">
        <f>IFERROR(__xludf.DUMMYFUNCTION("IF(A85="""","""",IFERROR(GOOGLEFINANCE(""NSE:""&amp;UPPER(TRIM(A85)),""price""),""Not Available""))"),1525.0)</f>
        <v>1525</v>
      </c>
      <c r="N85" s="132">
        <f t="shared" si="16"/>
        <v>-0.130509151</v>
      </c>
      <c r="O85" s="133">
        <f t="shared" si="17"/>
        <v>-13050.9151</v>
      </c>
      <c r="P85" s="47">
        <f>IFERROR(__xludf.DUMMYFUNCTION("IF(OR(A85="""",E85=""""),"""",IFERROR(LET(data,GOOGLEFINANCE(""NSE:""&amp;UPPER(TRIM(A85)),""close"",E85-3,E85,""DAILY""),INDEX(data,ROWS(data),2)),""Not Available""))"),1702.8)</f>
        <v>1702.8</v>
      </c>
      <c r="Q85" s="51"/>
      <c r="R85" s="188">
        <f t="shared" si="18"/>
        <v>-0.1044162556</v>
      </c>
      <c r="S85" s="51" t="str">
        <f>IFERROR(__xludf.DUMMYFUNCTION("IF(OR(A85="""",E85=""""),"""",IFERROR(LET(data,GOOGLEFINANCE(""NSE:""&amp;UPPER(TRIM(A85)),""close"",Q85-3,Q85,""DAILY""),INDEX(data,ROWS(data),2)),""Not Available""))"),"Not Available")</f>
        <v>Not Available</v>
      </c>
      <c r="T85" s="189" t="str">
        <f t="shared" si="19"/>
        <v>#VALUE!</v>
      </c>
      <c r="U85" s="52" t="str">
        <f t="shared" si="20"/>
        <v>#VALUE!</v>
      </c>
      <c r="V85" s="190"/>
      <c r="W85" s="190"/>
      <c r="X85" s="190"/>
      <c r="Y85" s="56"/>
    </row>
    <row r="86">
      <c r="A86" s="35" t="s">
        <v>130</v>
      </c>
      <c r="B86" s="37">
        <v>46153.0</v>
      </c>
      <c r="C86" s="37"/>
      <c r="D86" s="37">
        <v>46177.0</v>
      </c>
      <c r="E86" s="38">
        <v>46211.0</v>
      </c>
      <c r="F86" s="130"/>
      <c r="G86" s="130"/>
      <c r="H86" s="130"/>
      <c r="I86" s="130"/>
      <c r="J86" s="130"/>
      <c r="K86" s="130"/>
      <c r="L86" s="130">
        <f>IFERROR(__xludf.DUMMYFUNCTION("IF(OR(A86="""",D86=""""),"""",IFERROR(LET(data,GOOGLEFINANCE(""NSE:""&amp;UPPER(TRIM(A86)),""close"",D86-3,D86,""DAILY""),INDEX(data,ROWS(data),2)),""Not Available""))"),535.05)</f>
        <v>535.05</v>
      </c>
      <c r="M86" s="131">
        <f>IFERROR(__xludf.DUMMYFUNCTION("IF(A86="""","""",IFERROR(GOOGLEFINANCE(""NSE:""&amp;UPPER(TRIM(A86)),""price""),""Not Available""))"),809.6)</f>
        <v>809.6</v>
      </c>
      <c r="N86" s="132">
        <f t="shared" si="16"/>
        <v>0.5131296141</v>
      </c>
      <c r="O86" s="133">
        <f t="shared" si="17"/>
        <v>51312.96141</v>
      </c>
      <c r="P86" s="47">
        <f>IFERROR(__xludf.DUMMYFUNCTION("IF(OR(A86="""",Q86=""""),"""",IFERROR(LET(data,GOOGLEFINANCE(""NSE:""&amp;UPPER(TRIM(A86)),""close"",Q86-3,Q86,""DAILY""),INDEX(data,ROWS(data),2)),""Not Available""))"),520.9)</f>
        <v>520.9</v>
      </c>
      <c r="Q86" s="49">
        <v>46195.0</v>
      </c>
      <c r="R86" s="188">
        <f t="shared" si="18"/>
        <v>0.5542330582</v>
      </c>
      <c r="S86" s="51" t="str">
        <f>IFERROR(__xludf.DUMMYFUNCTION("IF(OR(A86="""",Q86=""""),"""",IFERROR(LET(data,GOOGLEFINANCE(""NSE:""&amp;UPPER(TRIM(A86)),""close"",#REF!-3,#REF!,""DAILY""),INDEX(data,ROWS(data),2)),""Not Available""))"),"Not Available")</f>
        <v>Not Available</v>
      </c>
      <c r="T86" s="189" t="str">
        <f t="shared" si="19"/>
        <v>#VALUE!</v>
      </c>
      <c r="U86" s="52" t="str">
        <f t="shared" si="20"/>
        <v>#VALUE!</v>
      </c>
      <c r="V86" s="190"/>
      <c r="W86" s="190"/>
      <c r="X86" s="190"/>
      <c r="Y86" s="56"/>
    </row>
    <row r="87">
      <c r="A87" s="35" t="s">
        <v>133</v>
      </c>
      <c r="B87" s="37">
        <v>46160.0</v>
      </c>
      <c r="C87" s="37"/>
      <c r="D87" s="37">
        <v>46174.0</v>
      </c>
      <c r="E87" s="38">
        <v>46177.0</v>
      </c>
      <c r="F87" s="130"/>
      <c r="G87" s="130"/>
      <c r="H87" s="130"/>
      <c r="I87" s="130"/>
      <c r="J87" s="130"/>
      <c r="K87" s="130"/>
      <c r="L87" s="130">
        <f>IFERROR(__xludf.DUMMYFUNCTION("IF(OR(A87="""",D87=""""),"""",IFERROR(LET(data,GOOGLEFINANCE(""NSE:""&amp;UPPER(TRIM(A87)),""close"",D87-3,D87,""DAILY""),INDEX(data,ROWS(data),2)),""Not Available""))"),246.77)</f>
        <v>246.77</v>
      </c>
      <c r="M87" s="131">
        <f>IFERROR(__xludf.DUMMYFUNCTION("IF(A87="""","""",IFERROR(GOOGLEFINANCE(""NSE:""&amp;UPPER(TRIM(A87)),""price""),""Not Available""))"),257.55)</f>
        <v>257.55</v>
      </c>
      <c r="N87" s="132">
        <f t="shared" si="16"/>
        <v>0.04368440248</v>
      </c>
      <c r="O87" s="133">
        <f t="shared" si="17"/>
        <v>4368.440248</v>
      </c>
      <c r="P87" s="47">
        <f>IFERROR(__xludf.DUMMYFUNCTION("IF(OR(A87="""",E87=""""),"""",IFERROR(LET(data,GOOGLEFINANCE(""NSE:""&amp;UPPER(TRIM(A87)),""close"",E87-3,E87,""DAILY""),INDEX(data,ROWS(data),2)),""Not Available""))"),252.67)</f>
        <v>252.67</v>
      </c>
      <c r="Q87" s="51"/>
      <c r="R87" s="188">
        <f t="shared" si="18"/>
        <v>0.01931372937</v>
      </c>
      <c r="S87" s="51" t="str">
        <f>IFERROR(__xludf.DUMMYFUNCTION("IF(OR(A87="""",E87=""""),"""",IFERROR(LET(data,GOOGLEFINANCE(""NSE:""&amp;UPPER(TRIM(A87)),""close"",Q87-3,Q87,""DAILY""),INDEX(data,ROWS(data),2)),""Not Available""))"),"Not Available")</f>
        <v>Not Available</v>
      </c>
      <c r="T87" s="189" t="str">
        <f t="shared" si="19"/>
        <v>#VALUE!</v>
      </c>
      <c r="U87" s="52" t="str">
        <f t="shared" si="20"/>
        <v>#VALUE!</v>
      </c>
      <c r="V87" s="190"/>
      <c r="W87" s="190"/>
      <c r="X87" s="190"/>
      <c r="Y87" s="56"/>
    </row>
    <row r="88">
      <c r="A88" s="35" t="s">
        <v>134</v>
      </c>
      <c r="B88" s="37">
        <v>46197.0</v>
      </c>
      <c r="C88" s="37"/>
      <c r="D88" s="37">
        <v>46223.0</v>
      </c>
      <c r="E88" s="199"/>
      <c r="F88" s="130"/>
      <c r="G88" s="130"/>
      <c r="H88" s="130"/>
      <c r="I88" s="130"/>
      <c r="J88" s="130"/>
      <c r="K88" s="130"/>
      <c r="L88" s="130">
        <f>IFERROR(__xludf.DUMMYFUNCTION("IF(OR(A88="""",D88=""""),"""",IFERROR(LET(data,GOOGLEFINANCE(""NSE:""&amp;UPPER(TRIM(A88)),""close"",D88-3,D88,""DAILY""),INDEX(data,ROWS(data),2)),""Not Available""))"),287.25)</f>
        <v>287.25</v>
      </c>
      <c r="M88" s="131">
        <f>IFERROR(__xludf.DUMMYFUNCTION("IF(A88="""","""",IFERROR(GOOGLEFINANCE(""NSE:""&amp;UPPER(TRIM(A88)),""price""),""Not Available""))"),358.75)</f>
        <v>358.75</v>
      </c>
      <c r="N88" s="132">
        <f t="shared" si="16"/>
        <v>0.2489120975</v>
      </c>
      <c r="O88" s="133">
        <f t="shared" si="17"/>
        <v>24891.20975</v>
      </c>
      <c r="P88" s="47" t="str">
        <f>IFERROR(__xludf.DUMMYFUNCTION("IF(OR(A88="""",E88=""""),"""",IFERROR(LET(data,GOOGLEFINANCE(""NSE:""&amp;UPPER(TRIM(A88)),""close"",E88-3,E88,""DAILY""),INDEX(data,ROWS(data),2)),""Not Available""))"),"")</f>
        <v/>
      </c>
      <c r="Q88" s="51"/>
      <c r="R88" s="188" t="str">
        <f t="shared" si="18"/>
        <v>#DIV/0!</v>
      </c>
      <c r="S88" s="51" t="str">
        <f>IFERROR(__xludf.DUMMYFUNCTION("IF(OR(A88="""",E88=""""),"""",IFERROR(LET(data,GOOGLEFINANCE(""NSE:""&amp;UPPER(TRIM(A88)),""close"",Q88-3,Q88,""DAILY""),INDEX(data,ROWS(data),2)),""Not Available""))"),"")</f>
        <v/>
      </c>
      <c r="T88" s="189">
        <f t="shared" si="19"/>
        <v>-1</v>
      </c>
      <c r="U88" s="52">
        <f t="shared" si="20"/>
        <v>-100000</v>
      </c>
      <c r="V88" s="190"/>
      <c r="W88" s="190"/>
      <c r="X88" s="190"/>
      <c r="Y88" s="56"/>
    </row>
    <row r="89">
      <c r="A89" s="35" t="s">
        <v>142</v>
      </c>
      <c r="B89" s="37">
        <v>46189.0</v>
      </c>
      <c r="C89" s="37"/>
      <c r="D89" s="37">
        <v>46210.0</v>
      </c>
      <c r="E89" s="38">
        <v>46213.0</v>
      </c>
      <c r="F89" s="130"/>
      <c r="G89" s="130"/>
      <c r="H89" s="130"/>
      <c r="I89" s="130"/>
      <c r="J89" s="130"/>
      <c r="K89" s="130"/>
      <c r="L89" s="130">
        <f>IFERROR(__xludf.DUMMYFUNCTION("IF(OR(A89="""",D89=""""),"""",IFERROR(LET(data,GOOGLEFINANCE(""NSE:""&amp;UPPER(TRIM(A89)),""close"",D89-3,D89,""DAILY""),INDEX(data,ROWS(data),2)),""Not Available""))"),1418.5)</f>
        <v>1418.5</v>
      </c>
      <c r="M89" s="131">
        <f>IFERROR(__xludf.DUMMYFUNCTION("IF(A89="""","""",IFERROR(GOOGLEFINANCE(""NSE:""&amp;UPPER(TRIM(A89)),""price""),""Not Available""))"),1655.8)</f>
        <v>1655.8</v>
      </c>
      <c r="N89" s="132">
        <f t="shared" si="16"/>
        <v>0.1672893902</v>
      </c>
      <c r="O89" s="133">
        <f t="shared" si="17"/>
        <v>16728.93902</v>
      </c>
      <c r="P89" s="47">
        <f>IFERROR(__xludf.DUMMYFUNCTION("IF(OR(A89="""",E89=""""),"""",IFERROR(LET(data,GOOGLEFINANCE(""NSE:""&amp;UPPER(TRIM(A89)),""close"",E89-3,E89,""DAILY""),INDEX(data,ROWS(data),2)),""Not Available""))"),1485.7)</f>
        <v>1485.7</v>
      </c>
      <c r="Q89" s="51"/>
      <c r="R89" s="188">
        <f t="shared" si="18"/>
        <v>0.1144914855</v>
      </c>
      <c r="S89" s="51" t="str">
        <f>IFERROR(__xludf.DUMMYFUNCTION("IF(OR(A89="""",E89=""""),"""",IFERROR(LET(data,GOOGLEFINANCE(""NSE:""&amp;UPPER(TRIM(A89)),""close"",Q89-3,Q89,""DAILY""),INDEX(data,ROWS(data),2)),""Not Available""))"),"Not Available")</f>
        <v>Not Available</v>
      </c>
      <c r="T89" s="189" t="str">
        <f t="shared" si="19"/>
        <v>#VALUE!</v>
      </c>
      <c r="U89" s="52" t="str">
        <f t="shared" si="20"/>
        <v>#VALUE!</v>
      </c>
      <c r="V89" s="190"/>
      <c r="W89" s="190"/>
      <c r="X89" s="190"/>
      <c r="Y89" s="56"/>
    </row>
    <row r="90">
      <c r="A90" s="35" t="s">
        <v>144</v>
      </c>
      <c r="B90" s="37">
        <v>46191.0</v>
      </c>
      <c r="C90" s="37"/>
      <c r="D90" s="37">
        <v>46213.0</v>
      </c>
      <c r="E90" s="38">
        <v>46217.0</v>
      </c>
      <c r="F90" s="130"/>
      <c r="G90" s="130"/>
      <c r="H90" s="130"/>
      <c r="I90" s="130"/>
      <c r="J90" s="130"/>
      <c r="K90" s="130"/>
      <c r="L90" s="130">
        <f>IFERROR(__xludf.DUMMYFUNCTION("IF(OR(A90="""",D90=""""),"""",IFERROR(LET(data,GOOGLEFINANCE(""NSE:""&amp;UPPER(TRIM(A90)),""close"",D90-3,D90,""DAILY""),INDEX(data,ROWS(data),2)),""Not Available""))"),296.15)</f>
        <v>296.15</v>
      </c>
      <c r="M90" s="131">
        <f>IFERROR(__xludf.DUMMYFUNCTION("IF(A90="""","""",IFERROR(GOOGLEFINANCE(""NSE:""&amp;UPPER(TRIM(A90)),""price""),""Not Available""))"),346.4)</f>
        <v>346.4</v>
      </c>
      <c r="N90" s="132">
        <f t="shared" si="16"/>
        <v>0.1696775283</v>
      </c>
      <c r="O90" s="133">
        <f t="shared" si="17"/>
        <v>16967.75283</v>
      </c>
      <c r="P90" s="47">
        <f>IFERROR(__xludf.DUMMYFUNCTION("IF(OR(A90="""",E90=""""),"""",IFERROR(LET(data,GOOGLEFINANCE(""NSE:""&amp;UPPER(TRIM(A90)),""close"",E90-3,E90,""DAILY""),INDEX(data,ROWS(data),2)),""Not Available""))"),313.0)</f>
        <v>313</v>
      </c>
      <c r="Q90" s="51"/>
      <c r="R90" s="188">
        <f t="shared" si="18"/>
        <v>0.1067092652</v>
      </c>
      <c r="S90" s="51" t="str">
        <f>IFERROR(__xludf.DUMMYFUNCTION("IF(OR(A90="""",E90=""""),"""",IFERROR(LET(data,GOOGLEFINANCE(""NSE:""&amp;UPPER(TRIM(A90)),""close"",Q90-3,Q90,""DAILY""),INDEX(data,ROWS(data),2)),""Not Available""))"),"Not Available")</f>
        <v>Not Available</v>
      </c>
      <c r="T90" s="189" t="str">
        <f t="shared" si="19"/>
        <v>#VALUE!</v>
      </c>
      <c r="U90" s="52" t="str">
        <f t="shared" si="20"/>
        <v>#VALUE!</v>
      </c>
      <c r="V90" s="190"/>
      <c r="W90" s="190"/>
      <c r="X90" s="190"/>
      <c r="Y90" s="56"/>
    </row>
    <row r="91">
      <c r="A91" s="197" t="s">
        <v>146</v>
      </c>
      <c r="B91" s="37">
        <v>46169.0</v>
      </c>
      <c r="C91" s="37"/>
      <c r="D91" s="37">
        <v>46191.0</v>
      </c>
      <c r="E91" s="38">
        <v>46195.0</v>
      </c>
      <c r="F91" s="130"/>
      <c r="G91" s="130"/>
      <c r="H91" s="130"/>
      <c r="I91" s="130"/>
      <c r="J91" s="130"/>
      <c r="K91" s="130"/>
      <c r="L91" s="130">
        <f>IFERROR(__xludf.DUMMYFUNCTION("IF(OR(A91="""",D91=""""),"""",IFERROR(LET(data,GOOGLEFINANCE(""NSE:""&amp;UPPER(TRIM(A91)),""close"",D91-3,D91,""DAILY""),INDEX(data,ROWS(data),2)),""Not Available""))"),203.07)</f>
        <v>203.07</v>
      </c>
      <c r="M91" s="131">
        <f>IFERROR(__xludf.DUMMYFUNCTION("IF(A91="""","""",IFERROR(GOOGLEFINANCE(""NSE:""&amp;UPPER(TRIM(A91)),""price""),""Not Available""))"),242.61)</f>
        <v>242.61</v>
      </c>
      <c r="N91" s="132">
        <f t="shared" si="16"/>
        <v>0.1947111833</v>
      </c>
      <c r="O91" s="133">
        <f t="shared" si="17"/>
        <v>19471.11833</v>
      </c>
      <c r="P91" s="47">
        <f>IFERROR(__xludf.DUMMYFUNCTION("IF(OR(A91="""",E91=""""),"""",IFERROR(LET(data,GOOGLEFINANCE(""NSE:""&amp;UPPER(TRIM(A91)),""close"",E91-3,E91,""DAILY""),INDEX(data,ROWS(data),2)),""Not Available""))"),236.86)</f>
        <v>236.86</v>
      </c>
      <c r="Q91" s="51"/>
      <c r="R91" s="188">
        <f t="shared" si="18"/>
        <v>0.0242759436</v>
      </c>
      <c r="S91" s="51" t="str">
        <f>IFERROR(__xludf.DUMMYFUNCTION("IF(OR(A91="""",E91=""""),"""",IFERROR(LET(data,GOOGLEFINANCE(""NSE:""&amp;UPPER(TRIM(A91)),""close"",Q91-3,Q91,""DAILY""),INDEX(data,ROWS(data),2)),""Not Available""))"),"Not Available")</f>
        <v>Not Available</v>
      </c>
      <c r="T91" s="189" t="str">
        <f t="shared" si="19"/>
        <v>#VALUE!</v>
      </c>
      <c r="U91" s="52" t="str">
        <f t="shared" si="20"/>
        <v>#VALUE!</v>
      </c>
      <c r="V91" s="190"/>
      <c r="W91" s="190"/>
      <c r="X91" s="190"/>
      <c r="Y91" s="56"/>
    </row>
    <row r="92">
      <c r="A92" s="35" t="s">
        <v>148</v>
      </c>
      <c r="B92" s="37">
        <v>46164.0</v>
      </c>
      <c r="C92" s="37"/>
      <c r="D92" s="37">
        <v>46192.0</v>
      </c>
      <c r="E92" s="38">
        <v>46197.0</v>
      </c>
      <c r="F92" s="130"/>
      <c r="G92" s="130"/>
      <c r="H92" s="130"/>
      <c r="I92" s="130"/>
      <c r="J92" s="130"/>
      <c r="K92" s="130"/>
      <c r="L92" s="130">
        <f>IFERROR(__xludf.DUMMYFUNCTION("IF(OR(A92="""",D92=""""),"""",IFERROR(LET(data,GOOGLEFINANCE(""NSE:""&amp;UPPER(TRIM(A92)),""close"",D92-3,D92,""DAILY""),INDEX(data,ROWS(data),2)),""Not Available""))"),1162.3)</f>
        <v>1162.3</v>
      </c>
      <c r="M92" s="131">
        <f>IFERROR(__xludf.DUMMYFUNCTION("IF(A92="""","""",IFERROR(GOOGLEFINANCE(""NSE:""&amp;UPPER(TRIM(A92)),""price""),""Not Available""))"),1639.5)</f>
        <v>1639.5</v>
      </c>
      <c r="N92" s="132">
        <f t="shared" si="16"/>
        <v>0.4105652585</v>
      </c>
      <c r="O92" s="133">
        <f t="shared" si="17"/>
        <v>41056.52585</v>
      </c>
      <c r="P92" s="47">
        <f>IFERROR(__xludf.DUMMYFUNCTION("IF(OR(A92="""",E92=""""),"""",IFERROR(LET(data,GOOGLEFINANCE(""NSE:""&amp;UPPER(TRIM(A92)),""close"",E92-3,E92,""DAILY""),INDEX(data,ROWS(data),2)),""Not Available""))"),1357.2)</f>
        <v>1357.2</v>
      </c>
      <c r="Q92" s="49">
        <v>46218.0</v>
      </c>
      <c r="R92" s="188">
        <f t="shared" si="18"/>
        <v>0.2080017683</v>
      </c>
      <c r="S92" s="51">
        <f>IFERROR(__xludf.DUMMYFUNCTION("IF(OR(A92="""",E92=""""),"""",IFERROR(LET(data,GOOGLEFINANCE(""NSE:""&amp;UPPER(TRIM(A92)),""close"",Q92-3,Q92,""DAILY""),INDEX(data,ROWS(data),2)),""Not Available""))"),1477.2)</f>
        <v>1477.2</v>
      </c>
      <c r="T92" s="189">
        <f t="shared" si="19"/>
        <v>0.2709283318</v>
      </c>
      <c r="U92" s="52">
        <f t="shared" si="20"/>
        <v>27092.83318</v>
      </c>
      <c r="V92" s="190"/>
      <c r="W92" s="190"/>
      <c r="X92" s="190"/>
      <c r="Y92" s="56"/>
    </row>
    <row r="93">
      <c r="A93" s="91" t="s">
        <v>322</v>
      </c>
      <c r="B93" s="67"/>
      <c r="C93" s="67"/>
      <c r="D93" s="67"/>
      <c r="E93" s="70"/>
      <c r="F93" s="136"/>
      <c r="G93" s="136"/>
      <c r="H93" s="136"/>
      <c r="I93" s="136"/>
      <c r="J93" s="136"/>
      <c r="K93" s="136"/>
      <c r="L93" s="136"/>
      <c r="M93" s="137"/>
      <c r="N93" s="138"/>
      <c r="O93" s="140">
        <f>sum(O64:O92)</f>
        <v>497895.1844</v>
      </c>
      <c r="P93" s="76"/>
      <c r="Q93" s="78"/>
      <c r="R93" s="79"/>
      <c r="S93" s="80"/>
      <c r="T93" s="79"/>
      <c r="U93" s="81"/>
      <c r="V93" s="191"/>
      <c r="W93" s="191"/>
      <c r="X93" s="191"/>
      <c r="Y93" s="84"/>
      <c r="Z93" s="63"/>
      <c r="AA93" s="63"/>
      <c r="AB93" s="63"/>
      <c r="AC93" s="63"/>
      <c r="AD93" s="63"/>
      <c r="AE93" s="63"/>
      <c r="AF93" s="63"/>
      <c r="AG93" s="63"/>
      <c r="AH93" s="63"/>
    </row>
    <row r="94">
      <c r="A94" s="35" t="s">
        <v>150</v>
      </c>
      <c r="B94" s="130"/>
      <c r="C94" s="130"/>
      <c r="D94" s="130"/>
      <c r="E94" s="199"/>
      <c r="F94" s="130"/>
      <c r="G94" s="130"/>
      <c r="H94" s="130"/>
      <c r="I94" s="130"/>
      <c r="J94" s="130"/>
      <c r="K94" s="130"/>
      <c r="L94" s="130" t="str">
        <f>IFERROR(__xludf.DUMMYFUNCTION("IF(OR(A94="""",D94=""""),"""",IFERROR(LET(data,GOOGLEFINANCE(""NSE:""&amp;UPPER(TRIM(A94)),""close"",D94-3,D94,""DAILY""),INDEX(data,ROWS(data),2)),""Not Available""))"),"")</f>
        <v/>
      </c>
      <c r="M94" s="131">
        <f>IFERROR(__xludf.DUMMYFUNCTION("IF(A94="""","""",IFERROR(GOOGLEFINANCE(""NSE:""&amp;UPPER(TRIM(A94)),""price""),""Not Available""))"),816.15)</f>
        <v>816.15</v>
      </c>
      <c r="N94" s="132" t="str">
        <f t="shared" ref="N94:N291" si="21">(M94-L94)/L94</f>
        <v>#DIV/0!</v>
      </c>
      <c r="O94" s="133" t="str">
        <f t="shared" ref="O94:O291" si="22">(100000 * (1+N94)-100000)</f>
        <v>#DIV/0!</v>
      </c>
      <c r="P94" s="47" t="str">
        <f>IFERROR(__xludf.DUMMYFUNCTION("IF(OR(A94="""",E94=""""),"""",IFERROR(LET(data,GOOGLEFINANCE(""NSE:""&amp;UPPER(TRIM(A94)),""close"",E94-3,E94,""DAILY""),INDEX(data,ROWS(data),2)),""Not Available""))"),"")</f>
        <v/>
      </c>
      <c r="Q94" s="51"/>
      <c r="R94" s="188" t="str">
        <f t="shared" ref="R94:R291" si="23">(M94-P94)/P94</f>
        <v>#DIV/0!</v>
      </c>
      <c r="S94" s="51" t="str">
        <f>IFERROR(__xludf.DUMMYFUNCTION("IF(OR(A94="""",E94=""""),"""",IFERROR(LET(data,GOOGLEFINANCE(""NSE:""&amp;UPPER(TRIM(A94)),""close"",Q94-3,Q94,""DAILY""),INDEX(data,ROWS(data),2)),""Not Available""))"),"")</f>
        <v/>
      </c>
      <c r="T94" s="189" t="str">
        <f t="shared" ref="T94:T291" si="24">(S94-L94)/L94</f>
        <v>#DIV/0!</v>
      </c>
      <c r="U94" s="52" t="str">
        <f t="shared" ref="U94:U291" si="25">(100000 * (1+T94)-100000)</f>
        <v>#DIV/0!</v>
      </c>
      <c r="V94" s="190"/>
      <c r="W94" s="190"/>
      <c r="X94" s="190"/>
      <c r="Y94" s="56"/>
    </row>
    <row r="95">
      <c r="A95" s="35" t="s">
        <v>152</v>
      </c>
      <c r="B95" s="130"/>
      <c r="C95" s="130"/>
      <c r="D95" s="130"/>
      <c r="E95" s="199"/>
      <c r="F95" s="130"/>
      <c r="G95" s="130"/>
      <c r="H95" s="130"/>
      <c r="I95" s="130"/>
      <c r="J95" s="130"/>
      <c r="K95" s="130"/>
      <c r="L95" s="130" t="str">
        <f>IFERROR(__xludf.DUMMYFUNCTION("IF(OR(A95="""",D95=""""),"""",IFERROR(LET(data,GOOGLEFINANCE(""NSE:""&amp;UPPER(TRIM(A95)),""close"",D95-3,D95,""DAILY""),INDEX(data,ROWS(data),2)),""Not Available""))"),"")</f>
        <v/>
      </c>
      <c r="M95" s="131">
        <f>IFERROR(__xludf.DUMMYFUNCTION("IF(A95="""","""",IFERROR(GOOGLEFINANCE(""NSE:""&amp;UPPER(TRIM(A95)),""price""),""Not Available""))"),124.57)</f>
        <v>124.57</v>
      </c>
      <c r="N95" s="132" t="str">
        <f t="shared" si="21"/>
        <v>#DIV/0!</v>
      </c>
      <c r="O95" s="133" t="str">
        <f t="shared" si="22"/>
        <v>#DIV/0!</v>
      </c>
      <c r="P95" s="47" t="str">
        <f>IFERROR(__xludf.DUMMYFUNCTION("IF(OR(A95="""",E95=""""),"""",IFERROR(LET(data,GOOGLEFINANCE(""NSE:""&amp;UPPER(TRIM(A95)),""close"",E95-3,E95,""DAILY""),INDEX(data,ROWS(data),2)),""Not Available""))"),"")</f>
        <v/>
      </c>
      <c r="Q95" s="51"/>
      <c r="R95" s="188" t="str">
        <f t="shared" si="23"/>
        <v>#DIV/0!</v>
      </c>
      <c r="S95" s="51" t="str">
        <f>IFERROR(__xludf.DUMMYFUNCTION("IF(OR(A95="""",E95=""""),"""",IFERROR(LET(data,GOOGLEFINANCE(""NSE:""&amp;UPPER(TRIM(A95)),""close"",Q95-3,Q95,""DAILY""),INDEX(data,ROWS(data),2)),""Not Available""))"),"")</f>
        <v/>
      </c>
      <c r="T95" s="189" t="str">
        <f t="shared" si="24"/>
        <v>#DIV/0!</v>
      </c>
      <c r="U95" s="52" t="str">
        <f t="shared" si="25"/>
        <v>#DIV/0!</v>
      </c>
      <c r="V95" s="190"/>
      <c r="W95" s="190"/>
      <c r="X95" s="190"/>
      <c r="Y95" s="56"/>
    </row>
    <row r="96">
      <c r="A96" s="35" t="s">
        <v>154</v>
      </c>
      <c r="B96" s="130"/>
      <c r="C96" s="130"/>
      <c r="D96" s="130"/>
      <c r="E96" s="199"/>
      <c r="F96" s="130"/>
      <c r="G96" s="130"/>
      <c r="H96" s="130"/>
      <c r="I96" s="130"/>
      <c r="J96" s="130"/>
      <c r="K96" s="130"/>
      <c r="L96" s="130" t="str">
        <f>IFERROR(__xludf.DUMMYFUNCTION("IF(OR(A96="""",D96=""""),"""",IFERROR(LET(data,GOOGLEFINANCE(""NSE:""&amp;UPPER(TRIM(A96)),""close"",D96-3,D96,""DAILY""),INDEX(data,ROWS(data),2)),""Not Available""))"),"")</f>
        <v/>
      </c>
      <c r="M96" s="131">
        <f>IFERROR(__xludf.DUMMYFUNCTION("IF(A96="""","""",IFERROR(GOOGLEFINANCE(""NSE:""&amp;UPPER(TRIM(A96)),""price""),""Not Available""))"),152.01)</f>
        <v>152.01</v>
      </c>
      <c r="N96" s="132" t="str">
        <f t="shared" si="21"/>
        <v>#DIV/0!</v>
      </c>
      <c r="O96" s="133" t="str">
        <f t="shared" si="22"/>
        <v>#DIV/0!</v>
      </c>
      <c r="P96" s="47" t="str">
        <f>IFERROR(__xludf.DUMMYFUNCTION("IF(OR(A96="""",E96=""""),"""",IFERROR(LET(data,GOOGLEFINANCE(""NSE:""&amp;UPPER(TRIM(A96)),""close"",E96-3,E96,""DAILY""),INDEX(data,ROWS(data),2)),""Not Available""))"),"")</f>
        <v/>
      </c>
      <c r="Q96" s="51"/>
      <c r="R96" s="188" t="str">
        <f t="shared" si="23"/>
        <v>#DIV/0!</v>
      </c>
      <c r="S96" s="51" t="str">
        <f>IFERROR(__xludf.DUMMYFUNCTION("IF(OR(A96="""",E96=""""),"""",IFERROR(LET(data,GOOGLEFINANCE(""NSE:""&amp;UPPER(TRIM(A96)),""close"",Q96-3,Q96,""DAILY""),INDEX(data,ROWS(data),2)),""Not Available""))"),"")</f>
        <v/>
      </c>
      <c r="T96" s="189" t="str">
        <f t="shared" si="24"/>
        <v>#DIV/0!</v>
      </c>
      <c r="U96" s="52" t="str">
        <f t="shared" si="25"/>
        <v>#DIV/0!</v>
      </c>
      <c r="V96" s="190"/>
      <c r="W96" s="190"/>
      <c r="X96" s="190"/>
      <c r="Y96" s="56"/>
    </row>
    <row r="97">
      <c r="A97" s="35" t="s">
        <v>158</v>
      </c>
      <c r="B97" s="130"/>
      <c r="C97" s="130"/>
      <c r="D97" s="130"/>
      <c r="E97" s="199"/>
      <c r="F97" s="130"/>
      <c r="G97" s="130"/>
      <c r="H97" s="130"/>
      <c r="I97" s="130"/>
      <c r="J97" s="130"/>
      <c r="K97" s="130"/>
      <c r="L97" s="130" t="str">
        <f>IFERROR(__xludf.DUMMYFUNCTION("IF(OR(A97="""",D97=""""),"""",IFERROR(LET(data,GOOGLEFINANCE(""NSE:""&amp;UPPER(TRIM(A97)),""close"",D97-3,D97,""DAILY""),INDEX(data,ROWS(data),2)),""Not Available""))"),"")</f>
        <v/>
      </c>
      <c r="M97" s="131">
        <f>IFERROR(__xludf.DUMMYFUNCTION("IF(A97="""","""",IFERROR(GOOGLEFINANCE(""NSE:""&amp;UPPER(TRIM(A97)),""price""),""Not Available""))"),1324.0)</f>
        <v>1324</v>
      </c>
      <c r="N97" s="132" t="str">
        <f t="shared" si="21"/>
        <v>#DIV/0!</v>
      </c>
      <c r="O97" s="133" t="str">
        <f t="shared" si="22"/>
        <v>#DIV/0!</v>
      </c>
      <c r="P97" s="47" t="str">
        <f>IFERROR(__xludf.DUMMYFUNCTION("IF(OR(A97="""",E97=""""),"""",IFERROR(LET(data,GOOGLEFINANCE(""NSE:""&amp;UPPER(TRIM(A97)),""close"",E97-3,E97,""DAILY""),INDEX(data,ROWS(data),2)),""Not Available""))"),"")</f>
        <v/>
      </c>
      <c r="Q97" s="51"/>
      <c r="R97" s="188" t="str">
        <f t="shared" si="23"/>
        <v>#DIV/0!</v>
      </c>
      <c r="S97" s="51" t="str">
        <f>IFERROR(__xludf.DUMMYFUNCTION("IF(OR(A97="""",E97=""""),"""",IFERROR(LET(data,GOOGLEFINANCE(""NSE:""&amp;UPPER(TRIM(A97)),""close"",Q97-3,Q97,""DAILY""),INDEX(data,ROWS(data),2)),""Not Available""))"),"")</f>
        <v/>
      </c>
      <c r="T97" s="189" t="str">
        <f t="shared" si="24"/>
        <v>#DIV/0!</v>
      </c>
      <c r="U97" s="52" t="str">
        <f t="shared" si="25"/>
        <v>#DIV/0!</v>
      </c>
      <c r="V97" s="190"/>
      <c r="W97" s="190"/>
      <c r="X97" s="190"/>
      <c r="Y97" s="56"/>
    </row>
    <row r="98">
      <c r="A98" s="35" t="s">
        <v>161</v>
      </c>
      <c r="B98" s="130"/>
      <c r="C98" s="130"/>
      <c r="D98" s="130"/>
      <c r="E98" s="199"/>
      <c r="F98" s="130"/>
      <c r="G98" s="130"/>
      <c r="H98" s="130"/>
      <c r="I98" s="130"/>
      <c r="J98" s="130"/>
      <c r="K98" s="130"/>
      <c r="L98" s="130" t="str">
        <f>IFERROR(__xludf.DUMMYFUNCTION("IF(OR(A98="""",D98=""""),"""",IFERROR(LET(data,GOOGLEFINANCE(""NSE:""&amp;UPPER(TRIM(A98)),""close"",D98-3,D98,""DAILY""),INDEX(data,ROWS(data),2)),""Not Available""))"),"")</f>
        <v/>
      </c>
      <c r="M98" s="131">
        <f>IFERROR(__xludf.DUMMYFUNCTION("IF(A98="""","""",IFERROR(GOOGLEFINANCE(""NSE:""&amp;UPPER(TRIM(A98)),""price""),""Not Available""))"),682.75)</f>
        <v>682.75</v>
      </c>
      <c r="N98" s="132" t="str">
        <f t="shared" si="21"/>
        <v>#DIV/0!</v>
      </c>
      <c r="O98" s="133" t="str">
        <f t="shared" si="22"/>
        <v>#DIV/0!</v>
      </c>
      <c r="P98" s="47" t="str">
        <f>IFERROR(__xludf.DUMMYFUNCTION("IF(OR(A98="""",E98=""""),"""",IFERROR(LET(data,GOOGLEFINANCE(""NSE:""&amp;UPPER(TRIM(A98)),""close"",E98-3,E98,""DAILY""),INDEX(data,ROWS(data),2)),""Not Available""))"),"")</f>
        <v/>
      </c>
      <c r="Q98" s="51"/>
      <c r="R98" s="188" t="str">
        <f t="shared" si="23"/>
        <v>#DIV/0!</v>
      </c>
      <c r="S98" s="51" t="str">
        <f>IFERROR(__xludf.DUMMYFUNCTION("IF(OR(A98="""",E98=""""),"""",IFERROR(LET(data,GOOGLEFINANCE(""NSE:""&amp;UPPER(TRIM(A98)),""close"",Q98-3,Q98,""DAILY""),INDEX(data,ROWS(data),2)),""Not Available""))"),"")</f>
        <v/>
      </c>
      <c r="T98" s="189" t="str">
        <f t="shared" si="24"/>
        <v>#DIV/0!</v>
      </c>
      <c r="U98" s="52" t="str">
        <f t="shared" si="25"/>
        <v>#DIV/0!</v>
      </c>
      <c r="V98" s="190"/>
      <c r="W98" s="190"/>
      <c r="X98" s="190"/>
      <c r="Y98" s="56"/>
    </row>
    <row r="99">
      <c r="A99" s="35" t="s">
        <v>163</v>
      </c>
      <c r="B99" s="130"/>
      <c r="C99" s="130"/>
      <c r="D99" s="130"/>
      <c r="E99" s="199"/>
      <c r="F99" s="130"/>
      <c r="G99" s="130"/>
      <c r="H99" s="130"/>
      <c r="I99" s="130"/>
      <c r="J99" s="130"/>
      <c r="K99" s="130"/>
      <c r="L99" s="130" t="str">
        <f>IFERROR(__xludf.DUMMYFUNCTION("IF(OR(A99="""",D99=""""),"""",IFERROR(LET(data,GOOGLEFINANCE(""NSE:""&amp;UPPER(TRIM(A99)),""close"",D99-3,D99,""DAILY""),INDEX(data,ROWS(data),2)),""Not Available""))"),"")</f>
        <v/>
      </c>
      <c r="M99" s="131">
        <f>IFERROR(__xludf.DUMMYFUNCTION("IF(A99="""","""",IFERROR(GOOGLEFINANCE(""NSE:""&amp;UPPER(TRIM(A99)),""price""),""Not Available""))"),233.74)</f>
        <v>233.74</v>
      </c>
      <c r="N99" s="132" t="str">
        <f t="shared" si="21"/>
        <v>#DIV/0!</v>
      </c>
      <c r="O99" s="133" t="str">
        <f t="shared" si="22"/>
        <v>#DIV/0!</v>
      </c>
      <c r="P99" s="47" t="str">
        <f>IFERROR(__xludf.DUMMYFUNCTION("IF(OR(A99="""",E99=""""),"""",IFERROR(LET(data,GOOGLEFINANCE(""NSE:""&amp;UPPER(TRIM(A99)),""close"",E99-3,E99,""DAILY""),INDEX(data,ROWS(data),2)),""Not Available""))"),"")</f>
        <v/>
      </c>
      <c r="Q99" s="51"/>
      <c r="R99" s="188" t="str">
        <f t="shared" si="23"/>
        <v>#DIV/0!</v>
      </c>
      <c r="S99" s="51" t="str">
        <f>IFERROR(__xludf.DUMMYFUNCTION("IF(OR(A99="""",E99=""""),"""",IFERROR(LET(data,GOOGLEFINANCE(""NSE:""&amp;UPPER(TRIM(A99)),""close"",Q99-3,Q99,""DAILY""),INDEX(data,ROWS(data),2)),""Not Available""))"),"")</f>
        <v/>
      </c>
      <c r="T99" s="189" t="str">
        <f t="shared" si="24"/>
        <v>#DIV/0!</v>
      </c>
      <c r="U99" s="52" t="str">
        <f t="shared" si="25"/>
        <v>#DIV/0!</v>
      </c>
      <c r="V99" s="190"/>
      <c r="W99" s="190"/>
      <c r="X99" s="190"/>
      <c r="Y99" s="56"/>
    </row>
    <row r="100">
      <c r="A100" s="35" t="s">
        <v>164</v>
      </c>
      <c r="B100" s="130"/>
      <c r="C100" s="130"/>
      <c r="D100" s="130"/>
      <c r="E100" s="199"/>
      <c r="F100" s="130"/>
      <c r="G100" s="130"/>
      <c r="H100" s="130"/>
      <c r="I100" s="130"/>
      <c r="J100" s="130"/>
      <c r="K100" s="130"/>
      <c r="L100" s="130" t="str">
        <f>IFERROR(__xludf.DUMMYFUNCTION("IF(OR(A100="""",D100=""""),"""",IFERROR(LET(data,GOOGLEFINANCE(""NSE:""&amp;UPPER(TRIM(A100)),""close"",D100-3,D100,""DAILY""),INDEX(data,ROWS(data),2)),""Not Available""))"),"")</f>
        <v/>
      </c>
      <c r="M100" s="131">
        <f>IFERROR(__xludf.DUMMYFUNCTION("IF(A100="""","""",IFERROR(GOOGLEFINANCE(""NSE:""&amp;UPPER(TRIM(A100)),""price""),""Not Available""))"),494.45)</f>
        <v>494.45</v>
      </c>
      <c r="N100" s="132" t="str">
        <f t="shared" si="21"/>
        <v>#DIV/0!</v>
      </c>
      <c r="O100" s="133" t="str">
        <f t="shared" si="22"/>
        <v>#DIV/0!</v>
      </c>
      <c r="P100" s="47" t="str">
        <f>IFERROR(__xludf.DUMMYFUNCTION("IF(OR(A100="""",E100=""""),"""",IFERROR(LET(data,GOOGLEFINANCE(""NSE:""&amp;UPPER(TRIM(A100)),""close"",E100-3,E100,""DAILY""),INDEX(data,ROWS(data),2)),""Not Available""))"),"")</f>
        <v/>
      </c>
      <c r="Q100" s="51"/>
      <c r="R100" s="188" t="str">
        <f t="shared" si="23"/>
        <v>#DIV/0!</v>
      </c>
      <c r="S100" s="51" t="str">
        <f>IFERROR(__xludf.DUMMYFUNCTION("IF(OR(A100="""",E100=""""),"""",IFERROR(LET(data,GOOGLEFINANCE(""NSE:""&amp;UPPER(TRIM(A100)),""close"",Q100-3,Q100,""DAILY""),INDEX(data,ROWS(data),2)),""Not Available""))"),"")</f>
        <v/>
      </c>
      <c r="T100" s="189" t="str">
        <f t="shared" si="24"/>
        <v>#DIV/0!</v>
      </c>
      <c r="U100" s="52" t="str">
        <f t="shared" si="25"/>
        <v>#DIV/0!</v>
      </c>
      <c r="V100" s="190"/>
      <c r="W100" s="190"/>
      <c r="X100" s="190"/>
      <c r="Y100" s="56"/>
    </row>
    <row r="101">
      <c r="A101" s="35" t="s">
        <v>167</v>
      </c>
      <c r="B101" s="130"/>
      <c r="C101" s="130"/>
      <c r="D101" s="130"/>
      <c r="E101" s="199"/>
      <c r="F101" s="130"/>
      <c r="G101" s="130"/>
      <c r="H101" s="130"/>
      <c r="I101" s="130"/>
      <c r="J101" s="130"/>
      <c r="K101" s="130"/>
      <c r="L101" s="130" t="str">
        <f>IFERROR(__xludf.DUMMYFUNCTION("IF(OR(A101="""",D101=""""),"""",IFERROR(LET(data,GOOGLEFINANCE(""NSE:""&amp;UPPER(TRIM(A101)),""close"",D101-3,D101,""DAILY""),INDEX(data,ROWS(data),2)),""Not Available""))"),"")</f>
        <v/>
      </c>
      <c r="M101" s="131">
        <f>IFERROR(__xludf.DUMMYFUNCTION("IF(A101="""","""",IFERROR(GOOGLEFINANCE(""NSE:""&amp;UPPER(TRIM(A101)),""price""),""Not Available""))"),470.7)</f>
        <v>470.7</v>
      </c>
      <c r="N101" s="132" t="str">
        <f t="shared" si="21"/>
        <v>#DIV/0!</v>
      </c>
      <c r="O101" s="133" t="str">
        <f t="shared" si="22"/>
        <v>#DIV/0!</v>
      </c>
      <c r="P101" s="47" t="str">
        <f>IFERROR(__xludf.DUMMYFUNCTION("IF(OR(A101="""",E101=""""),"""",IFERROR(LET(data,GOOGLEFINANCE(""NSE:""&amp;UPPER(TRIM(A101)),""close"",E101-3,E101,""DAILY""),INDEX(data,ROWS(data),2)),""Not Available""))"),"")</f>
        <v/>
      </c>
      <c r="Q101" s="51"/>
      <c r="R101" s="188" t="str">
        <f t="shared" si="23"/>
        <v>#DIV/0!</v>
      </c>
      <c r="S101" s="51" t="str">
        <f>IFERROR(__xludf.DUMMYFUNCTION("IF(OR(A101="""",E101=""""),"""",IFERROR(LET(data,GOOGLEFINANCE(""NSE:""&amp;UPPER(TRIM(A101)),""close"",Q101-3,Q101,""DAILY""),INDEX(data,ROWS(data),2)),""Not Available""))"),"")</f>
        <v/>
      </c>
      <c r="T101" s="189" t="str">
        <f t="shared" si="24"/>
        <v>#DIV/0!</v>
      </c>
      <c r="U101" s="52" t="str">
        <f t="shared" si="25"/>
        <v>#DIV/0!</v>
      </c>
      <c r="V101" s="190"/>
      <c r="W101" s="190"/>
      <c r="X101" s="190"/>
      <c r="Y101" s="56"/>
    </row>
    <row r="102">
      <c r="A102" s="35" t="s">
        <v>168</v>
      </c>
      <c r="B102" s="130"/>
      <c r="C102" s="130"/>
      <c r="D102" s="130"/>
      <c r="E102" s="199"/>
      <c r="F102" s="130"/>
      <c r="G102" s="130"/>
      <c r="H102" s="130"/>
      <c r="I102" s="130"/>
      <c r="J102" s="130"/>
      <c r="K102" s="130"/>
      <c r="L102" s="130" t="str">
        <f>IFERROR(__xludf.DUMMYFUNCTION("IF(OR(A102="""",D102=""""),"""",IFERROR(LET(data,GOOGLEFINANCE(""NSE:""&amp;UPPER(TRIM(A102)),""close"",D102-3,D102,""DAILY""),INDEX(data,ROWS(data),2)),""Not Available""))"),"")</f>
        <v/>
      </c>
      <c r="M102" s="131">
        <f>IFERROR(__xludf.DUMMYFUNCTION("IF(A102="""","""",IFERROR(GOOGLEFINANCE(""NSE:""&amp;UPPER(TRIM(A102)),""price""),""Not Available""))"),1239.5)</f>
        <v>1239.5</v>
      </c>
      <c r="N102" s="132" t="str">
        <f t="shared" si="21"/>
        <v>#DIV/0!</v>
      </c>
      <c r="O102" s="133" t="str">
        <f t="shared" si="22"/>
        <v>#DIV/0!</v>
      </c>
      <c r="P102" s="47" t="str">
        <f>IFERROR(__xludf.DUMMYFUNCTION("IF(OR(A102="""",E102=""""),"""",IFERROR(LET(data,GOOGLEFINANCE(""NSE:""&amp;UPPER(TRIM(A102)),""close"",E102-3,E102,""DAILY""),INDEX(data,ROWS(data),2)),""Not Available""))"),"")</f>
        <v/>
      </c>
      <c r="Q102" s="51"/>
      <c r="R102" s="188" t="str">
        <f t="shared" si="23"/>
        <v>#DIV/0!</v>
      </c>
      <c r="S102" s="51" t="str">
        <f>IFERROR(__xludf.DUMMYFUNCTION("IF(OR(A102="""",E102=""""),"""",IFERROR(LET(data,GOOGLEFINANCE(""NSE:""&amp;UPPER(TRIM(A102)),""close"",Q102-3,Q102,""DAILY""),INDEX(data,ROWS(data),2)),""Not Available""))"),"")</f>
        <v/>
      </c>
      <c r="T102" s="189" t="str">
        <f t="shared" si="24"/>
        <v>#DIV/0!</v>
      </c>
      <c r="U102" s="52" t="str">
        <f t="shared" si="25"/>
        <v>#DIV/0!</v>
      </c>
      <c r="V102" s="190"/>
      <c r="W102" s="190"/>
      <c r="X102" s="190"/>
      <c r="Y102" s="56"/>
    </row>
    <row r="103">
      <c r="A103" s="35" t="s">
        <v>171</v>
      </c>
      <c r="B103" s="130"/>
      <c r="C103" s="130"/>
      <c r="D103" s="130"/>
      <c r="E103" s="199"/>
      <c r="F103" s="130"/>
      <c r="G103" s="130"/>
      <c r="H103" s="130"/>
      <c r="I103" s="130"/>
      <c r="J103" s="130"/>
      <c r="K103" s="130"/>
      <c r="L103" s="130" t="str">
        <f>IFERROR(__xludf.DUMMYFUNCTION("IF(OR(A103="""",D103=""""),"""",IFERROR(LET(data,GOOGLEFINANCE(""NSE:""&amp;UPPER(TRIM(A103)),""close"",D103-3,D103,""DAILY""),INDEX(data,ROWS(data),2)),""Not Available""))"),"")</f>
        <v/>
      </c>
      <c r="M103" s="131">
        <f>IFERROR(__xludf.DUMMYFUNCTION("IF(A103="""","""",IFERROR(GOOGLEFINANCE(""NSE:""&amp;UPPER(TRIM(A103)),""price""),""Not Available""))"),50.0)</f>
        <v>50</v>
      </c>
      <c r="N103" s="132" t="str">
        <f t="shared" si="21"/>
        <v>#DIV/0!</v>
      </c>
      <c r="O103" s="133" t="str">
        <f t="shared" si="22"/>
        <v>#DIV/0!</v>
      </c>
      <c r="P103" s="47" t="str">
        <f>IFERROR(__xludf.DUMMYFUNCTION("IF(OR(A103="""",E103=""""),"""",IFERROR(LET(data,GOOGLEFINANCE(""NSE:""&amp;UPPER(TRIM(A103)),""close"",E103-3,E103,""DAILY""),INDEX(data,ROWS(data),2)),""Not Available""))"),"")</f>
        <v/>
      </c>
      <c r="Q103" s="51"/>
      <c r="R103" s="188" t="str">
        <f t="shared" si="23"/>
        <v>#DIV/0!</v>
      </c>
      <c r="S103" s="51" t="str">
        <f>IFERROR(__xludf.DUMMYFUNCTION("IF(OR(A103="""",E103=""""),"""",IFERROR(LET(data,GOOGLEFINANCE(""NSE:""&amp;UPPER(TRIM(A103)),""close"",Q103-3,Q103,""DAILY""),INDEX(data,ROWS(data),2)),""Not Available""))"),"")</f>
        <v/>
      </c>
      <c r="T103" s="189" t="str">
        <f t="shared" si="24"/>
        <v>#DIV/0!</v>
      </c>
      <c r="U103" s="52" t="str">
        <f t="shared" si="25"/>
        <v>#DIV/0!</v>
      </c>
      <c r="V103" s="190"/>
      <c r="W103" s="190"/>
      <c r="X103" s="190"/>
      <c r="Y103" s="56"/>
    </row>
    <row r="104">
      <c r="A104" s="35" t="s">
        <v>172</v>
      </c>
      <c r="B104" s="130"/>
      <c r="C104" s="130"/>
      <c r="D104" s="130"/>
      <c r="E104" s="199"/>
      <c r="F104" s="130"/>
      <c r="G104" s="130"/>
      <c r="H104" s="130"/>
      <c r="I104" s="130"/>
      <c r="J104" s="130"/>
      <c r="K104" s="130"/>
      <c r="L104" s="130" t="str">
        <f>IFERROR(__xludf.DUMMYFUNCTION("IF(OR(A104="""",D104=""""),"""",IFERROR(LET(data,GOOGLEFINANCE(""NSE:""&amp;UPPER(TRIM(A104)),""close"",D104-3,D104,""DAILY""),INDEX(data,ROWS(data),2)),""Not Available""))"),"")</f>
        <v/>
      </c>
      <c r="M104" s="131">
        <f>IFERROR(__xludf.DUMMYFUNCTION("IF(A104="""","""",IFERROR(GOOGLEFINANCE(""NSE:""&amp;UPPER(TRIM(A104)),""price""),""Not Available""))"),398.0)</f>
        <v>398</v>
      </c>
      <c r="N104" s="132" t="str">
        <f t="shared" si="21"/>
        <v>#DIV/0!</v>
      </c>
      <c r="O104" s="133" t="str">
        <f t="shared" si="22"/>
        <v>#DIV/0!</v>
      </c>
      <c r="P104" s="47" t="str">
        <f>IFERROR(__xludf.DUMMYFUNCTION("IF(OR(A104="""",E104=""""),"""",IFERROR(LET(data,GOOGLEFINANCE(""NSE:""&amp;UPPER(TRIM(A104)),""close"",E104-3,E104,""DAILY""),INDEX(data,ROWS(data),2)),""Not Available""))"),"")</f>
        <v/>
      </c>
      <c r="Q104" s="51"/>
      <c r="R104" s="188" t="str">
        <f t="shared" si="23"/>
        <v>#DIV/0!</v>
      </c>
      <c r="S104" s="51" t="str">
        <f>IFERROR(__xludf.DUMMYFUNCTION("IF(OR(A104="""",E104=""""),"""",IFERROR(LET(data,GOOGLEFINANCE(""NSE:""&amp;UPPER(TRIM(A104)),""close"",Q104-3,Q104,""DAILY""),INDEX(data,ROWS(data),2)),""Not Available""))"),"")</f>
        <v/>
      </c>
      <c r="T104" s="189" t="str">
        <f t="shared" si="24"/>
        <v>#DIV/0!</v>
      </c>
      <c r="U104" s="52" t="str">
        <f t="shared" si="25"/>
        <v>#DIV/0!</v>
      </c>
      <c r="V104" s="190"/>
      <c r="W104" s="190"/>
      <c r="X104" s="190"/>
      <c r="Y104" s="56"/>
    </row>
    <row r="105">
      <c r="A105" s="35" t="s">
        <v>175</v>
      </c>
      <c r="B105" s="130"/>
      <c r="C105" s="130"/>
      <c r="D105" s="130"/>
      <c r="E105" s="199"/>
      <c r="F105" s="130"/>
      <c r="G105" s="130"/>
      <c r="H105" s="130"/>
      <c r="I105" s="130"/>
      <c r="J105" s="130"/>
      <c r="K105" s="130"/>
      <c r="L105" s="130" t="str">
        <f>IFERROR(__xludf.DUMMYFUNCTION("IF(OR(A105="""",D105=""""),"""",IFERROR(LET(data,GOOGLEFINANCE(""NSE:""&amp;UPPER(TRIM(A105)),""close"",D105-3,D105,""DAILY""),INDEX(data,ROWS(data),2)),""Not Available""))"),"")</f>
        <v/>
      </c>
      <c r="M105" s="131">
        <f>IFERROR(__xludf.DUMMYFUNCTION("IF(A105="""","""",IFERROR(GOOGLEFINANCE(""NSE:""&amp;UPPER(TRIM(A105)),""price""),""Not Available""))"),159.21)</f>
        <v>159.21</v>
      </c>
      <c r="N105" s="132" t="str">
        <f t="shared" si="21"/>
        <v>#DIV/0!</v>
      </c>
      <c r="O105" s="133" t="str">
        <f t="shared" si="22"/>
        <v>#DIV/0!</v>
      </c>
      <c r="P105" s="47" t="str">
        <f>IFERROR(__xludf.DUMMYFUNCTION("IF(OR(A105="""",E105=""""),"""",IFERROR(LET(data,GOOGLEFINANCE(""NSE:""&amp;UPPER(TRIM(A105)),""close"",E105-3,E105,""DAILY""),INDEX(data,ROWS(data),2)),""Not Available""))"),"")</f>
        <v/>
      </c>
      <c r="Q105" s="51"/>
      <c r="R105" s="188" t="str">
        <f t="shared" si="23"/>
        <v>#DIV/0!</v>
      </c>
      <c r="S105" s="51" t="str">
        <f>IFERROR(__xludf.DUMMYFUNCTION("IF(OR(A105="""",E105=""""),"""",IFERROR(LET(data,GOOGLEFINANCE(""NSE:""&amp;UPPER(TRIM(A105)),""close"",Q105-3,Q105,""DAILY""),INDEX(data,ROWS(data),2)),""Not Available""))"),"")</f>
        <v/>
      </c>
      <c r="T105" s="189" t="str">
        <f t="shared" si="24"/>
        <v>#DIV/0!</v>
      </c>
      <c r="U105" s="52" t="str">
        <f t="shared" si="25"/>
        <v>#DIV/0!</v>
      </c>
      <c r="V105" s="190"/>
      <c r="W105" s="190"/>
      <c r="X105" s="190"/>
      <c r="Y105" s="56"/>
    </row>
    <row r="106">
      <c r="A106" s="35" t="s">
        <v>176</v>
      </c>
      <c r="B106" s="130"/>
      <c r="C106" s="130"/>
      <c r="D106" s="130"/>
      <c r="E106" s="199"/>
      <c r="F106" s="130"/>
      <c r="G106" s="130"/>
      <c r="H106" s="130"/>
      <c r="I106" s="130"/>
      <c r="J106" s="130"/>
      <c r="K106" s="130"/>
      <c r="L106" s="130" t="str">
        <f>IFERROR(__xludf.DUMMYFUNCTION("IF(OR(A106="""",D106=""""),"""",IFERROR(LET(data,GOOGLEFINANCE(""NSE:""&amp;UPPER(TRIM(A106)),""close"",D106-3,D106,""DAILY""),INDEX(data,ROWS(data),2)),""Not Available""))"),"")</f>
        <v/>
      </c>
      <c r="M106" s="131">
        <f>IFERROR(__xludf.DUMMYFUNCTION("IF(A106="""","""",IFERROR(GOOGLEFINANCE(""NSE:""&amp;UPPER(TRIM(A106)),""price""),""Not Available""))"),142.05)</f>
        <v>142.05</v>
      </c>
      <c r="N106" s="132" t="str">
        <f t="shared" si="21"/>
        <v>#DIV/0!</v>
      </c>
      <c r="O106" s="133" t="str">
        <f t="shared" si="22"/>
        <v>#DIV/0!</v>
      </c>
      <c r="P106" s="47" t="str">
        <f>IFERROR(__xludf.DUMMYFUNCTION("IF(OR(A106="""",E106=""""),"""",IFERROR(LET(data,GOOGLEFINANCE(""NSE:""&amp;UPPER(TRIM(A106)),""close"",E106-3,E106,""DAILY""),INDEX(data,ROWS(data),2)),""Not Available""))"),"")</f>
        <v/>
      </c>
      <c r="Q106" s="51"/>
      <c r="R106" s="188" t="str">
        <f t="shared" si="23"/>
        <v>#DIV/0!</v>
      </c>
      <c r="S106" s="51" t="str">
        <f>IFERROR(__xludf.DUMMYFUNCTION("IF(OR(A106="""",E106=""""),"""",IFERROR(LET(data,GOOGLEFINANCE(""NSE:""&amp;UPPER(TRIM(A106)),""close"",Q106-3,Q106,""DAILY""),INDEX(data,ROWS(data),2)),""Not Available""))"),"")</f>
        <v/>
      </c>
      <c r="T106" s="189" t="str">
        <f t="shared" si="24"/>
        <v>#DIV/0!</v>
      </c>
      <c r="U106" s="52" t="str">
        <f t="shared" si="25"/>
        <v>#DIV/0!</v>
      </c>
      <c r="V106" s="190"/>
      <c r="W106" s="190"/>
      <c r="X106" s="190"/>
      <c r="Y106" s="56"/>
    </row>
    <row r="107">
      <c r="A107" s="35" t="s">
        <v>179</v>
      </c>
      <c r="B107" s="130"/>
      <c r="C107" s="130"/>
      <c r="D107" s="130"/>
      <c r="E107" s="199"/>
      <c r="F107" s="130"/>
      <c r="G107" s="130"/>
      <c r="H107" s="130"/>
      <c r="I107" s="130"/>
      <c r="J107" s="130"/>
      <c r="K107" s="130"/>
      <c r="L107" s="130" t="str">
        <f>IFERROR(__xludf.DUMMYFUNCTION("IF(OR(A107="""",D107=""""),"""",IFERROR(LET(data,GOOGLEFINANCE(""NSE:""&amp;UPPER(TRIM(A107)),""close"",D107-3,D107,""DAILY""),INDEX(data,ROWS(data),2)),""Not Available""))"),"")</f>
        <v/>
      </c>
      <c r="M107" s="131">
        <f>IFERROR(__xludf.DUMMYFUNCTION("IF(A107="""","""",IFERROR(GOOGLEFINANCE(""NSE:""&amp;UPPER(TRIM(A107)),""price""),""Not Available""))"),681.2)</f>
        <v>681.2</v>
      </c>
      <c r="N107" s="132" t="str">
        <f t="shared" si="21"/>
        <v>#DIV/0!</v>
      </c>
      <c r="O107" s="133" t="str">
        <f t="shared" si="22"/>
        <v>#DIV/0!</v>
      </c>
      <c r="P107" s="47" t="str">
        <f>IFERROR(__xludf.DUMMYFUNCTION("IF(OR(A107="""",E107=""""),"""",IFERROR(LET(data,GOOGLEFINANCE(""NSE:""&amp;UPPER(TRIM(A107)),""close"",E107-3,E107,""DAILY""),INDEX(data,ROWS(data),2)),""Not Available""))"),"")</f>
        <v/>
      </c>
      <c r="Q107" s="51"/>
      <c r="R107" s="188" t="str">
        <f t="shared" si="23"/>
        <v>#DIV/0!</v>
      </c>
      <c r="S107" s="51" t="str">
        <f>IFERROR(__xludf.DUMMYFUNCTION("IF(OR(A107="""",E107=""""),"""",IFERROR(LET(data,GOOGLEFINANCE(""NSE:""&amp;UPPER(TRIM(A107)),""close"",Q107-3,Q107,""DAILY""),INDEX(data,ROWS(data),2)),""Not Available""))"),"")</f>
        <v/>
      </c>
      <c r="T107" s="189" t="str">
        <f t="shared" si="24"/>
        <v>#DIV/0!</v>
      </c>
      <c r="U107" s="52" t="str">
        <f t="shared" si="25"/>
        <v>#DIV/0!</v>
      </c>
      <c r="V107" s="190"/>
      <c r="W107" s="190"/>
      <c r="X107" s="190"/>
      <c r="Y107" s="56"/>
    </row>
    <row r="108">
      <c r="A108" s="35" t="s">
        <v>180</v>
      </c>
      <c r="B108" s="130"/>
      <c r="C108" s="130"/>
      <c r="D108" s="130"/>
      <c r="E108" s="199"/>
      <c r="F108" s="130"/>
      <c r="G108" s="130"/>
      <c r="H108" s="130"/>
      <c r="I108" s="130"/>
      <c r="J108" s="130"/>
      <c r="K108" s="130"/>
      <c r="L108" s="130" t="str">
        <f>IFERROR(__xludf.DUMMYFUNCTION("IF(OR(A108="""",D108=""""),"""",IFERROR(LET(data,GOOGLEFINANCE(""NSE:""&amp;UPPER(TRIM(A108)),""close"",D108-3,D108,""DAILY""),INDEX(data,ROWS(data),2)),""Not Available""))"),"")</f>
        <v/>
      </c>
      <c r="M108" s="131">
        <f>IFERROR(__xludf.DUMMYFUNCTION("IF(A108="""","""",IFERROR(GOOGLEFINANCE(""NSE:""&amp;UPPER(TRIM(A108)),""price""),""Not Available""))"),1976.4)</f>
        <v>1976.4</v>
      </c>
      <c r="N108" s="132" t="str">
        <f t="shared" si="21"/>
        <v>#DIV/0!</v>
      </c>
      <c r="O108" s="133" t="str">
        <f t="shared" si="22"/>
        <v>#DIV/0!</v>
      </c>
      <c r="P108" s="47" t="str">
        <f>IFERROR(__xludf.DUMMYFUNCTION("IF(OR(A108="""",E108=""""),"""",IFERROR(LET(data,GOOGLEFINANCE(""NSE:""&amp;UPPER(TRIM(A108)),""close"",E108-3,E108,""DAILY""),INDEX(data,ROWS(data),2)),""Not Available""))"),"")</f>
        <v/>
      </c>
      <c r="Q108" s="51"/>
      <c r="R108" s="188" t="str">
        <f t="shared" si="23"/>
        <v>#DIV/0!</v>
      </c>
      <c r="S108" s="51" t="str">
        <f>IFERROR(__xludf.DUMMYFUNCTION("IF(OR(A108="""",E108=""""),"""",IFERROR(LET(data,GOOGLEFINANCE(""NSE:""&amp;UPPER(TRIM(A108)),""close"",Q108-3,Q108,""DAILY""),INDEX(data,ROWS(data),2)),""Not Available""))"),"")</f>
        <v/>
      </c>
      <c r="T108" s="189" t="str">
        <f t="shared" si="24"/>
        <v>#DIV/0!</v>
      </c>
      <c r="U108" s="52" t="str">
        <f t="shared" si="25"/>
        <v>#DIV/0!</v>
      </c>
      <c r="V108" s="190"/>
      <c r="W108" s="190"/>
      <c r="X108" s="190"/>
      <c r="Y108" s="56"/>
    </row>
    <row r="109">
      <c r="A109" s="35" t="s">
        <v>183</v>
      </c>
      <c r="B109" s="130"/>
      <c r="C109" s="130"/>
      <c r="D109" s="130"/>
      <c r="E109" s="199"/>
      <c r="F109" s="130"/>
      <c r="G109" s="130"/>
      <c r="H109" s="130"/>
      <c r="I109" s="130"/>
      <c r="J109" s="130"/>
      <c r="K109" s="130"/>
      <c r="L109" s="130" t="str">
        <f>IFERROR(__xludf.DUMMYFUNCTION("IF(OR(A109="""",D109=""""),"""",IFERROR(LET(data,GOOGLEFINANCE(""NSE:""&amp;UPPER(TRIM(A109)),""close"",D109-3,D109,""DAILY""),INDEX(data,ROWS(data),2)),""Not Available""))"),"")</f>
        <v/>
      </c>
      <c r="M109" s="131">
        <f>IFERROR(__xludf.DUMMYFUNCTION("IF(A109="""","""",IFERROR(GOOGLEFINANCE(""NSE:""&amp;UPPER(TRIM(A109)),""price""),""Not Available""))"),1059.6)</f>
        <v>1059.6</v>
      </c>
      <c r="N109" s="132" t="str">
        <f t="shared" si="21"/>
        <v>#DIV/0!</v>
      </c>
      <c r="O109" s="133" t="str">
        <f t="shared" si="22"/>
        <v>#DIV/0!</v>
      </c>
      <c r="P109" s="47" t="str">
        <f>IFERROR(__xludf.DUMMYFUNCTION("IF(OR(A109="""",E109=""""),"""",IFERROR(LET(data,GOOGLEFINANCE(""NSE:""&amp;UPPER(TRIM(A109)),""close"",E109-3,E109,""DAILY""),INDEX(data,ROWS(data),2)),""Not Available""))"),"")</f>
        <v/>
      </c>
      <c r="Q109" s="51"/>
      <c r="R109" s="188" t="str">
        <f t="shared" si="23"/>
        <v>#DIV/0!</v>
      </c>
      <c r="S109" s="51" t="str">
        <f>IFERROR(__xludf.DUMMYFUNCTION("IF(OR(A109="""",E109=""""),"""",IFERROR(LET(data,GOOGLEFINANCE(""NSE:""&amp;UPPER(TRIM(A109)),""close"",Q109-3,Q109,""DAILY""),INDEX(data,ROWS(data),2)),""Not Available""))"),"")</f>
        <v/>
      </c>
      <c r="T109" s="189" t="str">
        <f t="shared" si="24"/>
        <v>#DIV/0!</v>
      </c>
      <c r="U109" s="52" t="str">
        <f t="shared" si="25"/>
        <v>#DIV/0!</v>
      </c>
      <c r="V109" s="190"/>
      <c r="W109" s="190"/>
      <c r="X109" s="190"/>
      <c r="Y109" s="56"/>
    </row>
    <row r="110">
      <c r="A110" s="35" t="s">
        <v>184</v>
      </c>
      <c r="B110" s="130"/>
      <c r="C110" s="130"/>
      <c r="D110" s="130"/>
      <c r="E110" s="199"/>
      <c r="F110" s="130"/>
      <c r="G110" s="130"/>
      <c r="H110" s="130"/>
      <c r="I110" s="130"/>
      <c r="J110" s="130"/>
      <c r="K110" s="130"/>
      <c r="L110" s="130" t="str">
        <f>IFERROR(__xludf.DUMMYFUNCTION("IF(OR(A110="""",D110=""""),"""",IFERROR(LET(data,GOOGLEFINANCE(""NSE:""&amp;UPPER(TRIM(A110)),""close"",D110-3,D110,""DAILY""),INDEX(data,ROWS(data),2)),""Not Available""))"),"")</f>
        <v/>
      </c>
      <c r="M110" s="131">
        <f>IFERROR(__xludf.DUMMYFUNCTION("IF(A110="""","""",IFERROR(GOOGLEFINANCE(""NSE:""&amp;UPPER(TRIM(A110)),""price""),""Not Available""))"),1697.4)</f>
        <v>1697.4</v>
      </c>
      <c r="N110" s="132" t="str">
        <f t="shared" si="21"/>
        <v>#DIV/0!</v>
      </c>
      <c r="O110" s="133" t="str">
        <f t="shared" si="22"/>
        <v>#DIV/0!</v>
      </c>
      <c r="P110" s="47" t="str">
        <f>IFERROR(__xludf.DUMMYFUNCTION("IF(OR(A110="""",E110=""""),"""",IFERROR(LET(data,GOOGLEFINANCE(""NSE:""&amp;UPPER(TRIM(A110)),""close"",E110-3,E110,""DAILY""),INDEX(data,ROWS(data),2)),""Not Available""))"),"")</f>
        <v/>
      </c>
      <c r="Q110" s="51"/>
      <c r="R110" s="188" t="str">
        <f t="shared" si="23"/>
        <v>#DIV/0!</v>
      </c>
      <c r="S110" s="51" t="str">
        <f>IFERROR(__xludf.DUMMYFUNCTION("IF(OR(A110="""",E110=""""),"""",IFERROR(LET(data,GOOGLEFINANCE(""NSE:""&amp;UPPER(TRIM(A110)),""close"",Q110-3,Q110,""DAILY""),INDEX(data,ROWS(data),2)),""Not Available""))"),"")</f>
        <v/>
      </c>
      <c r="T110" s="189" t="str">
        <f t="shared" si="24"/>
        <v>#DIV/0!</v>
      </c>
      <c r="U110" s="52" t="str">
        <f t="shared" si="25"/>
        <v>#DIV/0!</v>
      </c>
      <c r="V110" s="190"/>
      <c r="W110" s="190"/>
      <c r="X110" s="190"/>
      <c r="Y110" s="56"/>
    </row>
    <row r="111">
      <c r="A111" s="35" t="s">
        <v>187</v>
      </c>
      <c r="B111" s="130"/>
      <c r="C111" s="130"/>
      <c r="D111" s="130"/>
      <c r="E111" s="199"/>
      <c r="F111" s="130"/>
      <c r="G111" s="130"/>
      <c r="H111" s="130"/>
      <c r="I111" s="130"/>
      <c r="J111" s="130"/>
      <c r="K111" s="130"/>
      <c r="L111" s="130" t="str">
        <f>IFERROR(__xludf.DUMMYFUNCTION("IF(OR(A111="""",D111=""""),"""",IFERROR(LET(data,GOOGLEFINANCE(""NSE:""&amp;UPPER(TRIM(A111)),""close"",D111-3,D111,""DAILY""),INDEX(data,ROWS(data),2)),""Not Available""))"),"")</f>
        <v/>
      </c>
      <c r="M111" s="131">
        <f>IFERROR(__xludf.DUMMYFUNCTION("IF(A111="""","""",IFERROR(GOOGLEFINANCE(""NSE:""&amp;UPPER(TRIM(A111)),""price""),""Not Available""))"),696.55)</f>
        <v>696.55</v>
      </c>
      <c r="N111" s="132" t="str">
        <f t="shared" si="21"/>
        <v>#DIV/0!</v>
      </c>
      <c r="O111" s="133" t="str">
        <f t="shared" si="22"/>
        <v>#DIV/0!</v>
      </c>
      <c r="P111" s="47" t="str">
        <f>IFERROR(__xludf.DUMMYFUNCTION("IF(OR(A111="""",E111=""""),"""",IFERROR(LET(data,GOOGLEFINANCE(""NSE:""&amp;UPPER(TRIM(A111)),""close"",E111-3,E111,""DAILY""),INDEX(data,ROWS(data),2)),""Not Available""))"),"")</f>
        <v/>
      </c>
      <c r="Q111" s="51"/>
      <c r="R111" s="188" t="str">
        <f t="shared" si="23"/>
        <v>#DIV/0!</v>
      </c>
      <c r="S111" s="51" t="str">
        <f>IFERROR(__xludf.DUMMYFUNCTION("IF(OR(A111="""",E111=""""),"""",IFERROR(LET(data,GOOGLEFINANCE(""NSE:""&amp;UPPER(TRIM(A111)),""close"",Q111-3,Q111,""DAILY""),INDEX(data,ROWS(data),2)),""Not Available""))"),"")</f>
        <v/>
      </c>
      <c r="T111" s="189" t="str">
        <f t="shared" si="24"/>
        <v>#DIV/0!</v>
      </c>
      <c r="U111" s="52" t="str">
        <f t="shared" si="25"/>
        <v>#DIV/0!</v>
      </c>
      <c r="V111" s="190"/>
      <c r="W111" s="190"/>
      <c r="X111" s="190"/>
      <c r="Y111" s="56"/>
    </row>
    <row r="112">
      <c r="A112" s="35" t="s">
        <v>188</v>
      </c>
      <c r="B112" s="130"/>
      <c r="C112" s="130"/>
      <c r="D112" s="130"/>
      <c r="E112" s="199"/>
      <c r="F112" s="130"/>
      <c r="G112" s="130"/>
      <c r="H112" s="130"/>
      <c r="I112" s="130"/>
      <c r="J112" s="130"/>
      <c r="K112" s="130"/>
      <c r="L112" s="130" t="str">
        <f>IFERROR(__xludf.DUMMYFUNCTION("IF(OR(A112="""",D112=""""),"""",IFERROR(LET(data,GOOGLEFINANCE(""NSE:""&amp;UPPER(TRIM(A112)),""close"",D112-3,D112,""DAILY""),INDEX(data,ROWS(data),2)),""Not Available""))"),"")</f>
        <v/>
      </c>
      <c r="M112" s="131">
        <f>IFERROR(__xludf.DUMMYFUNCTION("IF(A112="""","""",IFERROR(GOOGLEFINANCE(""NSE:""&amp;UPPER(TRIM(A112)),""price""),""Not Available""))"),163.7)</f>
        <v>163.7</v>
      </c>
      <c r="N112" s="132" t="str">
        <f t="shared" si="21"/>
        <v>#DIV/0!</v>
      </c>
      <c r="O112" s="133" t="str">
        <f t="shared" si="22"/>
        <v>#DIV/0!</v>
      </c>
      <c r="P112" s="47" t="str">
        <f>IFERROR(__xludf.DUMMYFUNCTION("IF(OR(A112="""",E112=""""),"""",IFERROR(LET(data,GOOGLEFINANCE(""NSE:""&amp;UPPER(TRIM(A112)),""close"",E112-3,E112,""DAILY""),INDEX(data,ROWS(data),2)),""Not Available""))"),"")</f>
        <v/>
      </c>
      <c r="Q112" s="51"/>
      <c r="R112" s="188" t="str">
        <f t="shared" si="23"/>
        <v>#DIV/0!</v>
      </c>
      <c r="S112" s="51" t="str">
        <f>IFERROR(__xludf.DUMMYFUNCTION("IF(OR(A112="""",E112=""""),"""",IFERROR(LET(data,GOOGLEFINANCE(""NSE:""&amp;UPPER(TRIM(A112)),""close"",Q112-3,Q112,""DAILY""),INDEX(data,ROWS(data),2)),""Not Available""))"),"")</f>
        <v/>
      </c>
      <c r="T112" s="189" t="str">
        <f t="shared" si="24"/>
        <v>#DIV/0!</v>
      </c>
      <c r="U112" s="52" t="str">
        <f t="shared" si="25"/>
        <v>#DIV/0!</v>
      </c>
      <c r="V112" s="190"/>
      <c r="W112" s="190"/>
      <c r="X112" s="190"/>
      <c r="Y112" s="56"/>
    </row>
    <row r="113">
      <c r="A113" s="35" t="s">
        <v>191</v>
      </c>
      <c r="B113" s="130"/>
      <c r="C113" s="130"/>
      <c r="D113" s="130"/>
      <c r="E113" s="199"/>
      <c r="F113" s="130"/>
      <c r="G113" s="130"/>
      <c r="H113" s="130"/>
      <c r="I113" s="130"/>
      <c r="J113" s="130"/>
      <c r="K113" s="130"/>
      <c r="L113" s="130" t="str">
        <f>IFERROR(__xludf.DUMMYFUNCTION("IF(OR(A113="""",D113=""""),"""",IFERROR(LET(data,GOOGLEFINANCE(""NSE:""&amp;UPPER(TRIM(A113)),""close"",D113-3,D113,""DAILY""),INDEX(data,ROWS(data),2)),""Not Available""))"),"")</f>
        <v/>
      </c>
      <c r="M113" s="131">
        <f>IFERROR(__xludf.DUMMYFUNCTION("IF(A113="""","""",IFERROR(GOOGLEFINANCE(""NSE:""&amp;UPPER(TRIM(A113)),""price""),""Not Available""))"),1995.8)</f>
        <v>1995.8</v>
      </c>
      <c r="N113" s="132" t="str">
        <f t="shared" si="21"/>
        <v>#DIV/0!</v>
      </c>
      <c r="O113" s="133" t="str">
        <f t="shared" si="22"/>
        <v>#DIV/0!</v>
      </c>
      <c r="P113" s="47" t="str">
        <f>IFERROR(__xludf.DUMMYFUNCTION("IF(OR(A113="""",E113=""""),"""",IFERROR(LET(data,GOOGLEFINANCE(""NSE:""&amp;UPPER(TRIM(A113)),""close"",E113-3,E113,""DAILY""),INDEX(data,ROWS(data),2)),""Not Available""))"),"")</f>
        <v/>
      </c>
      <c r="Q113" s="51"/>
      <c r="R113" s="188" t="str">
        <f t="shared" si="23"/>
        <v>#DIV/0!</v>
      </c>
      <c r="S113" s="51" t="str">
        <f>IFERROR(__xludf.DUMMYFUNCTION("IF(OR(A113="""",E113=""""),"""",IFERROR(LET(data,GOOGLEFINANCE(""NSE:""&amp;UPPER(TRIM(A113)),""close"",Q113-3,Q113,""DAILY""),INDEX(data,ROWS(data),2)),""Not Available""))"),"")</f>
        <v/>
      </c>
      <c r="T113" s="189" t="str">
        <f t="shared" si="24"/>
        <v>#DIV/0!</v>
      </c>
      <c r="U113" s="52" t="str">
        <f t="shared" si="25"/>
        <v>#DIV/0!</v>
      </c>
      <c r="V113" s="190"/>
      <c r="W113" s="190"/>
      <c r="X113" s="190"/>
      <c r="Y113" s="56"/>
    </row>
    <row r="114">
      <c r="A114" s="35" t="s">
        <v>192</v>
      </c>
      <c r="B114" s="130"/>
      <c r="C114" s="130"/>
      <c r="D114" s="130"/>
      <c r="E114" s="199"/>
      <c r="F114" s="130"/>
      <c r="G114" s="130"/>
      <c r="H114" s="130"/>
      <c r="I114" s="130"/>
      <c r="J114" s="130"/>
      <c r="K114" s="130"/>
      <c r="L114" s="130" t="str">
        <f>IFERROR(__xludf.DUMMYFUNCTION("IF(OR(A114="""",D114=""""),"""",IFERROR(LET(data,GOOGLEFINANCE(""NSE:""&amp;UPPER(TRIM(A114)),""close"",D114-3,D114,""DAILY""),INDEX(data,ROWS(data),2)),""Not Available""))"),"")</f>
        <v/>
      </c>
      <c r="M114" s="131">
        <f>IFERROR(__xludf.DUMMYFUNCTION("IF(A114="""","""",IFERROR(GOOGLEFINANCE(""NSE:""&amp;UPPER(TRIM(A114)),""price""),""Not Available""))"),118.21)</f>
        <v>118.21</v>
      </c>
      <c r="N114" s="132" t="str">
        <f t="shared" si="21"/>
        <v>#DIV/0!</v>
      </c>
      <c r="O114" s="133" t="str">
        <f t="shared" si="22"/>
        <v>#DIV/0!</v>
      </c>
      <c r="P114" s="47" t="str">
        <f>IFERROR(__xludf.DUMMYFUNCTION("IF(OR(A114="""",E114=""""),"""",IFERROR(LET(data,GOOGLEFINANCE(""NSE:""&amp;UPPER(TRIM(A114)),""close"",E114-3,E114,""DAILY""),INDEX(data,ROWS(data),2)),""Not Available""))"),"")</f>
        <v/>
      </c>
      <c r="Q114" s="51"/>
      <c r="R114" s="188" t="str">
        <f t="shared" si="23"/>
        <v>#DIV/0!</v>
      </c>
      <c r="S114" s="51" t="str">
        <f>IFERROR(__xludf.DUMMYFUNCTION("IF(OR(A114="""",E114=""""),"""",IFERROR(LET(data,GOOGLEFINANCE(""NSE:""&amp;UPPER(TRIM(A114)),""close"",Q114-3,Q114,""DAILY""),INDEX(data,ROWS(data),2)),""Not Available""))"),"")</f>
        <v/>
      </c>
      <c r="T114" s="189" t="str">
        <f t="shared" si="24"/>
        <v>#DIV/0!</v>
      </c>
      <c r="U114" s="52" t="str">
        <f t="shared" si="25"/>
        <v>#DIV/0!</v>
      </c>
      <c r="V114" s="190"/>
      <c r="W114" s="190"/>
      <c r="X114" s="190"/>
      <c r="Y114" s="56"/>
    </row>
    <row r="115">
      <c r="A115" s="35" t="s">
        <v>194</v>
      </c>
      <c r="B115" s="130"/>
      <c r="C115" s="130"/>
      <c r="D115" s="130"/>
      <c r="E115" s="199"/>
      <c r="F115" s="130"/>
      <c r="G115" s="130"/>
      <c r="H115" s="130"/>
      <c r="I115" s="130"/>
      <c r="J115" s="130"/>
      <c r="K115" s="130"/>
      <c r="L115" s="130" t="str">
        <f>IFERROR(__xludf.DUMMYFUNCTION("IF(OR(A115="""",D115=""""),"""",IFERROR(LET(data,GOOGLEFINANCE(""NSE:""&amp;UPPER(TRIM(A115)),""close"",D115-3,D115,""DAILY""),INDEX(data,ROWS(data),2)),""Not Available""))"),"")</f>
        <v/>
      </c>
      <c r="M115" s="131">
        <f>IFERROR(__xludf.DUMMYFUNCTION("IF(A115="""","""",IFERROR(GOOGLEFINANCE(""NSE:""&amp;UPPER(TRIM(A115)),""price""),""Not Available""))"),379.15)</f>
        <v>379.15</v>
      </c>
      <c r="N115" s="132" t="str">
        <f t="shared" si="21"/>
        <v>#DIV/0!</v>
      </c>
      <c r="O115" s="133" t="str">
        <f t="shared" si="22"/>
        <v>#DIV/0!</v>
      </c>
      <c r="P115" s="47" t="str">
        <f>IFERROR(__xludf.DUMMYFUNCTION("IF(OR(A115="""",E115=""""),"""",IFERROR(LET(data,GOOGLEFINANCE(""NSE:""&amp;UPPER(TRIM(A115)),""close"",E115-3,E115,""DAILY""),INDEX(data,ROWS(data),2)),""Not Available""))"),"")</f>
        <v/>
      </c>
      <c r="Q115" s="51"/>
      <c r="R115" s="188" t="str">
        <f t="shared" si="23"/>
        <v>#DIV/0!</v>
      </c>
      <c r="S115" s="51" t="str">
        <f>IFERROR(__xludf.DUMMYFUNCTION("IF(OR(A115="""",E115=""""),"""",IFERROR(LET(data,GOOGLEFINANCE(""NSE:""&amp;UPPER(TRIM(A115)),""close"",Q115-3,Q115,""DAILY""),INDEX(data,ROWS(data),2)),""Not Available""))"),"")</f>
        <v/>
      </c>
      <c r="T115" s="189" t="str">
        <f t="shared" si="24"/>
        <v>#DIV/0!</v>
      </c>
      <c r="U115" s="52" t="str">
        <f t="shared" si="25"/>
        <v>#DIV/0!</v>
      </c>
      <c r="V115" s="190"/>
      <c r="W115" s="190"/>
      <c r="X115" s="190"/>
      <c r="Y115" s="56"/>
    </row>
    <row r="116">
      <c r="A116" s="35" t="s">
        <v>183</v>
      </c>
      <c r="B116" s="130"/>
      <c r="C116" s="130"/>
      <c r="D116" s="130"/>
      <c r="E116" s="199"/>
      <c r="F116" s="130"/>
      <c r="G116" s="130"/>
      <c r="H116" s="130"/>
      <c r="I116" s="130"/>
      <c r="J116" s="130"/>
      <c r="K116" s="130"/>
      <c r="L116" s="130" t="str">
        <f>IFERROR(__xludf.DUMMYFUNCTION("IF(OR(A116="""",D116=""""),"""",IFERROR(LET(data,GOOGLEFINANCE(""NSE:""&amp;UPPER(TRIM(A116)),""close"",D116-3,D116,""DAILY""),INDEX(data,ROWS(data),2)),""Not Available""))"),"")</f>
        <v/>
      </c>
      <c r="M116" s="131">
        <f>IFERROR(__xludf.DUMMYFUNCTION("IF(A116="""","""",IFERROR(GOOGLEFINANCE(""NSE:""&amp;UPPER(TRIM(A116)),""price""),""Not Available""))"),1059.6)</f>
        <v>1059.6</v>
      </c>
      <c r="N116" s="132" t="str">
        <f t="shared" si="21"/>
        <v>#DIV/0!</v>
      </c>
      <c r="O116" s="133" t="str">
        <f t="shared" si="22"/>
        <v>#DIV/0!</v>
      </c>
      <c r="P116" s="47" t="str">
        <f>IFERROR(__xludf.DUMMYFUNCTION("IF(OR(A116="""",E116=""""),"""",IFERROR(LET(data,GOOGLEFINANCE(""NSE:""&amp;UPPER(TRIM(A116)),""close"",E116-3,E116,""DAILY""),INDEX(data,ROWS(data),2)),""Not Available""))"),"")</f>
        <v/>
      </c>
      <c r="Q116" s="51"/>
      <c r="R116" s="188" t="str">
        <f t="shared" si="23"/>
        <v>#DIV/0!</v>
      </c>
      <c r="S116" s="51" t="str">
        <f>IFERROR(__xludf.DUMMYFUNCTION("IF(OR(A116="""",E116=""""),"""",IFERROR(LET(data,GOOGLEFINANCE(""NSE:""&amp;UPPER(TRIM(A116)),""close"",Q116-3,Q116,""DAILY""),INDEX(data,ROWS(data),2)),""Not Available""))"),"")</f>
        <v/>
      </c>
      <c r="T116" s="189" t="str">
        <f t="shared" si="24"/>
        <v>#DIV/0!</v>
      </c>
      <c r="U116" s="52" t="str">
        <f t="shared" si="25"/>
        <v>#DIV/0!</v>
      </c>
      <c r="V116" s="190"/>
      <c r="W116" s="190"/>
      <c r="X116" s="190"/>
      <c r="Y116" s="56"/>
    </row>
    <row r="117">
      <c r="A117" s="35" t="s">
        <v>197</v>
      </c>
      <c r="B117" s="130"/>
      <c r="C117" s="130"/>
      <c r="D117" s="130"/>
      <c r="E117" s="199"/>
      <c r="F117" s="130"/>
      <c r="G117" s="130"/>
      <c r="H117" s="130"/>
      <c r="I117" s="130"/>
      <c r="J117" s="130"/>
      <c r="K117" s="130"/>
      <c r="L117" s="130" t="str">
        <f>IFERROR(__xludf.DUMMYFUNCTION("IF(OR(A117="""",D117=""""),"""",IFERROR(LET(data,GOOGLEFINANCE(""NSE:""&amp;UPPER(TRIM(A117)),""close"",D117-3,D117,""DAILY""),INDEX(data,ROWS(data),2)),""Not Available""))"),"")</f>
        <v/>
      </c>
      <c r="M117" s="131">
        <f>IFERROR(__xludf.DUMMYFUNCTION("IF(A117="""","""",IFERROR(GOOGLEFINANCE(""NSE:""&amp;UPPER(TRIM(A117)),""price""),""Not Available""))"),2149.0)</f>
        <v>2149</v>
      </c>
      <c r="N117" s="132" t="str">
        <f t="shared" si="21"/>
        <v>#DIV/0!</v>
      </c>
      <c r="O117" s="133" t="str">
        <f t="shared" si="22"/>
        <v>#DIV/0!</v>
      </c>
      <c r="P117" s="47" t="str">
        <f>IFERROR(__xludf.DUMMYFUNCTION("IF(OR(A117="""",E117=""""),"""",IFERROR(LET(data,GOOGLEFINANCE(""NSE:""&amp;UPPER(TRIM(A117)),""close"",E117-3,E117,""DAILY""),INDEX(data,ROWS(data),2)),""Not Available""))"),"")</f>
        <v/>
      </c>
      <c r="Q117" s="51"/>
      <c r="R117" s="188" t="str">
        <f t="shared" si="23"/>
        <v>#DIV/0!</v>
      </c>
      <c r="S117" s="51" t="str">
        <f>IFERROR(__xludf.DUMMYFUNCTION("IF(OR(A117="""",E117=""""),"""",IFERROR(LET(data,GOOGLEFINANCE(""NSE:""&amp;UPPER(TRIM(A117)),""close"",Q117-3,Q117,""DAILY""),INDEX(data,ROWS(data),2)),""Not Available""))"),"")</f>
        <v/>
      </c>
      <c r="T117" s="189" t="str">
        <f t="shared" si="24"/>
        <v>#DIV/0!</v>
      </c>
      <c r="U117" s="52" t="str">
        <f t="shared" si="25"/>
        <v>#DIV/0!</v>
      </c>
      <c r="V117" s="190"/>
      <c r="W117" s="190"/>
      <c r="X117" s="190"/>
      <c r="Y117" s="56"/>
    </row>
    <row r="118">
      <c r="A118" s="35" t="s">
        <v>198</v>
      </c>
      <c r="B118" s="130"/>
      <c r="C118" s="130"/>
      <c r="D118" s="130"/>
      <c r="E118" s="199"/>
      <c r="F118" s="130"/>
      <c r="G118" s="130"/>
      <c r="H118" s="130"/>
      <c r="I118" s="130"/>
      <c r="J118" s="130"/>
      <c r="K118" s="130"/>
      <c r="L118" s="130" t="str">
        <f>IFERROR(__xludf.DUMMYFUNCTION("IF(OR(A118="""",D118=""""),"""",IFERROR(LET(data,GOOGLEFINANCE(""NSE:""&amp;UPPER(TRIM(A118)),""close"",D118-3,D118,""DAILY""),INDEX(data,ROWS(data),2)),""Not Available""))"),"")</f>
        <v/>
      </c>
      <c r="M118" s="131">
        <f>IFERROR(__xludf.DUMMYFUNCTION("IF(A118="""","""",IFERROR(GOOGLEFINANCE(""NSE:""&amp;UPPER(TRIM(A118)),""price""),""Not Available""))"),14.1)</f>
        <v>14.1</v>
      </c>
      <c r="N118" s="132" t="str">
        <f t="shared" si="21"/>
        <v>#DIV/0!</v>
      </c>
      <c r="O118" s="133" t="str">
        <f t="shared" si="22"/>
        <v>#DIV/0!</v>
      </c>
      <c r="P118" s="47" t="str">
        <f>IFERROR(__xludf.DUMMYFUNCTION("IF(OR(A118="""",E118=""""),"""",IFERROR(LET(data,GOOGLEFINANCE(""NSE:""&amp;UPPER(TRIM(A118)),""close"",E118-3,E118,""DAILY""),INDEX(data,ROWS(data),2)),""Not Available""))"),"")</f>
        <v/>
      </c>
      <c r="Q118" s="51"/>
      <c r="R118" s="188" t="str">
        <f t="shared" si="23"/>
        <v>#DIV/0!</v>
      </c>
      <c r="S118" s="51" t="str">
        <f>IFERROR(__xludf.DUMMYFUNCTION("IF(OR(A118="""",E118=""""),"""",IFERROR(LET(data,GOOGLEFINANCE(""NSE:""&amp;UPPER(TRIM(A118)),""close"",Q118-3,Q118,""DAILY""),INDEX(data,ROWS(data),2)),""Not Available""))"),"")</f>
        <v/>
      </c>
      <c r="T118" s="189" t="str">
        <f t="shared" si="24"/>
        <v>#DIV/0!</v>
      </c>
      <c r="U118" s="52" t="str">
        <f t="shared" si="25"/>
        <v>#DIV/0!</v>
      </c>
      <c r="V118" s="190"/>
      <c r="W118" s="190"/>
      <c r="X118" s="190"/>
      <c r="Y118" s="56"/>
    </row>
    <row r="119">
      <c r="A119" s="35" t="s">
        <v>200</v>
      </c>
      <c r="B119" s="130"/>
      <c r="C119" s="130"/>
      <c r="D119" s="130"/>
      <c r="E119" s="199"/>
      <c r="F119" s="130"/>
      <c r="G119" s="130"/>
      <c r="H119" s="130"/>
      <c r="I119" s="130"/>
      <c r="J119" s="130"/>
      <c r="K119" s="130"/>
      <c r="L119" s="130" t="str">
        <f>IFERROR(__xludf.DUMMYFUNCTION("IF(OR(A119="""",D119=""""),"""",IFERROR(LET(data,GOOGLEFINANCE(""NSE:""&amp;UPPER(TRIM(A119)),""close"",D119-3,D119,""DAILY""),INDEX(data,ROWS(data),2)),""Not Available""))"),"")</f>
        <v/>
      </c>
      <c r="M119" s="131">
        <f>IFERROR(__xludf.DUMMYFUNCTION("IF(A119="""","""",IFERROR(GOOGLEFINANCE(""NSE:""&amp;UPPER(TRIM(A119)),""price""),""Not Available""))"),428.85)</f>
        <v>428.85</v>
      </c>
      <c r="N119" s="132" t="str">
        <f t="shared" si="21"/>
        <v>#DIV/0!</v>
      </c>
      <c r="O119" s="133" t="str">
        <f t="shared" si="22"/>
        <v>#DIV/0!</v>
      </c>
      <c r="P119" s="47" t="str">
        <f>IFERROR(__xludf.DUMMYFUNCTION("IF(OR(A119="""",E119=""""),"""",IFERROR(LET(data,GOOGLEFINANCE(""NSE:""&amp;UPPER(TRIM(A119)),""close"",E119-3,E119,""DAILY""),INDEX(data,ROWS(data),2)),""Not Available""))"),"")</f>
        <v/>
      </c>
      <c r="Q119" s="51"/>
      <c r="R119" s="188" t="str">
        <f t="shared" si="23"/>
        <v>#DIV/0!</v>
      </c>
      <c r="S119" s="51" t="str">
        <f>IFERROR(__xludf.DUMMYFUNCTION("IF(OR(A119="""",E119=""""),"""",IFERROR(LET(data,GOOGLEFINANCE(""NSE:""&amp;UPPER(TRIM(A119)),""close"",Q119-3,Q119,""DAILY""),INDEX(data,ROWS(data),2)),""Not Available""))"),"")</f>
        <v/>
      </c>
      <c r="T119" s="189" t="str">
        <f t="shared" si="24"/>
        <v>#DIV/0!</v>
      </c>
      <c r="U119" s="52" t="str">
        <f t="shared" si="25"/>
        <v>#DIV/0!</v>
      </c>
      <c r="V119" s="190"/>
      <c r="W119" s="190"/>
      <c r="X119" s="190"/>
      <c r="Y119" s="56"/>
    </row>
    <row r="120">
      <c r="A120" s="35" t="s">
        <v>203</v>
      </c>
      <c r="B120" s="130"/>
      <c r="C120" s="130"/>
      <c r="D120" s="130"/>
      <c r="E120" s="199"/>
      <c r="F120" s="130"/>
      <c r="G120" s="130"/>
      <c r="H120" s="130"/>
      <c r="I120" s="130"/>
      <c r="J120" s="130"/>
      <c r="K120" s="130"/>
      <c r="L120" s="130" t="str">
        <f>IFERROR(__xludf.DUMMYFUNCTION("IF(OR(A120="""",D120=""""),"""",IFERROR(LET(data,GOOGLEFINANCE(""NSE:""&amp;UPPER(TRIM(A120)),""close"",D120-3,D120,""DAILY""),INDEX(data,ROWS(data),2)),""Not Available""))"),"")</f>
        <v/>
      </c>
      <c r="M120" s="131">
        <f>IFERROR(__xludf.DUMMYFUNCTION("IF(A120="""","""",IFERROR(GOOGLEFINANCE(""NSE:""&amp;UPPER(TRIM(A120)),""price""),""Not Available""))"),268.0)</f>
        <v>268</v>
      </c>
      <c r="N120" s="132" t="str">
        <f t="shared" si="21"/>
        <v>#DIV/0!</v>
      </c>
      <c r="O120" s="133" t="str">
        <f t="shared" si="22"/>
        <v>#DIV/0!</v>
      </c>
      <c r="P120" s="47" t="str">
        <f>IFERROR(__xludf.DUMMYFUNCTION("IF(OR(A120="""",E120=""""),"""",IFERROR(LET(data,GOOGLEFINANCE(""NSE:""&amp;UPPER(TRIM(A120)),""close"",E120-3,E120,""DAILY""),INDEX(data,ROWS(data),2)),""Not Available""))"),"")</f>
        <v/>
      </c>
      <c r="Q120" s="51"/>
      <c r="R120" s="188" t="str">
        <f t="shared" si="23"/>
        <v>#DIV/0!</v>
      </c>
      <c r="S120" s="51" t="str">
        <f>IFERROR(__xludf.DUMMYFUNCTION("IF(OR(A120="""",E120=""""),"""",IFERROR(LET(data,GOOGLEFINANCE(""NSE:""&amp;UPPER(TRIM(A120)),""close"",Q120-3,Q120,""DAILY""),INDEX(data,ROWS(data),2)),""Not Available""))"),"")</f>
        <v/>
      </c>
      <c r="T120" s="189" t="str">
        <f t="shared" si="24"/>
        <v>#DIV/0!</v>
      </c>
      <c r="U120" s="52" t="str">
        <f t="shared" si="25"/>
        <v>#DIV/0!</v>
      </c>
      <c r="V120" s="190"/>
      <c r="W120" s="190"/>
      <c r="X120" s="190"/>
      <c r="Y120" s="56"/>
    </row>
    <row r="121">
      <c r="A121" s="35" t="s">
        <v>204</v>
      </c>
      <c r="B121" s="130"/>
      <c r="C121" s="130"/>
      <c r="D121" s="130"/>
      <c r="E121" s="199"/>
      <c r="F121" s="130"/>
      <c r="G121" s="130"/>
      <c r="H121" s="130"/>
      <c r="I121" s="130"/>
      <c r="J121" s="130"/>
      <c r="K121" s="130"/>
      <c r="L121" s="130" t="str">
        <f>IFERROR(__xludf.DUMMYFUNCTION("IF(OR(A121="""",D121=""""),"""",IFERROR(LET(data,GOOGLEFINANCE(""NSE:""&amp;UPPER(TRIM(A121)),""close"",D121-3,D121,""DAILY""),INDEX(data,ROWS(data),2)),""Not Available""))"),"")</f>
        <v/>
      </c>
      <c r="M121" s="131">
        <f>IFERROR(__xludf.DUMMYFUNCTION("IF(A121="""","""",IFERROR(GOOGLEFINANCE(""NSE:""&amp;UPPER(TRIM(A121)),""price""),""Not Available""))"),77.21)</f>
        <v>77.21</v>
      </c>
      <c r="N121" s="132" t="str">
        <f t="shared" si="21"/>
        <v>#DIV/0!</v>
      </c>
      <c r="O121" s="133" t="str">
        <f t="shared" si="22"/>
        <v>#DIV/0!</v>
      </c>
      <c r="P121" s="47" t="str">
        <f>IFERROR(__xludf.DUMMYFUNCTION("IF(OR(A121="""",E121=""""),"""",IFERROR(LET(data,GOOGLEFINANCE(""NSE:""&amp;UPPER(TRIM(A121)),""close"",E121-3,E121,""DAILY""),INDEX(data,ROWS(data),2)),""Not Available""))"),"")</f>
        <v/>
      </c>
      <c r="Q121" s="51"/>
      <c r="R121" s="188" t="str">
        <f t="shared" si="23"/>
        <v>#DIV/0!</v>
      </c>
      <c r="S121" s="51" t="str">
        <f>IFERROR(__xludf.DUMMYFUNCTION("IF(OR(A121="""",E121=""""),"""",IFERROR(LET(data,GOOGLEFINANCE(""NSE:""&amp;UPPER(TRIM(A121)),""close"",Q121-3,Q121,""DAILY""),INDEX(data,ROWS(data),2)),""Not Available""))"),"")</f>
        <v/>
      </c>
      <c r="T121" s="189" t="str">
        <f t="shared" si="24"/>
        <v>#DIV/0!</v>
      </c>
      <c r="U121" s="52" t="str">
        <f t="shared" si="25"/>
        <v>#DIV/0!</v>
      </c>
      <c r="V121" s="190"/>
      <c r="W121" s="190"/>
      <c r="X121" s="190"/>
      <c r="Y121" s="56"/>
    </row>
    <row r="122">
      <c r="A122" s="35" t="s">
        <v>206</v>
      </c>
      <c r="B122" s="130"/>
      <c r="C122" s="130"/>
      <c r="D122" s="130"/>
      <c r="E122" s="199"/>
      <c r="F122" s="130"/>
      <c r="G122" s="130"/>
      <c r="H122" s="130"/>
      <c r="I122" s="130"/>
      <c r="J122" s="130"/>
      <c r="K122" s="130"/>
      <c r="L122" s="130" t="str">
        <f>IFERROR(__xludf.DUMMYFUNCTION("IF(OR(A122="""",D122=""""),"""",IFERROR(LET(data,GOOGLEFINANCE(""NSE:""&amp;UPPER(TRIM(A122)),""close"",D122-3,D122,""DAILY""),INDEX(data,ROWS(data),2)),""Not Available""))"),"")</f>
        <v/>
      </c>
      <c r="M122" s="131">
        <f>IFERROR(__xludf.DUMMYFUNCTION("IF(A122="""","""",IFERROR(GOOGLEFINANCE(""NSE:""&amp;UPPER(TRIM(A122)),""price""),""Not Available""))"),1749.2)</f>
        <v>1749.2</v>
      </c>
      <c r="N122" s="132" t="str">
        <f t="shared" si="21"/>
        <v>#DIV/0!</v>
      </c>
      <c r="O122" s="133" t="str">
        <f t="shared" si="22"/>
        <v>#DIV/0!</v>
      </c>
      <c r="P122" s="47" t="str">
        <f>IFERROR(__xludf.DUMMYFUNCTION("IF(OR(A122="""",E122=""""),"""",IFERROR(LET(data,GOOGLEFINANCE(""NSE:""&amp;UPPER(TRIM(A122)),""close"",E122-3,E122,""DAILY""),INDEX(data,ROWS(data),2)),""Not Available""))"),"")</f>
        <v/>
      </c>
      <c r="Q122" s="51"/>
      <c r="R122" s="188" t="str">
        <f t="shared" si="23"/>
        <v>#DIV/0!</v>
      </c>
      <c r="S122" s="51" t="str">
        <f>IFERROR(__xludf.DUMMYFUNCTION("IF(OR(A122="""",E122=""""),"""",IFERROR(LET(data,GOOGLEFINANCE(""NSE:""&amp;UPPER(TRIM(A122)),""close"",Q122-3,Q122,""DAILY""),INDEX(data,ROWS(data),2)),""Not Available""))"),"")</f>
        <v/>
      </c>
      <c r="T122" s="189" t="str">
        <f t="shared" si="24"/>
        <v>#DIV/0!</v>
      </c>
      <c r="U122" s="52" t="str">
        <f t="shared" si="25"/>
        <v>#DIV/0!</v>
      </c>
      <c r="V122" s="190"/>
      <c r="W122" s="190"/>
      <c r="X122" s="190"/>
      <c r="Y122" s="56"/>
    </row>
    <row r="123">
      <c r="A123" s="35" t="s">
        <v>209</v>
      </c>
      <c r="B123" s="130"/>
      <c r="C123" s="130"/>
      <c r="D123" s="130"/>
      <c r="E123" s="199"/>
      <c r="F123" s="130"/>
      <c r="G123" s="130"/>
      <c r="H123" s="130"/>
      <c r="I123" s="130"/>
      <c r="J123" s="130"/>
      <c r="K123" s="130"/>
      <c r="L123" s="130" t="str">
        <f>IFERROR(__xludf.DUMMYFUNCTION("IF(OR(A123="""",D123=""""),"""",IFERROR(LET(data,GOOGLEFINANCE(""NSE:""&amp;UPPER(TRIM(A123)),""close"",D123-3,D123,""DAILY""),INDEX(data,ROWS(data),2)),""Not Available""))"),"")</f>
        <v/>
      </c>
      <c r="M123" s="131">
        <f>IFERROR(__xludf.DUMMYFUNCTION("IF(A123="""","""",IFERROR(GOOGLEFINANCE(""NSE:""&amp;UPPER(TRIM(A123)),""price""),""Not Available""))"),435.0)</f>
        <v>435</v>
      </c>
      <c r="N123" s="132" t="str">
        <f t="shared" si="21"/>
        <v>#DIV/0!</v>
      </c>
      <c r="O123" s="133" t="str">
        <f t="shared" si="22"/>
        <v>#DIV/0!</v>
      </c>
      <c r="P123" s="47" t="str">
        <f>IFERROR(__xludf.DUMMYFUNCTION("IF(OR(A123="""",E123=""""),"""",IFERROR(LET(data,GOOGLEFINANCE(""NSE:""&amp;UPPER(TRIM(A123)),""close"",E123-3,E123,""DAILY""),INDEX(data,ROWS(data),2)),""Not Available""))"),"")</f>
        <v/>
      </c>
      <c r="Q123" s="51"/>
      <c r="R123" s="188" t="str">
        <f t="shared" si="23"/>
        <v>#DIV/0!</v>
      </c>
      <c r="S123" s="51" t="str">
        <f>IFERROR(__xludf.DUMMYFUNCTION("IF(OR(A123="""",E123=""""),"""",IFERROR(LET(data,GOOGLEFINANCE(""NSE:""&amp;UPPER(TRIM(A123)),""close"",Q123-3,Q123,""DAILY""),INDEX(data,ROWS(data),2)),""Not Available""))"),"")</f>
        <v/>
      </c>
      <c r="T123" s="189" t="str">
        <f t="shared" si="24"/>
        <v>#DIV/0!</v>
      </c>
      <c r="U123" s="52" t="str">
        <f t="shared" si="25"/>
        <v>#DIV/0!</v>
      </c>
      <c r="V123" s="190"/>
      <c r="W123" s="190"/>
      <c r="X123" s="190"/>
      <c r="Y123" s="56"/>
    </row>
    <row r="124">
      <c r="A124" s="35" t="s">
        <v>211</v>
      </c>
      <c r="B124" s="130"/>
      <c r="C124" s="130"/>
      <c r="D124" s="130"/>
      <c r="E124" s="199"/>
      <c r="F124" s="130"/>
      <c r="G124" s="130"/>
      <c r="H124" s="130"/>
      <c r="I124" s="130"/>
      <c r="J124" s="130"/>
      <c r="K124" s="130"/>
      <c r="L124" s="130" t="str">
        <f>IFERROR(__xludf.DUMMYFUNCTION("IF(OR(A124="""",D124=""""),"""",IFERROR(LET(data,GOOGLEFINANCE(""NSE:""&amp;UPPER(TRIM(A124)),""close"",D124-3,D124,""DAILY""),INDEX(data,ROWS(data),2)),""Not Available""))"),"")</f>
        <v/>
      </c>
      <c r="M124" s="131">
        <f>IFERROR(__xludf.DUMMYFUNCTION("IF(A124="""","""",IFERROR(GOOGLEFINANCE(""NSE:""&amp;UPPER(TRIM(A124)),""price""),""Not Available""))"),236.0)</f>
        <v>236</v>
      </c>
      <c r="N124" s="132" t="str">
        <f t="shared" si="21"/>
        <v>#DIV/0!</v>
      </c>
      <c r="O124" s="133" t="str">
        <f t="shared" si="22"/>
        <v>#DIV/0!</v>
      </c>
      <c r="P124" s="47" t="str">
        <f>IFERROR(__xludf.DUMMYFUNCTION("IF(OR(A124="""",E124=""""),"""",IFERROR(LET(data,GOOGLEFINANCE(""NSE:""&amp;UPPER(TRIM(A124)),""close"",E124-3,E124,""DAILY""),INDEX(data,ROWS(data),2)),""Not Available""))"),"")</f>
        <v/>
      </c>
      <c r="Q124" s="51"/>
      <c r="R124" s="188" t="str">
        <f t="shared" si="23"/>
        <v>#DIV/0!</v>
      </c>
      <c r="S124" s="51" t="str">
        <f>IFERROR(__xludf.DUMMYFUNCTION("IF(OR(A124="""",E124=""""),"""",IFERROR(LET(data,GOOGLEFINANCE(""NSE:""&amp;UPPER(TRIM(A124)),""close"",Q124-3,Q124,""DAILY""),INDEX(data,ROWS(data),2)),""Not Available""))"),"")</f>
        <v/>
      </c>
      <c r="T124" s="189" t="str">
        <f t="shared" si="24"/>
        <v>#DIV/0!</v>
      </c>
      <c r="U124" s="52" t="str">
        <f t="shared" si="25"/>
        <v>#DIV/0!</v>
      </c>
      <c r="V124" s="190"/>
      <c r="W124" s="190"/>
      <c r="X124" s="190"/>
      <c r="Y124" s="56"/>
    </row>
    <row r="125">
      <c r="A125" s="35" t="s">
        <v>213</v>
      </c>
      <c r="B125" s="130"/>
      <c r="C125" s="130"/>
      <c r="D125" s="130"/>
      <c r="E125" s="199"/>
      <c r="F125" s="130"/>
      <c r="G125" s="130"/>
      <c r="H125" s="130"/>
      <c r="I125" s="130"/>
      <c r="J125" s="130"/>
      <c r="K125" s="130"/>
      <c r="L125" s="130" t="str">
        <f>IFERROR(__xludf.DUMMYFUNCTION("IF(OR(A125="""",D125=""""),"""",IFERROR(LET(data,GOOGLEFINANCE(""NSE:""&amp;UPPER(TRIM(A125)),""close"",D125-3,D125,""DAILY""),INDEX(data,ROWS(data),2)),""Not Available""))"),"")</f>
        <v/>
      </c>
      <c r="M125" s="131">
        <f>IFERROR(__xludf.DUMMYFUNCTION("IF(A125="""","""",IFERROR(GOOGLEFINANCE(""NSE:""&amp;UPPER(TRIM(A125)),""price""),""Not Available""))"),98.02)</f>
        <v>98.02</v>
      </c>
      <c r="N125" s="132" t="str">
        <f t="shared" si="21"/>
        <v>#DIV/0!</v>
      </c>
      <c r="O125" s="133" t="str">
        <f t="shared" si="22"/>
        <v>#DIV/0!</v>
      </c>
      <c r="P125" s="47" t="str">
        <f>IFERROR(__xludf.DUMMYFUNCTION("IF(OR(A125="""",E125=""""),"""",IFERROR(LET(data,GOOGLEFINANCE(""NSE:""&amp;UPPER(TRIM(A125)),""close"",E125-3,E125,""DAILY""),INDEX(data,ROWS(data),2)),""Not Available""))"),"")</f>
        <v/>
      </c>
      <c r="Q125" s="51"/>
      <c r="R125" s="188" t="str">
        <f t="shared" si="23"/>
        <v>#DIV/0!</v>
      </c>
      <c r="S125" s="51" t="str">
        <f>IFERROR(__xludf.DUMMYFUNCTION("IF(OR(A125="""",E125=""""),"""",IFERROR(LET(data,GOOGLEFINANCE(""NSE:""&amp;UPPER(TRIM(A125)),""close"",Q125-3,Q125,""DAILY""),INDEX(data,ROWS(data),2)),""Not Available""))"),"")</f>
        <v/>
      </c>
      <c r="T125" s="189" t="str">
        <f t="shared" si="24"/>
        <v>#DIV/0!</v>
      </c>
      <c r="U125" s="52" t="str">
        <f t="shared" si="25"/>
        <v>#DIV/0!</v>
      </c>
      <c r="V125" s="190"/>
      <c r="W125" s="190"/>
      <c r="X125" s="190"/>
      <c r="Y125" s="56"/>
    </row>
    <row r="126">
      <c r="A126" s="35" t="s">
        <v>215</v>
      </c>
      <c r="B126" s="130"/>
      <c r="C126" s="130"/>
      <c r="D126" s="130"/>
      <c r="E126" s="199"/>
      <c r="F126" s="130"/>
      <c r="G126" s="130"/>
      <c r="H126" s="130"/>
      <c r="I126" s="130"/>
      <c r="J126" s="130"/>
      <c r="K126" s="130"/>
      <c r="L126" s="130" t="str">
        <f>IFERROR(__xludf.DUMMYFUNCTION("IF(OR(A126="""",D126=""""),"""",IFERROR(LET(data,GOOGLEFINANCE(""NSE:""&amp;UPPER(TRIM(A126)),""close"",D126-3,D126,""DAILY""),INDEX(data,ROWS(data),2)),""Not Available""))"),"")</f>
        <v/>
      </c>
      <c r="M126" s="131">
        <f>IFERROR(__xludf.DUMMYFUNCTION("IF(A126="""","""",IFERROR(GOOGLEFINANCE(""NSE:""&amp;UPPER(TRIM(A126)),""price""),""Not Available""))"),166.1)</f>
        <v>166.1</v>
      </c>
      <c r="N126" s="132" t="str">
        <f t="shared" si="21"/>
        <v>#DIV/0!</v>
      </c>
      <c r="O126" s="133" t="str">
        <f t="shared" si="22"/>
        <v>#DIV/0!</v>
      </c>
      <c r="P126" s="47" t="str">
        <f>IFERROR(__xludf.DUMMYFUNCTION("IF(OR(A126="""",E126=""""),"""",IFERROR(LET(data,GOOGLEFINANCE(""NSE:""&amp;UPPER(TRIM(A126)),""close"",E126-3,E126,""DAILY""),INDEX(data,ROWS(data),2)),""Not Available""))"),"")</f>
        <v/>
      </c>
      <c r="Q126" s="51"/>
      <c r="R126" s="188" t="str">
        <f t="shared" si="23"/>
        <v>#DIV/0!</v>
      </c>
      <c r="S126" s="51" t="str">
        <f>IFERROR(__xludf.DUMMYFUNCTION("IF(OR(A126="""",E126=""""),"""",IFERROR(LET(data,GOOGLEFINANCE(""NSE:""&amp;UPPER(TRIM(A126)),""close"",Q126-3,Q126,""DAILY""),INDEX(data,ROWS(data),2)),""Not Available""))"),"")</f>
        <v/>
      </c>
      <c r="T126" s="189" t="str">
        <f t="shared" si="24"/>
        <v>#DIV/0!</v>
      </c>
      <c r="U126" s="52" t="str">
        <f t="shared" si="25"/>
        <v>#DIV/0!</v>
      </c>
      <c r="V126" s="190"/>
      <c r="W126" s="190"/>
      <c r="X126" s="190"/>
      <c r="Y126" s="56"/>
    </row>
    <row r="127">
      <c r="A127" s="35" t="s">
        <v>217</v>
      </c>
      <c r="B127" s="130"/>
      <c r="C127" s="130"/>
      <c r="D127" s="130"/>
      <c r="E127" s="199"/>
      <c r="F127" s="130"/>
      <c r="G127" s="130"/>
      <c r="H127" s="130"/>
      <c r="I127" s="130"/>
      <c r="J127" s="130"/>
      <c r="K127" s="130"/>
      <c r="L127" s="130" t="str">
        <f>IFERROR(__xludf.DUMMYFUNCTION("IF(OR(A127="""",D127=""""),"""",IFERROR(LET(data,GOOGLEFINANCE(""NSE:""&amp;UPPER(TRIM(A127)),""close"",D127-3,D127,""DAILY""),INDEX(data,ROWS(data),2)),""Not Available""))"),"")</f>
        <v/>
      </c>
      <c r="M127" s="131">
        <f>IFERROR(__xludf.DUMMYFUNCTION("IF(A127="""","""",IFERROR(GOOGLEFINANCE(""NSE:""&amp;UPPER(TRIM(A127)),""price""),""Not Available""))"),29.0)</f>
        <v>29</v>
      </c>
      <c r="N127" s="132" t="str">
        <f t="shared" si="21"/>
        <v>#DIV/0!</v>
      </c>
      <c r="O127" s="133" t="str">
        <f t="shared" si="22"/>
        <v>#DIV/0!</v>
      </c>
      <c r="P127" s="47" t="str">
        <f>IFERROR(__xludf.DUMMYFUNCTION("IF(OR(A127="""",E127=""""),"""",IFERROR(LET(data,GOOGLEFINANCE(""NSE:""&amp;UPPER(TRIM(A127)),""close"",E127-3,E127,""DAILY""),INDEX(data,ROWS(data),2)),""Not Available""))"),"")</f>
        <v/>
      </c>
      <c r="Q127" s="51"/>
      <c r="R127" s="188" t="str">
        <f t="shared" si="23"/>
        <v>#DIV/0!</v>
      </c>
      <c r="S127" s="51" t="str">
        <f>IFERROR(__xludf.DUMMYFUNCTION("IF(OR(A127="""",E127=""""),"""",IFERROR(LET(data,GOOGLEFINANCE(""NSE:""&amp;UPPER(TRIM(A127)),""close"",Q127-3,Q127,""DAILY""),INDEX(data,ROWS(data),2)),""Not Available""))"),"")</f>
        <v/>
      </c>
      <c r="T127" s="189" t="str">
        <f t="shared" si="24"/>
        <v>#DIV/0!</v>
      </c>
      <c r="U127" s="52" t="str">
        <f t="shared" si="25"/>
        <v>#DIV/0!</v>
      </c>
      <c r="V127" s="190"/>
      <c r="W127" s="190"/>
      <c r="X127" s="190"/>
      <c r="Y127" s="56"/>
    </row>
    <row r="128">
      <c r="A128" s="35" t="s">
        <v>219</v>
      </c>
      <c r="B128" s="130"/>
      <c r="C128" s="130"/>
      <c r="D128" s="130"/>
      <c r="E128" s="199"/>
      <c r="F128" s="130"/>
      <c r="G128" s="130"/>
      <c r="H128" s="130"/>
      <c r="I128" s="130"/>
      <c r="J128" s="130"/>
      <c r="K128" s="130"/>
      <c r="L128" s="130" t="str">
        <f>IFERROR(__xludf.DUMMYFUNCTION("IF(OR(A128="""",D128=""""),"""",IFERROR(LET(data,GOOGLEFINANCE(""NSE:""&amp;UPPER(TRIM(A128)),""close"",D128-3,D128,""DAILY""),INDEX(data,ROWS(data),2)),""Not Available""))"),"")</f>
        <v/>
      </c>
      <c r="M128" s="131">
        <f>IFERROR(__xludf.DUMMYFUNCTION("IF(A128="""","""",IFERROR(GOOGLEFINANCE(""NSE:""&amp;UPPER(TRIM(A128)),""price""),""Not Available""))"),52.4)</f>
        <v>52.4</v>
      </c>
      <c r="N128" s="132" t="str">
        <f t="shared" si="21"/>
        <v>#DIV/0!</v>
      </c>
      <c r="O128" s="133" t="str">
        <f t="shared" si="22"/>
        <v>#DIV/0!</v>
      </c>
      <c r="P128" s="47" t="str">
        <f>IFERROR(__xludf.DUMMYFUNCTION("IF(OR(A128="""",E128=""""),"""",IFERROR(LET(data,GOOGLEFINANCE(""NSE:""&amp;UPPER(TRIM(A128)),""close"",E128-3,E128,""DAILY""),INDEX(data,ROWS(data),2)),""Not Available""))"),"")</f>
        <v/>
      </c>
      <c r="Q128" s="51"/>
      <c r="R128" s="188" t="str">
        <f t="shared" si="23"/>
        <v>#DIV/0!</v>
      </c>
      <c r="S128" s="51" t="str">
        <f>IFERROR(__xludf.DUMMYFUNCTION("IF(OR(A128="""",E128=""""),"""",IFERROR(LET(data,GOOGLEFINANCE(""NSE:""&amp;UPPER(TRIM(A128)),""close"",Q128-3,Q128,""DAILY""),INDEX(data,ROWS(data),2)),""Not Available""))"),"")</f>
        <v/>
      </c>
      <c r="T128" s="189" t="str">
        <f t="shared" si="24"/>
        <v>#DIV/0!</v>
      </c>
      <c r="U128" s="52" t="str">
        <f t="shared" si="25"/>
        <v>#DIV/0!</v>
      </c>
      <c r="V128" s="190"/>
      <c r="W128" s="190"/>
      <c r="X128" s="190"/>
      <c r="Y128" s="56"/>
    </row>
    <row r="129">
      <c r="A129" s="35" t="s">
        <v>221</v>
      </c>
      <c r="B129" s="130"/>
      <c r="C129" s="130"/>
      <c r="D129" s="130"/>
      <c r="E129" s="199"/>
      <c r="F129" s="130"/>
      <c r="G129" s="130"/>
      <c r="H129" s="130"/>
      <c r="I129" s="130"/>
      <c r="J129" s="130"/>
      <c r="K129" s="130"/>
      <c r="L129" s="130" t="str">
        <f>IFERROR(__xludf.DUMMYFUNCTION("IF(OR(A129="""",D129=""""),"""",IFERROR(LET(data,GOOGLEFINANCE(""NSE:""&amp;UPPER(TRIM(A129)),""close"",D129-3,D129,""DAILY""),INDEX(data,ROWS(data),2)),""Not Available""))"),"")</f>
        <v/>
      </c>
      <c r="M129" s="131">
        <f>IFERROR(__xludf.DUMMYFUNCTION("IF(A129="""","""",IFERROR(GOOGLEFINANCE(""NSE:""&amp;UPPER(TRIM(A129)),""price""),""Not Available""))"),351.05)</f>
        <v>351.05</v>
      </c>
      <c r="N129" s="132" t="str">
        <f t="shared" si="21"/>
        <v>#DIV/0!</v>
      </c>
      <c r="O129" s="133" t="str">
        <f t="shared" si="22"/>
        <v>#DIV/0!</v>
      </c>
      <c r="P129" s="47" t="str">
        <f>IFERROR(__xludf.DUMMYFUNCTION("IF(OR(A129="""",E129=""""),"""",IFERROR(LET(data,GOOGLEFINANCE(""NSE:""&amp;UPPER(TRIM(A129)),""close"",E129-3,E129,""DAILY""),INDEX(data,ROWS(data),2)),""Not Available""))"),"")</f>
        <v/>
      </c>
      <c r="Q129" s="51"/>
      <c r="R129" s="188" t="str">
        <f t="shared" si="23"/>
        <v>#DIV/0!</v>
      </c>
      <c r="S129" s="51" t="str">
        <f>IFERROR(__xludf.DUMMYFUNCTION("IF(OR(A129="""",E129=""""),"""",IFERROR(LET(data,GOOGLEFINANCE(""NSE:""&amp;UPPER(TRIM(A129)),""close"",Q129-3,Q129,""DAILY""),INDEX(data,ROWS(data),2)),""Not Available""))"),"")</f>
        <v/>
      </c>
      <c r="T129" s="189" t="str">
        <f t="shared" si="24"/>
        <v>#DIV/0!</v>
      </c>
      <c r="U129" s="52" t="str">
        <f t="shared" si="25"/>
        <v>#DIV/0!</v>
      </c>
      <c r="V129" s="190"/>
      <c r="W129" s="190"/>
      <c r="X129" s="190"/>
      <c r="Y129" s="56"/>
    </row>
    <row r="130">
      <c r="A130" s="35" t="s">
        <v>224</v>
      </c>
      <c r="B130" s="130"/>
      <c r="C130" s="130"/>
      <c r="D130" s="130"/>
      <c r="E130" s="199"/>
      <c r="F130" s="130"/>
      <c r="G130" s="130"/>
      <c r="H130" s="130"/>
      <c r="I130" s="130"/>
      <c r="J130" s="130"/>
      <c r="K130" s="130"/>
      <c r="L130" s="130" t="str">
        <f>IFERROR(__xludf.DUMMYFUNCTION("IF(OR(A130="""",D130=""""),"""",IFERROR(LET(data,GOOGLEFINANCE(""NSE:""&amp;UPPER(TRIM(A130)),""close"",D130-3,D130,""DAILY""),INDEX(data,ROWS(data),2)),""Not Available""))"),"")</f>
        <v/>
      </c>
      <c r="M130" s="131">
        <f>IFERROR(__xludf.DUMMYFUNCTION("IF(A130="""","""",IFERROR(GOOGLEFINANCE(""NSE:""&amp;UPPER(TRIM(A130)),""price""),""Not Available""))"),20.43)</f>
        <v>20.43</v>
      </c>
      <c r="N130" s="132" t="str">
        <f t="shared" si="21"/>
        <v>#DIV/0!</v>
      </c>
      <c r="O130" s="133" t="str">
        <f t="shared" si="22"/>
        <v>#DIV/0!</v>
      </c>
      <c r="P130" s="47" t="str">
        <f>IFERROR(__xludf.DUMMYFUNCTION("IF(OR(A130="""",E130=""""),"""",IFERROR(LET(data,GOOGLEFINANCE(""NSE:""&amp;UPPER(TRIM(A130)),""close"",E130-3,E130,""DAILY""),INDEX(data,ROWS(data),2)),""Not Available""))"),"")</f>
        <v/>
      </c>
      <c r="Q130" s="51"/>
      <c r="R130" s="188" t="str">
        <f t="shared" si="23"/>
        <v>#DIV/0!</v>
      </c>
      <c r="S130" s="51" t="str">
        <f>IFERROR(__xludf.DUMMYFUNCTION("IF(OR(A130="""",E130=""""),"""",IFERROR(LET(data,GOOGLEFINANCE(""NSE:""&amp;UPPER(TRIM(A130)),""close"",Q130-3,Q130,""DAILY""),INDEX(data,ROWS(data),2)),""Not Available""))"),"")</f>
        <v/>
      </c>
      <c r="T130" s="189" t="str">
        <f t="shared" si="24"/>
        <v>#DIV/0!</v>
      </c>
      <c r="U130" s="52" t="str">
        <f t="shared" si="25"/>
        <v>#DIV/0!</v>
      </c>
      <c r="V130" s="190"/>
      <c r="W130" s="190"/>
      <c r="X130" s="190"/>
      <c r="Y130" s="56"/>
    </row>
    <row r="131">
      <c r="A131" s="35" t="s">
        <v>225</v>
      </c>
      <c r="B131" s="130"/>
      <c r="C131" s="130"/>
      <c r="D131" s="130"/>
      <c r="E131" s="199"/>
      <c r="F131" s="130"/>
      <c r="G131" s="130"/>
      <c r="H131" s="130"/>
      <c r="I131" s="130"/>
      <c r="J131" s="130"/>
      <c r="K131" s="130"/>
      <c r="L131" s="130" t="str">
        <f>IFERROR(__xludf.DUMMYFUNCTION("IF(OR(A131="""",D131=""""),"""",IFERROR(LET(data,GOOGLEFINANCE(""NSE:""&amp;UPPER(TRIM(A131)),""close"",D131-3,D131,""DAILY""),INDEX(data,ROWS(data),2)),""Not Available""))"),"")</f>
        <v/>
      </c>
      <c r="M131" s="131">
        <f>IFERROR(__xludf.DUMMYFUNCTION("IF(A131="""","""",IFERROR(GOOGLEFINANCE(""NSE:""&amp;UPPER(TRIM(A131)),""price""),""Not Available""))"),193.02)</f>
        <v>193.02</v>
      </c>
      <c r="N131" s="132" t="str">
        <f t="shared" si="21"/>
        <v>#DIV/0!</v>
      </c>
      <c r="O131" s="133" t="str">
        <f t="shared" si="22"/>
        <v>#DIV/0!</v>
      </c>
      <c r="P131" s="47" t="str">
        <f>IFERROR(__xludf.DUMMYFUNCTION("IF(OR(A131="""",E131=""""),"""",IFERROR(LET(data,GOOGLEFINANCE(""NSE:""&amp;UPPER(TRIM(A131)),""close"",E131-3,E131,""DAILY""),INDEX(data,ROWS(data),2)),""Not Available""))"),"")</f>
        <v/>
      </c>
      <c r="Q131" s="51"/>
      <c r="R131" s="188" t="str">
        <f t="shared" si="23"/>
        <v>#DIV/0!</v>
      </c>
      <c r="S131" s="51" t="str">
        <f>IFERROR(__xludf.DUMMYFUNCTION("IF(OR(A131="""",E131=""""),"""",IFERROR(LET(data,GOOGLEFINANCE(""NSE:""&amp;UPPER(TRIM(A131)),""close"",Q131-3,Q131,""DAILY""),INDEX(data,ROWS(data),2)),""Not Available""))"),"")</f>
        <v/>
      </c>
      <c r="T131" s="189" t="str">
        <f t="shared" si="24"/>
        <v>#DIV/0!</v>
      </c>
      <c r="U131" s="52" t="str">
        <f t="shared" si="25"/>
        <v>#DIV/0!</v>
      </c>
      <c r="V131" s="190"/>
      <c r="W131" s="190"/>
      <c r="X131" s="190"/>
      <c r="Y131" s="56"/>
    </row>
    <row r="132">
      <c r="A132" s="35" t="s">
        <v>228</v>
      </c>
      <c r="B132" s="130"/>
      <c r="C132" s="130"/>
      <c r="D132" s="130"/>
      <c r="E132" s="199"/>
      <c r="F132" s="130"/>
      <c r="G132" s="130"/>
      <c r="H132" s="130"/>
      <c r="I132" s="130"/>
      <c r="J132" s="130"/>
      <c r="K132" s="130"/>
      <c r="L132" s="130" t="str">
        <f>IFERROR(__xludf.DUMMYFUNCTION("IF(OR(A132="""",D132=""""),"""",IFERROR(LET(data,GOOGLEFINANCE(""NSE:""&amp;UPPER(TRIM(A132)),""close"",D132-3,D132,""DAILY""),INDEX(data,ROWS(data),2)),""Not Available""))"),"")</f>
        <v/>
      </c>
      <c r="M132" s="131">
        <f>IFERROR(__xludf.DUMMYFUNCTION("IF(A132="""","""",IFERROR(GOOGLEFINANCE(""NSE:""&amp;UPPER(TRIM(A132)),""price""),""Not Available""))"),178.32)</f>
        <v>178.32</v>
      </c>
      <c r="N132" s="132" t="str">
        <f t="shared" si="21"/>
        <v>#DIV/0!</v>
      </c>
      <c r="O132" s="133" t="str">
        <f t="shared" si="22"/>
        <v>#DIV/0!</v>
      </c>
      <c r="P132" s="47" t="str">
        <f>IFERROR(__xludf.DUMMYFUNCTION("IF(OR(A132="""",E132=""""),"""",IFERROR(LET(data,GOOGLEFINANCE(""NSE:""&amp;UPPER(TRIM(A132)),""close"",E132-3,E132,""DAILY""),INDEX(data,ROWS(data),2)),""Not Available""))"),"")</f>
        <v/>
      </c>
      <c r="Q132" s="51"/>
      <c r="R132" s="188" t="str">
        <f t="shared" si="23"/>
        <v>#DIV/0!</v>
      </c>
      <c r="S132" s="51" t="str">
        <f>IFERROR(__xludf.DUMMYFUNCTION("IF(OR(A132="""",E132=""""),"""",IFERROR(LET(data,GOOGLEFINANCE(""NSE:""&amp;UPPER(TRIM(A132)),""close"",Q132-3,Q132,""DAILY""),INDEX(data,ROWS(data),2)),""Not Available""))"),"")</f>
        <v/>
      </c>
      <c r="T132" s="189" t="str">
        <f t="shared" si="24"/>
        <v>#DIV/0!</v>
      </c>
      <c r="U132" s="52" t="str">
        <f t="shared" si="25"/>
        <v>#DIV/0!</v>
      </c>
      <c r="V132" s="190"/>
      <c r="W132" s="190"/>
      <c r="X132" s="190"/>
      <c r="Y132" s="56"/>
    </row>
    <row r="133">
      <c r="A133" s="35" t="s">
        <v>229</v>
      </c>
      <c r="B133" s="130"/>
      <c r="C133" s="130"/>
      <c r="D133" s="130"/>
      <c r="E133" s="199"/>
      <c r="F133" s="130"/>
      <c r="G133" s="130"/>
      <c r="H133" s="130"/>
      <c r="I133" s="130"/>
      <c r="J133" s="130"/>
      <c r="K133" s="130"/>
      <c r="L133" s="130" t="str">
        <f>IFERROR(__xludf.DUMMYFUNCTION("IF(OR(A133="""",D133=""""),"""",IFERROR(LET(data,GOOGLEFINANCE(""NSE:""&amp;UPPER(TRIM(A133)),""close"",D133-3,D133,""DAILY""),INDEX(data,ROWS(data),2)),""Not Available""))"),"")</f>
        <v/>
      </c>
      <c r="M133" s="131">
        <f>IFERROR(__xludf.DUMMYFUNCTION("IF(A133="""","""",IFERROR(GOOGLEFINANCE(""NSE:""&amp;UPPER(TRIM(A133)),""price""),""Not Available""))"),237.6)</f>
        <v>237.6</v>
      </c>
      <c r="N133" s="132" t="str">
        <f t="shared" si="21"/>
        <v>#DIV/0!</v>
      </c>
      <c r="O133" s="133" t="str">
        <f t="shared" si="22"/>
        <v>#DIV/0!</v>
      </c>
      <c r="P133" s="47" t="str">
        <f>IFERROR(__xludf.DUMMYFUNCTION("IF(OR(A133="""",E133=""""),"""",IFERROR(LET(data,GOOGLEFINANCE(""NSE:""&amp;UPPER(TRIM(A133)),""close"",E133-3,E133,""DAILY""),INDEX(data,ROWS(data),2)),""Not Available""))"),"")</f>
        <v/>
      </c>
      <c r="Q133" s="51"/>
      <c r="R133" s="188" t="str">
        <f t="shared" si="23"/>
        <v>#DIV/0!</v>
      </c>
      <c r="S133" s="51" t="str">
        <f>IFERROR(__xludf.DUMMYFUNCTION("IF(OR(A133="""",E133=""""),"""",IFERROR(LET(data,GOOGLEFINANCE(""NSE:""&amp;UPPER(TRIM(A133)),""close"",Q133-3,Q133,""DAILY""),INDEX(data,ROWS(data),2)),""Not Available""))"),"")</f>
        <v/>
      </c>
      <c r="T133" s="189" t="str">
        <f t="shared" si="24"/>
        <v>#DIV/0!</v>
      </c>
      <c r="U133" s="52" t="str">
        <f t="shared" si="25"/>
        <v>#DIV/0!</v>
      </c>
      <c r="V133" s="190"/>
      <c r="W133" s="190"/>
      <c r="X133" s="190"/>
      <c r="Y133" s="56"/>
    </row>
    <row r="134">
      <c r="A134" s="35" t="s">
        <v>231</v>
      </c>
      <c r="B134" s="130"/>
      <c r="C134" s="130"/>
      <c r="D134" s="130"/>
      <c r="E134" s="199"/>
      <c r="F134" s="130"/>
      <c r="G134" s="130"/>
      <c r="H134" s="130"/>
      <c r="I134" s="130"/>
      <c r="J134" s="130"/>
      <c r="K134" s="130"/>
      <c r="L134" s="130" t="str">
        <f>IFERROR(__xludf.DUMMYFUNCTION("IF(OR(A134="""",D134=""""),"""",IFERROR(LET(data,GOOGLEFINANCE(""NSE:""&amp;UPPER(TRIM(A134)),""close"",D134-3,D134,""DAILY""),INDEX(data,ROWS(data),2)),""Not Available""))"),"")</f>
        <v/>
      </c>
      <c r="M134" s="131">
        <f>IFERROR(__xludf.DUMMYFUNCTION("IF(A134="""","""",IFERROR(GOOGLEFINANCE(""NSE:""&amp;UPPER(TRIM(A134)),""price""),""Not Available""))"),432.8)</f>
        <v>432.8</v>
      </c>
      <c r="N134" s="132" t="str">
        <f t="shared" si="21"/>
        <v>#DIV/0!</v>
      </c>
      <c r="O134" s="133" t="str">
        <f t="shared" si="22"/>
        <v>#DIV/0!</v>
      </c>
      <c r="P134" s="47" t="str">
        <f>IFERROR(__xludf.DUMMYFUNCTION("IF(OR(A134="""",E134=""""),"""",IFERROR(LET(data,GOOGLEFINANCE(""NSE:""&amp;UPPER(TRIM(A134)),""close"",E134-3,E134,""DAILY""),INDEX(data,ROWS(data),2)),""Not Available""))"),"")</f>
        <v/>
      </c>
      <c r="Q134" s="51"/>
      <c r="R134" s="188" t="str">
        <f t="shared" si="23"/>
        <v>#DIV/0!</v>
      </c>
      <c r="S134" s="51" t="str">
        <f>IFERROR(__xludf.DUMMYFUNCTION("IF(OR(A134="""",E134=""""),"""",IFERROR(LET(data,GOOGLEFINANCE(""NSE:""&amp;UPPER(TRIM(A134)),""close"",Q134-3,Q134,""DAILY""),INDEX(data,ROWS(data),2)),""Not Available""))"),"")</f>
        <v/>
      </c>
      <c r="T134" s="189" t="str">
        <f t="shared" si="24"/>
        <v>#DIV/0!</v>
      </c>
      <c r="U134" s="52" t="str">
        <f t="shared" si="25"/>
        <v>#DIV/0!</v>
      </c>
      <c r="V134" s="190"/>
      <c r="W134" s="190"/>
      <c r="X134" s="190"/>
      <c r="Y134" s="56"/>
    </row>
    <row r="135">
      <c r="A135" s="35" t="s">
        <v>232</v>
      </c>
      <c r="B135" s="130"/>
      <c r="C135" s="130"/>
      <c r="D135" s="130"/>
      <c r="E135" s="199"/>
      <c r="F135" s="130"/>
      <c r="G135" s="130"/>
      <c r="H135" s="130"/>
      <c r="I135" s="130"/>
      <c r="J135" s="130"/>
      <c r="K135" s="130"/>
      <c r="L135" s="130" t="str">
        <f>IFERROR(__xludf.DUMMYFUNCTION("IF(OR(A135="""",D135=""""),"""",IFERROR(LET(data,GOOGLEFINANCE(""NSE:""&amp;UPPER(TRIM(A135)),""close"",D135-3,D135,""DAILY""),INDEX(data,ROWS(data),2)),""Not Available""))"),"")</f>
        <v/>
      </c>
      <c r="M135" s="131">
        <f>IFERROR(__xludf.DUMMYFUNCTION("IF(A135="""","""",IFERROR(GOOGLEFINANCE(""NSE:""&amp;UPPER(TRIM(A135)),""price""),""Not Available""))"),935.1)</f>
        <v>935.1</v>
      </c>
      <c r="N135" s="132" t="str">
        <f t="shared" si="21"/>
        <v>#DIV/0!</v>
      </c>
      <c r="O135" s="133" t="str">
        <f t="shared" si="22"/>
        <v>#DIV/0!</v>
      </c>
      <c r="P135" s="47" t="str">
        <f>IFERROR(__xludf.DUMMYFUNCTION("IF(OR(A135="""",E135=""""),"""",IFERROR(LET(data,GOOGLEFINANCE(""NSE:""&amp;UPPER(TRIM(A135)),""close"",E135-3,E135,""DAILY""),INDEX(data,ROWS(data),2)),""Not Available""))"),"")</f>
        <v/>
      </c>
      <c r="Q135" s="51"/>
      <c r="R135" s="188" t="str">
        <f t="shared" si="23"/>
        <v>#DIV/0!</v>
      </c>
      <c r="S135" s="51" t="str">
        <f>IFERROR(__xludf.DUMMYFUNCTION("IF(OR(A135="""",E135=""""),"""",IFERROR(LET(data,GOOGLEFINANCE(""NSE:""&amp;UPPER(TRIM(A135)),""close"",Q135-3,Q135,""DAILY""),INDEX(data,ROWS(data),2)),""Not Available""))"),"")</f>
        <v/>
      </c>
      <c r="T135" s="189" t="str">
        <f t="shared" si="24"/>
        <v>#DIV/0!</v>
      </c>
      <c r="U135" s="52" t="str">
        <f t="shared" si="25"/>
        <v>#DIV/0!</v>
      </c>
      <c r="V135" s="190"/>
      <c r="W135" s="190"/>
      <c r="X135" s="190"/>
      <c r="Y135" s="56"/>
    </row>
    <row r="136">
      <c r="A136" s="35" t="s">
        <v>46</v>
      </c>
      <c r="B136" s="130"/>
      <c r="C136" s="130"/>
      <c r="D136" s="130"/>
      <c r="E136" s="199"/>
      <c r="F136" s="130"/>
      <c r="G136" s="130"/>
      <c r="H136" s="130"/>
      <c r="I136" s="130"/>
      <c r="J136" s="130"/>
      <c r="K136" s="130"/>
      <c r="L136" s="130" t="str">
        <f>IFERROR(__xludf.DUMMYFUNCTION("IF(OR(A136="""",D136=""""),"""",IFERROR(LET(data,GOOGLEFINANCE(""NSE:""&amp;UPPER(TRIM(A136)),""close"",D136-3,D136,""DAILY""),INDEX(data,ROWS(data),2)),""Not Available""))"),"")</f>
        <v/>
      </c>
      <c r="M136" s="131">
        <f>IFERROR(__xludf.DUMMYFUNCTION("IF(A136="""","""",IFERROR(GOOGLEFINANCE(""NSE:""&amp;UPPER(TRIM(A136)),""price""),""Not Available""))"),83.16)</f>
        <v>83.16</v>
      </c>
      <c r="N136" s="132" t="str">
        <f t="shared" si="21"/>
        <v>#DIV/0!</v>
      </c>
      <c r="O136" s="133" t="str">
        <f t="shared" si="22"/>
        <v>#DIV/0!</v>
      </c>
      <c r="P136" s="47" t="str">
        <f>IFERROR(__xludf.DUMMYFUNCTION("IF(OR(A136="""",E136=""""),"""",IFERROR(LET(data,GOOGLEFINANCE(""NSE:""&amp;UPPER(TRIM(A136)),""close"",E136-3,E136,""DAILY""),INDEX(data,ROWS(data),2)),""Not Available""))"),"")</f>
        <v/>
      </c>
      <c r="Q136" s="51"/>
      <c r="R136" s="188" t="str">
        <f t="shared" si="23"/>
        <v>#DIV/0!</v>
      </c>
      <c r="S136" s="51" t="str">
        <f>IFERROR(__xludf.DUMMYFUNCTION("IF(OR(A136="""",E136=""""),"""",IFERROR(LET(data,GOOGLEFINANCE(""NSE:""&amp;UPPER(TRIM(A136)),""close"",Q136-3,Q136,""DAILY""),INDEX(data,ROWS(data),2)),""Not Available""))"),"")</f>
        <v/>
      </c>
      <c r="T136" s="189" t="str">
        <f t="shared" si="24"/>
        <v>#DIV/0!</v>
      </c>
      <c r="U136" s="52" t="str">
        <f t="shared" si="25"/>
        <v>#DIV/0!</v>
      </c>
      <c r="V136" s="190"/>
      <c r="W136" s="190"/>
      <c r="X136" s="190"/>
      <c r="Y136" s="56"/>
    </row>
    <row r="137">
      <c r="A137" s="35" t="s">
        <v>235</v>
      </c>
      <c r="B137" s="130"/>
      <c r="C137" s="130"/>
      <c r="D137" s="130"/>
      <c r="E137" s="199"/>
      <c r="F137" s="130"/>
      <c r="G137" s="130"/>
      <c r="H137" s="130"/>
      <c r="I137" s="130"/>
      <c r="J137" s="130"/>
      <c r="K137" s="130"/>
      <c r="L137" s="130" t="str">
        <f>IFERROR(__xludf.DUMMYFUNCTION("IF(OR(A137="""",D137=""""),"""",IFERROR(LET(data,GOOGLEFINANCE(""NSE:""&amp;UPPER(TRIM(A137)),""close"",D137-3,D137,""DAILY""),INDEX(data,ROWS(data),2)),""Not Available""))"),"")</f>
        <v/>
      </c>
      <c r="M137" s="131">
        <f>IFERROR(__xludf.DUMMYFUNCTION("IF(A137="""","""",IFERROR(GOOGLEFINANCE(""NSE:""&amp;UPPER(TRIM(A137)),""price""),""Not Available""))"),424.6)</f>
        <v>424.6</v>
      </c>
      <c r="N137" s="132" t="str">
        <f t="shared" si="21"/>
        <v>#DIV/0!</v>
      </c>
      <c r="O137" s="133" t="str">
        <f t="shared" si="22"/>
        <v>#DIV/0!</v>
      </c>
      <c r="P137" s="47" t="str">
        <f>IFERROR(__xludf.DUMMYFUNCTION("IF(OR(A137="""",E137=""""),"""",IFERROR(LET(data,GOOGLEFINANCE(""NSE:""&amp;UPPER(TRIM(A137)),""close"",E137-3,E137,""DAILY""),INDEX(data,ROWS(data),2)),""Not Available""))"),"")</f>
        <v/>
      </c>
      <c r="Q137" s="51"/>
      <c r="R137" s="188" t="str">
        <f t="shared" si="23"/>
        <v>#DIV/0!</v>
      </c>
      <c r="S137" s="51" t="str">
        <f>IFERROR(__xludf.DUMMYFUNCTION("IF(OR(A137="""",E137=""""),"""",IFERROR(LET(data,GOOGLEFINANCE(""NSE:""&amp;UPPER(TRIM(A137)),""close"",Q137-3,Q137,""DAILY""),INDEX(data,ROWS(data),2)),""Not Available""))"),"")</f>
        <v/>
      </c>
      <c r="T137" s="189" t="str">
        <f t="shared" si="24"/>
        <v>#DIV/0!</v>
      </c>
      <c r="U137" s="52" t="str">
        <f t="shared" si="25"/>
        <v>#DIV/0!</v>
      </c>
      <c r="V137" s="190"/>
      <c r="W137" s="190"/>
      <c r="X137" s="190"/>
      <c r="Y137" s="56"/>
    </row>
    <row r="138">
      <c r="A138" s="35" t="s">
        <v>237</v>
      </c>
      <c r="B138" s="130"/>
      <c r="C138" s="130"/>
      <c r="D138" s="130"/>
      <c r="E138" s="199"/>
      <c r="F138" s="130"/>
      <c r="G138" s="130"/>
      <c r="H138" s="130"/>
      <c r="I138" s="130"/>
      <c r="J138" s="130"/>
      <c r="K138" s="130"/>
      <c r="L138" s="130" t="str">
        <f>IFERROR(__xludf.DUMMYFUNCTION("IF(OR(A138="""",D138=""""),"""",IFERROR(LET(data,GOOGLEFINANCE(""NSE:""&amp;UPPER(TRIM(A138)),""close"",D138-3,D138,""DAILY""),INDEX(data,ROWS(data),2)),""Not Available""))"),"")</f>
        <v/>
      </c>
      <c r="M138" s="131">
        <f>IFERROR(__xludf.DUMMYFUNCTION("IF(A138="""","""",IFERROR(GOOGLEFINANCE(""NSE:""&amp;UPPER(TRIM(A138)),""price""),""Not Available""))"),485.7)</f>
        <v>485.7</v>
      </c>
      <c r="N138" s="132" t="str">
        <f t="shared" si="21"/>
        <v>#DIV/0!</v>
      </c>
      <c r="O138" s="133" t="str">
        <f t="shared" si="22"/>
        <v>#DIV/0!</v>
      </c>
      <c r="P138" s="47" t="str">
        <f>IFERROR(__xludf.DUMMYFUNCTION("IF(OR(A138="""",E138=""""),"""",IFERROR(LET(data,GOOGLEFINANCE(""NSE:""&amp;UPPER(TRIM(A138)),""close"",E138-3,E138,""DAILY""),INDEX(data,ROWS(data),2)),""Not Available""))"),"")</f>
        <v/>
      </c>
      <c r="Q138" s="51"/>
      <c r="R138" s="188" t="str">
        <f t="shared" si="23"/>
        <v>#DIV/0!</v>
      </c>
      <c r="S138" s="51" t="str">
        <f>IFERROR(__xludf.DUMMYFUNCTION("IF(OR(A138="""",E138=""""),"""",IFERROR(LET(data,GOOGLEFINANCE(""NSE:""&amp;UPPER(TRIM(A138)),""close"",Q138-3,Q138,""DAILY""),INDEX(data,ROWS(data),2)),""Not Available""))"),"")</f>
        <v/>
      </c>
      <c r="T138" s="189" t="str">
        <f t="shared" si="24"/>
        <v>#DIV/0!</v>
      </c>
      <c r="U138" s="52" t="str">
        <f t="shared" si="25"/>
        <v>#DIV/0!</v>
      </c>
      <c r="V138" s="190"/>
      <c r="W138" s="190"/>
      <c r="X138" s="190"/>
      <c r="Y138" s="56"/>
    </row>
    <row r="139">
      <c r="A139" s="35" t="s">
        <v>239</v>
      </c>
      <c r="B139" s="130"/>
      <c r="C139" s="130"/>
      <c r="D139" s="130"/>
      <c r="E139" s="199"/>
      <c r="F139" s="130"/>
      <c r="G139" s="130"/>
      <c r="H139" s="130"/>
      <c r="I139" s="130"/>
      <c r="J139" s="130"/>
      <c r="K139" s="130"/>
      <c r="L139" s="130" t="str">
        <f>IFERROR(__xludf.DUMMYFUNCTION("IF(OR(A139="""",D139=""""),"""",IFERROR(LET(data,GOOGLEFINANCE(""NSE:""&amp;UPPER(TRIM(A139)),""close"",D139-3,D139,""DAILY""),INDEX(data,ROWS(data),2)),""Not Available""))"),"")</f>
        <v/>
      </c>
      <c r="M139" s="131">
        <f>IFERROR(__xludf.DUMMYFUNCTION("IF(A139="""","""",IFERROR(GOOGLEFINANCE(""NSE:""&amp;UPPER(TRIM(A139)),""price""),""Not Available""))"),9.14)</f>
        <v>9.14</v>
      </c>
      <c r="N139" s="132" t="str">
        <f t="shared" si="21"/>
        <v>#DIV/0!</v>
      </c>
      <c r="O139" s="133" t="str">
        <f t="shared" si="22"/>
        <v>#DIV/0!</v>
      </c>
      <c r="P139" s="47" t="str">
        <f>IFERROR(__xludf.DUMMYFUNCTION("IF(OR(A139="""",E139=""""),"""",IFERROR(LET(data,GOOGLEFINANCE(""NSE:""&amp;UPPER(TRIM(A139)),""close"",E139-3,E139,""DAILY""),INDEX(data,ROWS(data),2)),""Not Available""))"),"")</f>
        <v/>
      </c>
      <c r="Q139" s="51"/>
      <c r="R139" s="188" t="str">
        <f t="shared" si="23"/>
        <v>#DIV/0!</v>
      </c>
      <c r="S139" s="51" t="str">
        <f>IFERROR(__xludf.DUMMYFUNCTION("IF(OR(A139="""",E139=""""),"""",IFERROR(LET(data,GOOGLEFINANCE(""NSE:""&amp;UPPER(TRIM(A139)),""close"",Q139-3,Q139,""DAILY""),INDEX(data,ROWS(data),2)),""Not Available""))"),"")</f>
        <v/>
      </c>
      <c r="T139" s="189" t="str">
        <f t="shared" si="24"/>
        <v>#DIV/0!</v>
      </c>
      <c r="U139" s="52" t="str">
        <f t="shared" si="25"/>
        <v>#DIV/0!</v>
      </c>
      <c r="V139" s="190"/>
      <c r="W139" s="190"/>
      <c r="X139" s="190"/>
      <c r="Y139" s="56"/>
    </row>
    <row r="140">
      <c r="A140" s="35" t="s">
        <v>241</v>
      </c>
      <c r="B140" s="130"/>
      <c r="C140" s="130"/>
      <c r="D140" s="130"/>
      <c r="E140" s="199"/>
      <c r="F140" s="130"/>
      <c r="G140" s="130"/>
      <c r="H140" s="130"/>
      <c r="I140" s="130"/>
      <c r="J140" s="130"/>
      <c r="K140" s="130"/>
      <c r="L140" s="130" t="str">
        <f>IFERROR(__xludf.DUMMYFUNCTION("IF(OR(A140="""",D140=""""),"""",IFERROR(LET(data,GOOGLEFINANCE(""NSE:""&amp;UPPER(TRIM(A140)),""close"",D140-3,D140,""DAILY""),INDEX(data,ROWS(data),2)),""Not Available""))"),"")</f>
        <v/>
      </c>
      <c r="M140" s="131">
        <f>IFERROR(__xludf.DUMMYFUNCTION("IF(A140="""","""",IFERROR(GOOGLEFINANCE(""NSE:""&amp;UPPER(TRIM(A140)),""price""),""Not Available""))"),120.5)</f>
        <v>120.5</v>
      </c>
      <c r="N140" s="132" t="str">
        <f t="shared" si="21"/>
        <v>#DIV/0!</v>
      </c>
      <c r="O140" s="133" t="str">
        <f t="shared" si="22"/>
        <v>#DIV/0!</v>
      </c>
      <c r="P140" s="47" t="str">
        <f>IFERROR(__xludf.DUMMYFUNCTION("IF(OR(A140="""",E140=""""),"""",IFERROR(LET(data,GOOGLEFINANCE(""NSE:""&amp;UPPER(TRIM(A140)),""close"",E140-3,E140,""DAILY""),INDEX(data,ROWS(data),2)),""Not Available""))"),"")</f>
        <v/>
      </c>
      <c r="Q140" s="51"/>
      <c r="R140" s="188" t="str">
        <f t="shared" si="23"/>
        <v>#DIV/0!</v>
      </c>
      <c r="S140" s="51" t="str">
        <f>IFERROR(__xludf.DUMMYFUNCTION("IF(OR(A140="""",E140=""""),"""",IFERROR(LET(data,GOOGLEFINANCE(""NSE:""&amp;UPPER(TRIM(A140)),""close"",Q140-3,Q140,""DAILY""),INDEX(data,ROWS(data),2)),""Not Available""))"),"")</f>
        <v/>
      </c>
      <c r="T140" s="189" t="str">
        <f t="shared" si="24"/>
        <v>#DIV/0!</v>
      </c>
      <c r="U140" s="52" t="str">
        <f t="shared" si="25"/>
        <v>#DIV/0!</v>
      </c>
      <c r="V140" s="190"/>
      <c r="W140" s="190"/>
      <c r="X140" s="190"/>
      <c r="Y140" s="56"/>
    </row>
    <row r="141">
      <c r="A141" s="35" t="s">
        <v>224</v>
      </c>
      <c r="B141" s="130"/>
      <c r="C141" s="130"/>
      <c r="D141" s="130"/>
      <c r="E141" s="199"/>
      <c r="F141" s="130"/>
      <c r="G141" s="130"/>
      <c r="H141" s="130"/>
      <c r="I141" s="130"/>
      <c r="J141" s="130"/>
      <c r="K141" s="130"/>
      <c r="L141" s="130" t="str">
        <f>IFERROR(__xludf.DUMMYFUNCTION("IF(OR(A141="""",D141=""""),"""",IFERROR(LET(data,GOOGLEFINANCE(""NSE:""&amp;UPPER(TRIM(A141)),""close"",D141-3,D141,""DAILY""),INDEX(data,ROWS(data),2)),""Not Available""))"),"")</f>
        <v/>
      </c>
      <c r="M141" s="131">
        <f>IFERROR(__xludf.DUMMYFUNCTION("IF(A141="""","""",IFERROR(GOOGLEFINANCE(""NSE:""&amp;UPPER(TRIM(A141)),""price""),""Not Available""))"),20.43)</f>
        <v>20.43</v>
      </c>
      <c r="N141" s="132" t="str">
        <f t="shared" si="21"/>
        <v>#DIV/0!</v>
      </c>
      <c r="O141" s="133" t="str">
        <f t="shared" si="22"/>
        <v>#DIV/0!</v>
      </c>
      <c r="P141" s="47" t="str">
        <f>IFERROR(__xludf.DUMMYFUNCTION("IF(OR(A141="""",E141=""""),"""",IFERROR(LET(data,GOOGLEFINANCE(""NSE:""&amp;UPPER(TRIM(A141)),""close"",E141-3,E141,""DAILY""),INDEX(data,ROWS(data),2)),""Not Available""))"),"")</f>
        <v/>
      </c>
      <c r="Q141" s="51"/>
      <c r="R141" s="188" t="str">
        <f t="shared" si="23"/>
        <v>#DIV/0!</v>
      </c>
      <c r="S141" s="51" t="str">
        <f>IFERROR(__xludf.DUMMYFUNCTION("IF(OR(A141="""",E141=""""),"""",IFERROR(LET(data,GOOGLEFINANCE(""NSE:""&amp;UPPER(TRIM(A141)),""close"",Q141-3,Q141,""DAILY""),INDEX(data,ROWS(data),2)),""Not Available""))"),"")</f>
        <v/>
      </c>
      <c r="T141" s="189" t="str">
        <f t="shared" si="24"/>
        <v>#DIV/0!</v>
      </c>
      <c r="U141" s="52" t="str">
        <f t="shared" si="25"/>
        <v>#DIV/0!</v>
      </c>
      <c r="V141" s="190"/>
      <c r="W141" s="190"/>
      <c r="X141" s="190"/>
      <c r="Y141" s="56"/>
    </row>
    <row r="142">
      <c r="A142" s="35" t="s">
        <v>243</v>
      </c>
      <c r="B142" s="130"/>
      <c r="C142" s="130"/>
      <c r="D142" s="130"/>
      <c r="E142" s="199"/>
      <c r="F142" s="130"/>
      <c r="G142" s="130"/>
      <c r="H142" s="130"/>
      <c r="I142" s="130"/>
      <c r="J142" s="130"/>
      <c r="K142" s="130"/>
      <c r="L142" s="130" t="str">
        <f>IFERROR(__xludf.DUMMYFUNCTION("IF(OR(A142="""",D142=""""),"""",IFERROR(LET(data,GOOGLEFINANCE(""NSE:""&amp;UPPER(TRIM(A142)),""close"",D142-3,D142,""DAILY""),INDEX(data,ROWS(data),2)),""Not Available""))"),"")</f>
        <v/>
      </c>
      <c r="M142" s="131">
        <f>IFERROR(__xludf.DUMMYFUNCTION("IF(A142="""","""",IFERROR(GOOGLEFINANCE(""NSE:""&amp;UPPER(TRIM(A142)),""price""),""Not Available""))"),4627.0)</f>
        <v>4627</v>
      </c>
      <c r="N142" s="132" t="str">
        <f t="shared" si="21"/>
        <v>#DIV/0!</v>
      </c>
      <c r="O142" s="133" t="str">
        <f t="shared" si="22"/>
        <v>#DIV/0!</v>
      </c>
      <c r="P142" s="47" t="str">
        <f>IFERROR(__xludf.DUMMYFUNCTION("IF(OR(A142="""",E142=""""),"""",IFERROR(LET(data,GOOGLEFINANCE(""NSE:""&amp;UPPER(TRIM(A142)),""close"",E142-3,E142,""DAILY""),INDEX(data,ROWS(data),2)),""Not Available""))"),"")</f>
        <v/>
      </c>
      <c r="Q142" s="51"/>
      <c r="R142" s="188" t="str">
        <f t="shared" si="23"/>
        <v>#DIV/0!</v>
      </c>
      <c r="S142" s="51" t="str">
        <f>IFERROR(__xludf.DUMMYFUNCTION("IF(OR(A142="""",E142=""""),"""",IFERROR(LET(data,GOOGLEFINANCE(""NSE:""&amp;UPPER(TRIM(A142)),""close"",Q142-3,Q142,""DAILY""),INDEX(data,ROWS(data),2)),""Not Available""))"),"")</f>
        <v/>
      </c>
      <c r="T142" s="189" t="str">
        <f t="shared" si="24"/>
        <v>#DIV/0!</v>
      </c>
      <c r="U142" s="52" t="str">
        <f t="shared" si="25"/>
        <v>#DIV/0!</v>
      </c>
      <c r="V142" s="190"/>
      <c r="W142" s="190"/>
      <c r="X142" s="190"/>
      <c r="Y142" s="56"/>
    </row>
    <row r="143">
      <c r="A143" s="35" t="s">
        <v>244</v>
      </c>
      <c r="B143" s="130"/>
      <c r="C143" s="130"/>
      <c r="D143" s="130"/>
      <c r="E143" s="199"/>
      <c r="F143" s="130"/>
      <c r="G143" s="130"/>
      <c r="H143" s="130"/>
      <c r="I143" s="130"/>
      <c r="J143" s="130"/>
      <c r="K143" s="130"/>
      <c r="L143" s="130" t="str">
        <f>IFERROR(__xludf.DUMMYFUNCTION("IF(OR(A143="""",D143=""""),"""",IFERROR(LET(data,GOOGLEFINANCE(""NSE:""&amp;UPPER(TRIM(A143)),""close"",D143-3,D143,""DAILY""),INDEX(data,ROWS(data),2)),""Not Available""))"),"")</f>
        <v/>
      </c>
      <c r="M143" s="131">
        <f>IFERROR(__xludf.DUMMYFUNCTION("IF(A143="""","""",IFERROR(GOOGLEFINANCE(""NSE:""&amp;UPPER(TRIM(A143)),""price""),""Not Available""))"),466.1)</f>
        <v>466.1</v>
      </c>
      <c r="N143" s="132" t="str">
        <f t="shared" si="21"/>
        <v>#DIV/0!</v>
      </c>
      <c r="O143" s="133" t="str">
        <f t="shared" si="22"/>
        <v>#DIV/0!</v>
      </c>
      <c r="P143" s="47" t="str">
        <f>IFERROR(__xludf.DUMMYFUNCTION("IF(OR(A143="""",E143=""""),"""",IFERROR(LET(data,GOOGLEFINANCE(""NSE:""&amp;UPPER(TRIM(A143)),""close"",E143-3,E143,""DAILY""),INDEX(data,ROWS(data),2)),""Not Available""))"),"")</f>
        <v/>
      </c>
      <c r="Q143" s="51"/>
      <c r="R143" s="188" t="str">
        <f t="shared" si="23"/>
        <v>#DIV/0!</v>
      </c>
      <c r="S143" s="51" t="str">
        <f>IFERROR(__xludf.DUMMYFUNCTION("IF(OR(A143="""",E143=""""),"""",IFERROR(LET(data,GOOGLEFINANCE(""NSE:""&amp;UPPER(TRIM(A143)),""close"",Q143-3,Q143,""DAILY""),INDEX(data,ROWS(data),2)),""Not Available""))"),"")</f>
        <v/>
      </c>
      <c r="T143" s="189" t="str">
        <f t="shared" si="24"/>
        <v>#DIV/0!</v>
      </c>
      <c r="U143" s="52" t="str">
        <f t="shared" si="25"/>
        <v>#DIV/0!</v>
      </c>
      <c r="V143" s="190"/>
      <c r="W143" s="190"/>
      <c r="X143" s="190"/>
      <c r="Y143" s="56"/>
    </row>
    <row r="144">
      <c r="A144" s="206" t="s">
        <v>247</v>
      </c>
      <c r="B144" s="130"/>
      <c r="C144" s="130"/>
      <c r="D144" s="130"/>
      <c r="E144" s="199"/>
      <c r="F144" s="130"/>
      <c r="G144" s="130"/>
      <c r="H144" s="130"/>
      <c r="I144" s="130"/>
      <c r="J144" s="130"/>
      <c r="K144" s="130"/>
      <c r="L144" s="130" t="str">
        <f>IFERROR(__xludf.DUMMYFUNCTION("IF(OR(A144="""",D144=""""),"""",IFERROR(LET(data,GOOGLEFINANCE(""NSE:""&amp;UPPER(TRIM(A144)),""close"",D144-3,D144,""DAILY""),INDEX(data,ROWS(data),2)),""Not Available""))"),"")</f>
        <v/>
      </c>
      <c r="M144" s="131">
        <f>IFERROR(__xludf.DUMMYFUNCTION("IF(A144="""","""",IFERROR(GOOGLEFINANCE(""NSE:""&amp;UPPER(TRIM(A144)),""price""),""Not Available""))"),222.7)</f>
        <v>222.7</v>
      </c>
      <c r="N144" s="132" t="str">
        <f t="shared" si="21"/>
        <v>#DIV/0!</v>
      </c>
      <c r="O144" s="133" t="str">
        <f t="shared" si="22"/>
        <v>#DIV/0!</v>
      </c>
      <c r="P144" s="47" t="str">
        <f>IFERROR(__xludf.DUMMYFUNCTION("IF(OR(A144="""",E144=""""),"""",IFERROR(LET(data,GOOGLEFINANCE(""NSE:""&amp;UPPER(TRIM(A144)),""close"",E144-3,E144,""DAILY""),INDEX(data,ROWS(data),2)),""Not Available""))"),"")</f>
        <v/>
      </c>
      <c r="Q144" s="51"/>
      <c r="R144" s="188" t="str">
        <f t="shared" si="23"/>
        <v>#DIV/0!</v>
      </c>
      <c r="S144" s="51" t="str">
        <f>IFERROR(__xludf.DUMMYFUNCTION("IF(OR(A144="""",E144=""""),"""",IFERROR(LET(data,GOOGLEFINANCE(""NSE:""&amp;UPPER(TRIM(A144)),""close"",Q144-3,Q144,""DAILY""),INDEX(data,ROWS(data),2)),""Not Available""))"),"")</f>
        <v/>
      </c>
      <c r="T144" s="189" t="str">
        <f t="shared" si="24"/>
        <v>#DIV/0!</v>
      </c>
      <c r="U144" s="52" t="str">
        <f t="shared" si="25"/>
        <v>#DIV/0!</v>
      </c>
      <c r="V144" s="190"/>
      <c r="W144" s="190"/>
      <c r="X144" s="190"/>
      <c r="Y144" s="56"/>
    </row>
    <row r="145">
      <c r="A145" s="35" t="s">
        <v>249</v>
      </c>
      <c r="B145" s="130"/>
      <c r="C145" s="130"/>
      <c r="D145" s="130"/>
      <c r="E145" s="199"/>
      <c r="F145" s="130"/>
      <c r="G145" s="130"/>
      <c r="H145" s="130"/>
      <c r="I145" s="130"/>
      <c r="J145" s="130"/>
      <c r="K145" s="130"/>
      <c r="L145" s="130" t="str">
        <f>IFERROR(__xludf.DUMMYFUNCTION("IF(OR(A145="""",D145=""""),"""",IFERROR(LET(data,GOOGLEFINANCE(""NSE:""&amp;UPPER(TRIM(A145)),""close"",D145-3,D145,""DAILY""),INDEX(data,ROWS(data),2)),""Not Available""))"),"")</f>
        <v/>
      </c>
      <c r="M145" s="131">
        <f>IFERROR(__xludf.DUMMYFUNCTION("IF(A145="""","""",IFERROR(GOOGLEFINANCE(""NSE:""&amp;UPPER(TRIM(A145)),""price""),""Not Available""))"),13214.0)</f>
        <v>13214</v>
      </c>
      <c r="N145" s="132" t="str">
        <f t="shared" si="21"/>
        <v>#DIV/0!</v>
      </c>
      <c r="O145" s="133" t="str">
        <f t="shared" si="22"/>
        <v>#DIV/0!</v>
      </c>
      <c r="P145" s="47" t="str">
        <f>IFERROR(__xludf.DUMMYFUNCTION("IF(OR(A145="""",E145=""""),"""",IFERROR(LET(data,GOOGLEFINANCE(""NSE:""&amp;UPPER(TRIM(A145)),""close"",E145-3,E145,""DAILY""),INDEX(data,ROWS(data),2)),""Not Available""))"),"")</f>
        <v/>
      </c>
      <c r="Q145" s="51"/>
      <c r="R145" s="188" t="str">
        <f t="shared" si="23"/>
        <v>#DIV/0!</v>
      </c>
      <c r="S145" s="51" t="str">
        <f>IFERROR(__xludf.DUMMYFUNCTION("IF(OR(A145="""",E145=""""),"""",IFERROR(LET(data,GOOGLEFINANCE(""NSE:""&amp;UPPER(TRIM(A145)),""close"",Q145-3,Q145,""DAILY""),INDEX(data,ROWS(data),2)),""Not Available""))"),"")</f>
        <v/>
      </c>
      <c r="T145" s="189" t="str">
        <f t="shared" si="24"/>
        <v>#DIV/0!</v>
      </c>
      <c r="U145" s="52" t="str">
        <f t="shared" si="25"/>
        <v>#DIV/0!</v>
      </c>
      <c r="V145" s="190"/>
      <c r="W145" s="190"/>
      <c r="X145" s="190"/>
      <c r="Y145" s="56"/>
    </row>
    <row r="146">
      <c r="A146" s="35" t="s">
        <v>251</v>
      </c>
      <c r="B146" s="130"/>
      <c r="C146" s="130"/>
      <c r="D146" s="130"/>
      <c r="E146" s="199"/>
      <c r="F146" s="130"/>
      <c r="G146" s="130"/>
      <c r="H146" s="130"/>
      <c r="I146" s="130"/>
      <c r="J146" s="130"/>
      <c r="K146" s="130"/>
      <c r="L146" s="130" t="str">
        <f>IFERROR(__xludf.DUMMYFUNCTION("IF(OR(A146="""",D146=""""),"""",IFERROR(LET(data,GOOGLEFINANCE(""NSE:""&amp;UPPER(TRIM(A146)),""close"",D146-3,D146,""DAILY""),INDEX(data,ROWS(data),2)),""Not Available""))"),"")</f>
        <v/>
      </c>
      <c r="M146" s="131">
        <f>IFERROR(__xludf.DUMMYFUNCTION("IF(A146="""","""",IFERROR(GOOGLEFINANCE(""NSE:""&amp;UPPER(TRIM(A146)),""price""),""Not Available""))"),65.1)</f>
        <v>65.1</v>
      </c>
      <c r="N146" s="132" t="str">
        <f t="shared" si="21"/>
        <v>#DIV/0!</v>
      </c>
      <c r="O146" s="133" t="str">
        <f t="shared" si="22"/>
        <v>#DIV/0!</v>
      </c>
      <c r="P146" s="47" t="str">
        <f>IFERROR(__xludf.DUMMYFUNCTION("IF(OR(A146="""",E146=""""),"""",IFERROR(LET(data,GOOGLEFINANCE(""NSE:""&amp;UPPER(TRIM(A146)),""close"",E146-3,E146,""DAILY""),INDEX(data,ROWS(data),2)),""Not Available""))"),"")</f>
        <v/>
      </c>
      <c r="Q146" s="51"/>
      <c r="R146" s="188" t="str">
        <f t="shared" si="23"/>
        <v>#DIV/0!</v>
      </c>
      <c r="S146" s="51" t="str">
        <f>IFERROR(__xludf.DUMMYFUNCTION("IF(OR(A146="""",E146=""""),"""",IFERROR(LET(data,GOOGLEFINANCE(""NSE:""&amp;UPPER(TRIM(A146)),""close"",Q146-3,Q146,""DAILY""),INDEX(data,ROWS(data),2)),""Not Available""))"),"")</f>
        <v/>
      </c>
      <c r="T146" s="189" t="str">
        <f t="shared" si="24"/>
        <v>#DIV/0!</v>
      </c>
      <c r="U146" s="52" t="str">
        <f t="shared" si="25"/>
        <v>#DIV/0!</v>
      </c>
      <c r="V146" s="190"/>
      <c r="W146" s="190"/>
      <c r="X146" s="190"/>
      <c r="Y146" s="56"/>
    </row>
    <row r="147">
      <c r="A147" s="35" t="s">
        <v>253</v>
      </c>
      <c r="B147" s="130"/>
      <c r="C147" s="130"/>
      <c r="D147" s="130"/>
      <c r="E147" s="199"/>
      <c r="F147" s="130"/>
      <c r="G147" s="130"/>
      <c r="H147" s="130"/>
      <c r="I147" s="130"/>
      <c r="J147" s="130"/>
      <c r="K147" s="130"/>
      <c r="L147" s="130" t="str">
        <f>IFERROR(__xludf.DUMMYFUNCTION("IF(OR(A147="""",D147=""""),"""",IFERROR(LET(data,GOOGLEFINANCE(""NSE:""&amp;UPPER(TRIM(A147)),""close"",D147-3,D147,""DAILY""),INDEX(data,ROWS(data),2)),""Not Available""))"),"")</f>
        <v/>
      </c>
      <c r="M147" s="131">
        <f>IFERROR(__xludf.DUMMYFUNCTION("IF(A147="""","""",IFERROR(GOOGLEFINANCE(""NSE:""&amp;UPPER(TRIM(A147)),""price""),""Not Available""))"),124.21)</f>
        <v>124.21</v>
      </c>
      <c r="N147" s="132" t="str">
        <f t="shared" si="21"/>
        <v>#DIV/0!</v>
      </c>
      <c r="O147" s="133" t="str">
        <f t="shared" si="22"/>
        <v>#DIV/0!</v>
      </c>
      <c r="P147" s="47" t="str">
        <f>IFERROR(__xludf.DUMMYFUNCTION("IF(OR(A147="""",E147=""""),"""",IFERROR(LET(data,GOOGLEFINANCE(""NSE:""&amp;UPPER(TRIM(A147)),""close"",E147-3,E147,""DAILY""),INDEX(data,ROWS(data),2)),""Not Available""))"),"")</f>
        <v/>
      </c>
      <c r="Q147" s="51"/>
      <c r="R147" s="188" t="str">
        <f t="shared" si="23"/>
        <v>#DIV/0!</v>
      </c>
      <c r="S147" s="51" t="str">
        <f>IFERROR(__xludf.DUMMYFUNCTION("IF(OR(A147="""",E147=""""),"""",IFERROR(LET(data,GOOGLEFINANCE(""NSE:""&amp;UPPER(TRIM(A147)),""close"",Q147-3,Q147,""DAILY""),INDEX(data,ROWS(data),2)),""Not Available""))"),"")</f>
        <v/>
      </c>
      <c r="T147" s="189" t="str">
        <f t="shared" si="24"/>
        <v>#DIV/0!</v>
      </c>
      <c r="U147" s="52" t="str">
        <f t="shared" si="25"/>
        <v>#DIV/0!</v>
      </c>
      <c r="V147" s="190"/>
      <c r="W147" s="190"/>
      <c r="X147" s="190"/>
      <c r="Y147" s="56"/>
    </row>
    <row r="148">
      <c r="A148" s="35" t="s">
        <v>255</v>
      </c>
      <c r="B148" s="130"/>
      <c r="C148" s="130"/>
      <c r="D148" s="130"/>
      <c r="E148" s="199"/>
      <c r="F148" s="130"/>
      <c r="G148" s="130"/>
      <c r="H148" s="130"/>
      <c r="I148" s="130"/>
      <c r="J148" s="130"/>
      <c r="K148" s="130"/>
      <c r="L148" s="130" t="str">
        <f>IFERROR(__xludf.DUMMYFUNCTION("IF(OR(A148="""",D148=""""),"""",IFERROR(LET(data,GOOGLEFINANCE(""NSE:""&amp;UPPER(TRIM(A148)),""close"",D148-3,D148,""DAILY""),INDEX(data,ROWS(data),2)),""Not Available""))"),"")</f>
        <v/>
      </c>
      <c r="M148" s="131">
        <f>IFERROR(__xludf.DUMMYFUNCTION("IF(A148="""","""",IFERROR(GOOGLEFINANCE(""NSE:""&amp;UPPER(TRIM(A148)),""price""),""Not Available""))"),9.95)</f>
        <v>9.95</v>
      </c>
      <c r="N148" s="132" t="str">
        <f t="shared" si="21"/>
        <v>#DIV/0!</v>
      </c>
      <c r="O148" s="133" t="str">
        <f t="shared" si="22"/>
        <v>#DIV/0!</v>
      </c>
      <c r="P148" s="47" t="str">
        <f>IFERROR(__xludf.DUMMYFUNCTION("IF(OR(A148="""",E148=""""),"""",IFERROR(LET(data,GOOGLEFINANCE(""NSE:""&amp;UPPER(TRIM(A148)),""close"",E148-3,E148,""DAILY""),INDEX(data,ROWS(data),2)),""Not Available""))"),"")</f>
        <v/>
      </c>
      <c r="Q148" s="51"/>
      <c r="R148" s="188" t="str">
        <f t="shared" si="23"/>
        <v>#DIV/0!</v>
      </c>
      <c r="S148" s="51" t="str">
        <f>IFERROR(__xludf.DUMMYFUNCTION("IF(OR(A148="""",E148=""""),"""",IFERROR(LET(data,GOOGLEFINANCE(""NSE:""&amp;UPPER(TRIM(A148)),""close"",Q148-3,Q148,""DAILY""),INDEX(data,ROWS(data),2)),""Not Available""))"),"")</f>
        <v/>
      </c>
      <c r="T148" s="189" t="str">
        <f t="shared" si="24"/>
        <v>#DIV/0!</v>
      </c>
      <c r="U148" s="52" t="str">
        <f t="shared" si="25"/>
        <v>#DIV/0!</v>
      </c>
      <c r="V148" s="190"/>
      <c r="W148" s="190"/>
      <c r="X148" s="190"/>
      <c r="Y148" s="56"/>
    </row>
    <row r="149">
      <c r="A149" s="35" t="s">
        <v>257</v>
      </c>
      <c r="B149" s="130"/>
      <c r="C149" s="130"/>
      <c r="D149" s="130"/>
      <c r="E149" s="199"/>
      <c r="F149" s="130"/>
      <c r="G149" s="130"/>
      <c r="H149" s="130"/>
      <c r="I149" s="130"/>
      <c r="J149" s="130"/>
      <c r="K149" s="130"/>
      <c r="L149" s="130" t="str">
        <f>IFERROR(__xludf.DUMMYFUNCTION("IF(OR(A149="""",D149=""""),"""",IFERROR(LET(data,GOOGLEFINANCE(""NSE:""&amp;UPPER(TRIM(A149)),""close"",D149-3,D149,""DAILY""),INDEX(data,ROWS(data),2)),""Not Available""))"),"")</f>
        <v/>
      </c>
      <c r="M149" s="131">
        <f>IFERROR(__xludf.DUMMYFUNCTION("IF(A149="""","""",IFERROR(GOOGLEFINANCE(""NSE:""&amp;UPPER(TRIM(A149)),""price""),""Not Available""))"),1622.5)</f>
        <v>1622.5</v>
      </c>
      <c r="N149" s="132" t="str">
        <f t="shared" si="21"/>
        <v>#DIV/0!</v>
      </c>
      <c r="O149" s="133" t="str">
        <f t="shared" si="22"/>
        <v>#DIV/0!</v>
      </c>
      <c r="P149" s="47" t="str">
        <f>IFERROR(__xludf.DUMMYFUNCTION("IF(OR(A149="""",E149=""""),"""",IFERROR(LET(data,GOOGLEFINANCE(""NSE:""&amp;UPPER(TRIM(A149)),""close"",E149-3,E149,""DAILY""),INDEX(data,ROWS(data),2)),""Not Available""))"),"")</f>
        <v/>
      </c>
      <c r="Q149" s="51"/>
      <c r="R149" s="188" t="str">
        <f t="shared" si="23"/>
        <v>#DIV/0!</v>
      </c>
      <c r="S149" s="51" t="str">
        <f>IFERROR(__xludf.DUMMYFUNCTION("IF(OR(A149="""",E149=""""),"""",IFERROR(LET(data,GOOGLEFINANCE(""NSE:""&amp;UPPER(TRIM(A149)),""close"",Q149-3,Q149,""DAILY""),INDEX(data,ROWS(data),2)),""Not Available""))"),"")</f>
        <v/>
      </c>
      <c r="T149" s="189" t="str">
        <f t="shared" si="24"/>
        <v>#DIV/0!</v>
      </c>
      <c r="U149" s="52" t="str">
        <f t="shared" si="25"/>
        <v>#DIV/0!</v>
      </c>
      <c r="V149" s="190"/>
      <c r="W149" s="190"/>
      <c r="X149" s="190"/>
      <c r="Y149" s="56"/>
    </row>
    <row r="150">
      <c r="A150" s="35" t="s">
        <v>259</v>
      </c>
      <c r="B150" s="130"/>
      <c r="C150" s="130"/>
      <c r="D150" s="130"/>
      <c r="E150" s="199"/>
      <c r="F150" s="130"/>
      <c r="G150" s="130"/>
      <c r="H150" s="130"/>
      <c r="I150" s="130"/>
      <c r="J150" s="130"/>
      <c r="K150" s="130"/>
      <c r="L150" s="130" t="str">
        <f>IFERROR(__xludf.DUMMYFUNCTION("IF(OR(A150="""",D150=""""),"""",IFERROR(LET(data,GOOGLEFINANCE(""NSE:""&amp;UPPER(TRIM(A150)),""close"",D150-3,D150,""DAILY""),INDEX(data,ROWS(data),2)),""Not Available""))"),"")</f>
        <v/>
      </c>
      <c r="M150" s="131">
        <f>IFERROR(__xludf.DUMMYFUNCTION("IF(A150="""","""",IFERROR(GOOGLEFINANCE(""NSE:""&amp;UPPER(TRIM(A150)),""price""),""Not Available""))"),820.15)</f>
        <v>820.15</v>
      </c>
      <c r="N150" s="132" t="str">
        <f t="shared" si="21"/>
        <v>#DIV/0!</v>
      </c>
      <c r="O150" s="133" t="str">
        <f t="shared" si="22"/>
        <v>#DIV/0!</v>
      </c>
      <c r="P150" s="47" t="str">
        <f>IFERROR(__xludf.DUMMYFUNCTION("IF(OR(A150="""",E150=""""),"""",IFERROR(LET(data,GOOGLEFINANCE(""NSE:""&amp;UPPER(TRIM(A150)),""close"",E150-3,E150,""DAILY""),INDEX(data,ROWS(data),2)),""Not Available""))"),"")</f>
        <v/>
      </c>
      <c r="Q150" s="51"/>
      <c r="R150" s="188" t="str">
        <f t="shared" si="23"/>
        <v>#DIV/0!</v>
      </c>
      <c r="S150" s="51" t="str">
        <f>IFERROR(__xludf.DUMMYFUNCTION("IF(OR(A150="""",E150=""""),"""",IFERROR(LET(data,GOOGLEFINANCE(""NSE:""&amp;UPPER(TRIM(A150)),""close"",Q150-3,Q150,""DAILY""),INDEX(data,ROWS(data),2)),""Not Available""))"),"")</f>
        <v/>
      </c>
      <c r="T150" s="189" t="str">
        <f t="shared" si="24"/>
        <v>#DIV/0!</v>
      </c>
      <c r="U150" s="52" t="str">
        <f t="shared" si="25"/>
        <v>#DIV/0!</v>
      </c>
      <c r="V150" s="190"/>
      <c r="W150" s="190"/>
      <c r="X150" s="190"/>
      <c r="Y150" s="56"/>
    </row>
    <row r="151">
      <c r="A151" s="35" t="s">
        <v>261</v>
      </c>
      <c r="B151" s="130"/>
      <c r="C151" s="130"/>
      <c r="D151" s="130"/>
      <c r="E151" s="199"/>
      <c r="F151" s="130"/>
      <c r="G151" s="130"/>
      <c r="H151" s="130"/>
      <c r="I151" s="130"/>
      <c r="J151" s="130"/>
      <c r="K151" s="130"/>
      <c r="L151" s="130" t="str">
        <f>IFERROR(__xludf.DUMMYFUNCTION("IF(OR(A151="""",D151=""""),"""",IFERROR(LET(data,GOOGLEFINANCE(""NSE:""&amp;UPPER(TRIM(A151)),""close"",D151-3,D151,""DAILY""),INDEX(data,ROWS(data),2)),""Not Available""))"),"")</f>
        <v/>
      </c>
      <c r="M151" s="131">
        <f>IFERROR(__xludf.DUMMYFUNCTION("IF(A151="""","""",IFERROR(GOOGLEFINANCE(""NSE:""&amp;UPPER(TRIM(A151)),""price""),""Not Available""))"),2332.3)</f>
        <v>2332.3</v>
      </c>
      <c r="N151" s="132" t="str">
        <f t="shared" si="21"/>
        <v>#DIV/0!</v>
      </c>
      <c r="O151" s="133" t="str">
        <f t="shared" si="22"/>
        <v>#DIV/0!</v>
      </c>
      <c r="P151" s="47" t="str">
        <f>IFERROR(__xludf.DUMMYFUNCTION("IF(OR(A151="""",E151=""""),"""",IFERROR(LET(data,GOOGLEFINANCE(""NSE:""&amp;UPPER(TRIM(A151)),""close"",E151-3,E151,""DAILY""),INDEX(data,ROWS(data),2)),""Not Available""))"),"")</f>
        <v/>
      </c>
      <c r="Q151" s="51"/>
      <c r="R151" s="188" t="str">
        <f t="shared" si="23"/>
        <v>#DIV/0!</v>
      </c>
      <c r="S151" s="51" t="str">
        <f>IFERROR(__xludf.DUMMYFUNCTION("IF(OR(A151="""",E151=""""),"""",IFERROR(LET(data,GOOGLEFINANCE(""NSE:""&amp;UPPER(TRIM(A151)),""close"",Q151-3,Q151,""DAILY""),INDEX(data,ROWS(data),2)),""Not Available""))"),"")</f>
        <v/>
      </c>
      <c r="T151" s="189" t="str">
        <f t="shared" si="24"/>
        <v>#DIV/0!</v>
      </c>
      <c r="U151" s="52" t="str">
        <f t="shared" si="25"/>
        <v>#DIV/0!</v>
      </c>
      <c r="V151" s="190"/>
      <c r="W151" s="190"/>
      <c r="X151" s="190"/>
      <c r="Y151" s="56"/>
    </row>
    <row r="152">
      <c r="A152" s="35" t="s">
        <v>263</v>
      </c>
      <c r="B152" s="130"/>
      <c r="C152" s="130"/>
      <c r="D152" s="130"/>
      <c r="E152" s="199"/>
      <c r="F152" s="130"/>
      <c r="G152" s="130"/>
      <c r="H152" s="130"/>
      <c r="I152" s="130"/>
      <c r="J152" s="130"/>
      <c r="K152" s="130"/>
      <c r="L152" s="130" t="str">
        <f>IFERROR(__xludf.DUMMYFUNCTION("IF(OR(A152="""",D152=""""),"""",IFERROR(LET(data,GOOGLEFINANCE(""NSE:""&amp;UPPER(TRIM(A152)),""close"",D152-3,D152,""DAILY""),INDEX(data,ROWS(data),2)),""Not Available""))"),"")</f>
        <v/>
      </c>
      <c r="M152" s="131">
        <f>IFERROR(__xludf.DUMMYFUNCTION("IF(A152="""","""",IFERROR(GOOGLEFINANCE(""NSE:""&amp;UPPER(TRIM(A152)),""price""),""Not Available""))"),552.65)</f>
        <v>552.65</v>
      </c>
      <c r="N152" s="132" t="str">
        <f t="shared" si="21"/>
        <v>#DIV/0!</v>
      </c>
      <c r="O152" s="133" t="str">
        <f t="shared" si="22"/>
        <v>#DIV/0!</v>
      </c>
      <c r="P152" s="47" t="str">
        <f>IFERROR(__xludf.DUMMYFUNCTION("IF(OR(A152="""",E152=""""),"""",IFERROR(LET(data,GOOGLEFINANCE(""NSE:""&amp;UPPER(TRIM(A152)),""close"",E152-3,E152,""DAILY""),INDEX(data,ROWS(data),2)),""Not Available""))"),"")</f>
        <v/>
      </c>
      <c r="Q152" s="51"/>
      <c r="R152" s="188" t="str">
        <f t="shared" si="23"/>
        <v>#DIV/0!</v>
      </c>
      <c r="S152" s="51" t="str">
        <f>IFERROR(__xludf.DUMMYFUNCTION("IF(OR(A152="""",E152=""""),"""",IFERROR(LET(data,GOOGLEFINANCE(""NSE:""&amp;UPPER(TRIM(A152)),""close"",Q152-3,Q152,""DAILY""),INDEX(data,ROWS(data),2)),""Not Available""))"),"")</f>
        <v/>
      </c>
      <c r="T152" s="189" t="str">
        <f t="shared" si="24"/>
        <v>#DIV/0!</v>
      </c>
      <c r="U152" s="52" t="str">
        <f t="shared" si="25"/>
        <v>#DIV/0!</v>
      </c>
      <c r="V152" s="190"/>
      <c r="W152" s="190"/>
      <c r="X152" s="190"/>
      <c r="Y152" s="56"/>
    </row>
    <row r="153">
      <c r="A153" s="35" t="s">
        <v>264</v>
      </c>
      <c r="B153" s="130"/>
      <c r="C153" s="130"/>
      <c r="D153" s="130"/>
      <c r="E153" s="199"/>
      <c r="F153" s="130"/>
      <c r="G153" s="130"/>
      <c r="H153" s="130"/>
      <c r="I153" s="130"/>
      <c r="J153" s="130"/>
      <c r="K153" s="130"/>
      <c r="L153" s="130" t="str">
        <f>IFERROR(__xludf.DUMMYFUNCTION("IF(OR(A153="""",D153=""""),"""",IFERROR(LET(data,GOOGLEFINANCE(""NSE:""&amp;UPPER(TRIM(A153)),""close"",D153-3,D153,""DAILY""),INDEX(data,ROWS(data),2)),""Not Available""))"),"")</f>
        <v/>
      </c>
      <c r="M153" s="131">
        <f>IFERROR(__xludf.DUMMYFUNCTION("IF(A153="""","""",IFERROR(GOOGLEFINANCE(""NSE:""&amp;UPPER(TRIM(A153)),""price""),""Not Available""))"),355.0)</f>
        <v>355</v>
      </c>
      <c r="N153" s="132" t="str">
        <f t="shared" si="21"/>
        <v>#DIV/0!</v>
      </c>
      <c r="O153" s="133" t="str">
        <f t="shared" si="22"/>
        <v>#DIV/0!</v>
      </c>
      <c r="P153" s="47" t="str">
        <f>IFERROR(__xludf.DUMMYFUNCTION("IF(OR(A153="""",E153=""""),"""",IFERROR(LET(data,GOOGLEFINANCE(""NSE:""&amp;UPPER(TRIM(A153)),""close"",E153-3,E153,""DAILY""),INDEX(data,ROWS(data),2)),""Not Available""))"),"")</f>
        <v/>
      </c>
      <c r="Q153" s="51"/>
      <c r="R153" s="188" t="str">
        <f t="shared" si="23"/>
        <v>#DIV/0!</v>
      </c>
      <c r="S153" s="51" t="str">
        <f>IFERROR(__xludf.DUMMYFUNCTION("IF(OR(A153="""",E153=""""),"""",IFERROR(LET(data,GOOGLEFINANCE(""NSE:""&amp;UPPER(TRIM(A153)),""close"",Q153-3,Q153,""DAILY""),INDEX(data,ROWS(data),2)),""Not Available""))"),"")</f>
        <v/>
      </c>
      <c r="T153" s="189" t="str">
        <f t="shared" si="24"/>
        <v>#DIV/0!</v>
      </c>
      <c r="U153" s="52" t="str">
        <f t="shared" si="25"/>
        <v>#DIV/0!</v>
      </c>
      <c r="V153" s="190"/>
      <c r="W153" s="190"/>
      <c r="X153" s="190"/>
      <c r="Y153" s="56"/>
    </row>
    <row r="154">
      <c r="A154" s="35" t="s">
        <v>266</v>
      </c>
      <c r="B154" s="130"/>
      <c r="C154" s="130"/>
      <c r="D154" s="130"/>
      <c r="E154" s="199"/>
      <c r="F154" s="130"/>
      <c r="G154" s="130"/>
      <c r="H154" s="130"/>
      <c r="I154" s="130"/>
      <c r="J154" s="130"/>
      <c r="K154" s="130"/>
      <c r="L154" s="130" t="str">
        <f>IFERROR(__xludf.DUMMYFUNCTION("IF(OR(A154="""",D154=""""),"""",IFERROR(LET(data,GOOGLEFINANCE(""NSE:""&amp;UPPER(TRIM(A154)),""close"",D154-3,D154,""DAILY""),INDEX(data,ROWS(data),2)),""Not Available""))"),"")</f>
        <v/>
      </c>
      <c r="M154" s="131">
        <f>IFERROR(__xludf.DUMMYFUNCTION("IF(A154="""","""",IFERROR(GOOGLEFINANCE(""NSE:""&amp;UPPER(TRIM(A154)),""price""),""Not Available""))"),81.65)</f>
        <v>81.65</v>
      </c>
      <c r="N154" s="132" t="str">
        <f t="shared" si="21"/>
        <v>#DIV/0!</v>
      </c>
      <c r="O154" s="133" t="str">
        <f t="shared" si="22"/>
        <v>#DIV/0!</v>
      </c>
      <c r="P154" s="47" t="str">
        <f>IFERROR(__xludf.DUMMYFUNCTION("IF(OR(A154="""",E154=""""),"""",IFERROR(LET(data,GOOGLEFINANCE(""NSE:""&amp;UPPER(TRIM(A154)),""close"",E154-3,E154,""DAILY""),INDEX(data,ROWS(data),2)),""Not Available""))"),"")</f>
        <v/>
      </c>
      <c r="Q154" s="51"/>
      <c r="R154" s="188" t="str">
        <f t="shared" si="23"/>
        <v>#DIV/0!</v>
      </c>
      <c r="S154" s="51" t="str">
        <f>IFERROR(__xludf.DUMMYFUNCTION("IF(OR(A154="""",E154=""""),"""",IFERROR(LET(data,GOOGLEFINANCE(""NSE:""&amp;UPPER(TRIM(A154)),""close"",Q154-3,Q154,""DAILY""),INDEX(data,ROWS(data),2)),""Not Available""))"),"")</f>
        <v/>
      </c>
      <c r="T154" s="189" t="str">
        <f t="shared" si="24"/>
        <v>#DIV/0!</v>
      </c>
      <c r="U154" s="52" t="str">
        <f t="shared" si="25"/>
        <v>#DIV/0!</v>
      </c>
      <c r="V154" s="190"/>
      <c r="W154" s="190"/>
      <c r="X154" s="190"/>
      <c r="Y154" s="56"/>
    </row>
    <row r="155">
      <c r="A155" s="35" t="s">
        <v>267</v>
      </c>
      <c r="B155" s="130"/>
      <c r="C155" s="130"/>
      <c r="D155" s="130"/>
      <c r="E155" s="199"/>
      <c r="F155" s="130"/>
      <c r="G155" s="130"/>
      <c r="H155" s="130"/>
      <c r="I155" s="130"/>
      <c r="J155" s="130"/>
      <c r="K155" s="130"/>
      <c r="L155" s="130" t="str">
        <f>IFERROR(__xludf.DUMMYFUNCTION("IF(OR(A155="""",D155=""""),"""",IFERROR(LET(data,GOOGLEFINANCE(""NSE:""&amp;UPPER(TRIM(A155)),""close"",D155-3,D155,""DAILY""),INDEX(data,ROWS(data),2)),""Not Available""))"),"")</f>
        <v/>
      </c>
      <c r="M155" s="131">
        <f>IFERROR(__xludf.DUMMYFUNCTION("IF(A155="""","""",IFERROR(GOOGLEFINANCE(""NSE:""&amp;UPPER(TRIM(A155)),""price""),""Not Available""))"),31.82)</f>
        <v>31.82</v>
      </c>
      <c r="N155" s="132" t="str">
        <f t="shared" si="21"/>
        <v>#DIV/0!</v>
      </c>
      <c r="O155" s="133" t="str">
        <f t="shared" si="22"/>
        <v>#DIV/0!</v>
      </c>
      <c r="P155" s="47" t="str">
        <f>IFERROR(__xludf.DUMMYFUNCTION("IF(OR(A155="""",E155=""""),"""",IFERROR(LET(data,GOOGLEFINANCE(""NSE:""&amp;UPPER(TRIM(A155)),""close"",E155-3,E155,""DAILY""),INDEX(data,ROWS(data),2)),""Not Available""))"),"")</f>
        <v/>
      </c>
      <c r="Q155" s="51"/>
      <c r="R155" s="188" t="str">
        <f t="shared" si="23"/>
        <v>#DIV/0!</v>
      </c>
      <c r="S155" s="51" t="str">
        <f>IFERROR(__xludf.DUMMYFUNCTION("IF(OR(A155="""",E155=""""),"""",IFERROR(LET(data,GOOGLEFINANCE(""NSE:""&amp;UPPER(TRIM(A155)),""close"",Q155-3,Q155,""DAILY""),INDEX(data,ROWS(data),2)),""Not Available""))"),"")</f>
        <v/>
      </c>
      <c r="T155" s="189" t="str">
        <f t="shared" si="24"/>
        <v>#DIV/0!</v>
      </c>
      <c r="U155" s="52" t="str">
        <f t="shared" si="25"/>
        <v>#DIV/0!</v>
      </c>
      <c r="V155" s="190"/>
      <c r="W155" s="190"/>
      <c r="X155" s="190"/>
      <c r="Y155" s="56"/>
    </row>
    <row r="156">
      <c r="A156" s="35" t="s">
        <v>269</v>
      </c>
      <c r="B156" s="130"/>
      <c r="C156" s="130"/>
      <c r="D156" s="130"/>
      <c r="E156" s="199"/>
      <c r="F156" s="130"/>
      <c r="G156" s="130"/>
      <c r="H156" s="130"/>
      <c r="I156" s="130"/>
      <c r="J156" s="130"/>
      <c r="K156" s="130"/>
      <c r="L156" s="130" t="str">
        <f>IFERROR(__xludf.DUMMYFUNCTION("IF(OR(A156="""",D156=""""),"""",IFERROR(LET(data,GOOGLEFINANCE(""NSE:""&amp;UPPER(TRIM(A156)),""close"",D156-3,D156,""DAILY""),INDEX(data,ROWS(data),2)),""Not Available""))"),"")</f>
        <v/>
      </c>
      <c r="M156" s="131">
        <f>IFERROR(__xludf.DUMMYFUNCTION("IF(A156="""","""",IFERROR(GOOGLEFINANCE(""NSE:""&amp;UPPER(TRIM(A156)),""price""),""Not Available""))"),977.0)</f>
        <v>977</v>
      </c>
      <c r="N156" s="132" t="str">
        <f t="shared" si="21"/>
        <v>#DIV/0!</v>
      </c>
      <c r="O156" s="133" t="str">
        <f t="shared" si="22"/>
        <v>#DIV/0!</v>
      </c>
      <c r="P156" s="47" t="str">
        <f>IFERROR(__xludf.DUMMYFUNCTION("IF(OR(A156="""",E156=""""),"""",IFERROR(LET(data,GOOGLEFINANCE(""NSE:""&amp;UPPER(TRIM(A156)),""close"",E156-3,E156,""DAILY""),INDEX(data,ROWS(data),2)),""Not Available""))"),"")</f>
        <v/>
      </c>
      <c r="Q156" s="51"/>
      <c r="R156" s="188" t="str">
        <f t="shared" si="23"/>
        <v>#DIV/0!</v>
      </c>
      <c r="S156" s="51" t="str">
        <f>IFERROR(__xludf.DUMMYFUNCTION("IF(OR(A156="""",E156=""""),"""",IFERROR(LET(data,GOOGLEFINANCE(""NSE:""&amp;UPPER(TRIM(A156)),""close"",Q156-3,Q156,""DAILY""),INDEX(data,ROWS(data),2)),""Not Available""))"),"")</f>
        <v/>
      </c>
      <c r="T156" s="189" t="str">
        <f t="shared" si="24"/>
        <v>#DIV/0!</v>
      </c>
      <c r="U156" s="52" t="str">
        <f t="shared" si="25"/>
        <v>#DIV/0!</v>
      </c>
      <c r="V156" s="190"/>
      <c r="W156" s="190"/>
      <c r="X156" s="190"/>
      <c r="Y156" s="56"/>
    </row>
    <row r="157">
      <c r="A157" s="35" t="s">
        <v>270</v>
      </c>
      <c r="B157" s="130"/>
      <c r="C157" s="130"/>
      <c r="D157" s="130"/>
      <c r="E157" s="199"/>
      <c r="F157" s="130"/>
      <c r="G157" s="130"/>
      <c r="H157" s="130"/>
      <c r="I157" s="130"/>
      <c r="J157" s="130"/>
      <c r="K157" s="130"/>
      <c r="L157" s="130" t="str">
        <f>IFERROR(__xludf.DUMMYFUNCTION("IF(OR(A157="""",D157=""""),"""",IFERROR(LET(data,GOOGLEFINANCE(""NSE:""&amp;UPPER(TRIM(A157)),""close"",D157-3,D157,""DAILY""),INDEX(data,ROWS(data),2)),""Not Available""))"),"")</f>
        <v/>
      </c>
      <c r="M157" s="131">
        <f>IFERROR(__xludf.DUMMYFUNCTION("IF(A157="""","""",IFERROR(GOOGLEFINANCE(""NSE:""&amp;UPPER(TRIM(A157)),""price""),""Not Available""))"),27.45)</f>
        <v>27.45</v>
      </c>
      <c r="N157" s="132" t="str">
        <f t="shared" si="21"/>
        <v>#DIV/0!</v>
      </c>
      <c r="O157" s="133" t="str">
        <f t="shared" si="22"/>
        <v>#DIV/0!</v>
      </c>
      <c r="P157" s="47" t="str">
        <f>IFERROR(__xludf.DUMMYFUNCTION("IF(OR(A157="""",E157=""""),"""",IFERROR(LET(data,GOOGLEFINANCE(""NSE:""&amp;UPPER(TRIM(A157)),""close"",E157-3,E157,""DAILY""),INDEX(data,ROWS(data),2)),""Not Available""))"),"")</f>
        <v/>
      </c>
      <c r="Q157" s="51"/>
      <c r="R157" s="188" t="str">
        <f t="shared" si="23"/>
        <v>#DIV/0!</v>
      </c>
      <c r="S157" s="51" t="str">
        <f>IFERROR(__xludf.DUMMYFUNCTION("IF(OR(A157="""",E157=""""),"""",IFERROR(LET(data,GOOGLEFINANCE(""NSE:""&amp;UPPER(TRIM(A157)),""close"",Q157-3,Q157,""DAILY""),INDEX(data,ROWS(data),2)),""Not Available""))"),"")</f>
        <v/>
      </c>
      <c r="T157" s="189" t="str">
        <f t="shared" si="24"/>
        <v>#DIV/0!</v>
      </c>
      <c r="U157" s="52" t="str">
        <f t="shared" si="25"/>
        <v>#DIV/0!</v>
      </c>
      <c r="V157" s="190"/>
      <c r="W157" s="190"/>
      <c r="X157" s="190"/>
      <c r="Y157" s="56"/>
    </row>
    <row r="158">
      <c r="A158" s="206" t="s">
        <v>272</v>
      </c>
      <c r="B158" s="130"/>
      <c r="C158" s="130"/>
      <c r="D158" s="130"/>
      <c r="E158" s="199"/>
      <c r="F158" s="130"/>
      <c r="G158" s="130"/>
      <c r="H158" s="130"/>
      <c r="I158" s="130"/>
      <c r="J158" s="130"/>
      <c r="K158" s="130"/>
      <c r="L158" s="130" t="str">
        <f>IFERROR(__xludf.DUMMYFUNCTION("IF(OR(A158="""",D158=""""),"""",IFERROR(LET(data,GOOGLEFINANCE(""NSE:""&amp;UPPER(TRIM(A158)),""close"",D158-3,D158,""DAILY""),INDEX(data,ROWS(data),2)),""Not Available""))"),"")</f>
        <v/>
      </c>
      <c r="M158" s="131">
        <f>IFERROR(__xludf.DUMMYFUNCTION("IF(A158="""","""",IFERROR(GOOGLEFINANCE(""NSE:""&amp;UPPER(TRIM(A158)),""price""),""Not Available""))"),680.0)</f>
        <v>680</v>
      </c>
      <c r="N158" s="132" t="str">
        <f t="shared" si="21"/>
        <v>#DIV/0!</v>
      </c>
      <c r="O158" s="133" t="str">
        <f t="shared" si="22"/>
        <v>#DIV/0!</v>
      </c>
      <c r="P158" s="47" t="str">
        <f>IFERROR(__xludf.DUMMYFUNCTION("IF(OR(A158="""",E158=""""),"""",IFERROR(LET(data,GOOGLEFINANCE(""NSE:""&amp;UPPER(TRIM(A158)),""close"",E158-3,E158,""DAILY""),INDEX(data,ROWS(data),2)),""Not Available""))"),"")</f>
        <v/>
      </c>
      <c r="Q158" s="51"/>
      <c r="R158" s="188" t="str">
        <f t="shared" si="23"/>
        <v>#DIV/0!</v>
      </c>
      <c r="S158" s="51" t="str">
        <f>IFERROR(__xludf.DUMMYFUNCTION("IF(OR(A158="""",E158=""""),"""",IFERROR(LET(data,GOOGLEFINANCE(""NSE:""&amp;UPPER(TRIM(A158)),""close"",Q158-3,Q158,""DAILY""),INDEX(data,ROWS(data),2)),""Not Available""))"),"")</f>
        <v/>
      </c>
      <c r="T158" s="189" t="str">
        <f t="shared" si="24"/>
        <v>#DIV/0!</v>
      </c>
      <c r="U158" s="52" t="str">
        <f t="shared" si="25"/>
        <v>#DIV/0!</v>
      </c>
      <c r="V158" s="190"/>
      <c r="W158" s="190"/>
      <c r="X158" s="190"/>
      <c r="Y158" s="56"/>
    </row>
    <row r="159">
      <c r="A159" s="206" t="s">
        <v>274</v>
      </c>
      <c r="B159" s="130"/>
      <c r="C159" s="130"/>
      <c r="D159" s="130"/>
      <c r="E159" s="199"/>
      <c r="F159" s="130"/>
      <c r="G159" s="130"/>
      <c r="H159" s="130"/>
      <c r="I159" s="130"/>
      <c r="J159" s="130"/>
      <c r="K159" s="130"/>
      <c r="L159" s="130" t="str">
        <f>IFERROR(__xludf.DUMMYFUNCTION("IF(OR(A159="""",D159=""""),"""",IFERROR(LET(data,GOOGLEFINANCE(""NSE:""&amp;UPPER(TRIM(A159)),""close"",D159-3,D159,""DAILY""),INDEX(data,ROWS(data),2)),""Not Available""))"),"")</f>
        <v/>
      </c>
      <c r="M159" s="131">
        <f>IFERROR(__xludf.DUMMYFUNCTION("IF(A159="""","""",IFERROR(GOOGLEFINANCE(""NSE:""&amp;UPPER(TRIM(A159)),""price""),""Not Available""))"),2036.1)</f>
        <v>2036.1</v>
      </c>
      <c r="N159" s="132" t="str">
        <f t="shared" si="21"/>
        <v>#DIV/0!</v>
      </c>
      <c r="O159" s="133" t="str">
        <f t="shared" si="22"/>
        <v>#DIV/0!</v>
      </c>
      <c r="P159" s="47" t="str">
        <f>IFERROR(__xludf.DUMMYFUNCTION("IF(OR(A159="""",E159=""""),"""",IFERROR(LET(data,GOOGLEFINANCE(""NSE:""&amp;UPPER(TRIM(A159)),""close"",E159-3,E159,""DAILY""),INDEX(data,ROWS(data),2)),""Not Available""))"),"")</f>
        <v/>
      </c>
      <c r="Q159" s="51"/>
      <c r="R159" s="188" t="str">
        <f t="shared" si="23"/>
        <v>#DIV/0!</v>
      </c>
      <c r="S159" s="51" t="str">
        <f>IFERROR(__xludf.DUMMYFUNCTION("IF(OR(A159="""",E159=""""),"""",IFERROR(LET(data,GOOGLEFINANCE(""NSE:""&amp;UPPER(TRIM(A159)),""close"",Q159-3,Q159,""DAILY""),INDEX(data,ROWS(data),2)),""Not Available""))"),"")</f>
        <v/>
      </c>
      <c r="T159" s="189" t="str">
        <f t="shared" si="24"/>
        <v>#DIV/0!</v>
      </c>
      <c r="U159" s="52" t="str">
        <f t="shared" si="25"/>
        <v>#DIV/0!</v>
      </c>
      <c r="V159" s="190"/>
      <c r="W159" s="190"/>
      <c r="X159" s="190"/>
      <c r="Y159" s="56"/>
    </row>
    <row r="160">
      <c r="A160" s="35" t="s">
        <v>276</v>
      </c>
      <c r="B160" s="130"/>
      <c r="C160" s="130"/>
      <c r="D160" s="130"/>
      <c r="E160" s="199"/>
      <c r="F160" s="130"/>
      <c r="G160" s="130"/>
      <c r="H160" s="130"/>
      <c r="I160" s="130"/>
      <c r="J160" s="130"/>
      <c r="K160" s="130"/>
      <c r="L160" s="130" t="str">
        <f>IFERROR(__xludf.DUMMYFUNCTION("IF(OR(A160="""",D160=""""),"""",IFERROR(LET(data,GOOGLEFINANCE(""NSE:""&amp;UPPER(TRIM(A160)),""close"",D160-3,D160,""DAILY""),INDEX(data,ROWS(data),2)),""Not Available""))"),"")</f>
        <v/>
      </c>
      <c r="M160" s="131">
        <f>IFERROR(__xludf.DUMMYFUNCTION("IF(A160="""","""",IFERROR(GOOGLEFINANCE(""NSE:""&amp;UPPER(TRIM(A160)),""price""),""Not Available""))"),91.74)</f>
        <v>91.74</v>
      </c>
      <c r="N160" s="132" t="str">
        <f t="shared" si="21"/>
        <v>#DIV/0!</v>
      </c>
      <c r="O160" s="133" t="str">
        <f t="shared" si="22"/>
        <v>#DIV/0!</v>
      </c>
      <c r="P160" s="47" t="str">
        <f>IFERROR(__xludf.DUMMYFUNCTION("IF(OR(A160="""",E160=""""),"""",IFERROR(LET(data,GOOGLEFINANCE(""NSE:""&amp;UPPER(TRIM(A160)),""close"",E160-3,E160,""DAILY""),INDEX(data,ROWS(data),2)),""Not Available""))"),"")</f>
        <v/>
      </c>
      <c r="Q160" s="51"/>
      <c r="R160" s="188" t="str">
        <f t="shared" si="23"/>
        <v>#DIV/0!</v>
      </c>
      <c r="S160" s="51" t="str">
        <f>IFERROR(__xludf.DUMMYFUNCTION("IF(OR(A160="""",E160=""""),"""",IFERROR(LET(data,GOOGLEFINANCE(""NSE:""&amp;UPPER(TRIM(A160)),""close"",Q160-3,Q160,""DAILY""),INDEX(data,ROWS(data),2)),""Not Available""))"),"")</f>
        <v/>
      </c>
      <c r="T160" s="189" t="str">
        <f t="shared" si="24"/>
        <v>#DIV/0!</v>
      </c>
      <c r="U160" s="52" t="str">
        <f t="shared" si="25"/>
        <v>#DIV/0!</v>
      </c>
      <c r="V160" s="190"/>
      <c r="W160" s="190"/>
      <c r="X160" s="190"/>
      <c r="Y160" s="56"/>
    </row>
    <row r="161">
      <c r="A161" s="220" t="s">
        <v>278</v>
      </c>
      <c r="B161" s="130"/>
      <c r="C161" s="130"/>
      <c r="D161" s="130"/>
      <c r="E161" s="199"/>
      <c r="F161" s="130"/>
      <c r="G161" s="130"/>
      <c r="H161" s="130"/>
      <c r="I161" s="130"/>
      <c r="J161" s="130"/>
      <c r="K161" s="130"/>
      <c r="L161" s="130" t="str">
        <f>IFERROR(__xludf.DUMMYFUNCTION("IF(OR(A161="""",D161=""""),"""",IFERROR(LET(data,GOOGLEFINANCE(""NSE:""&amp;UPPER(TRIM(A161)),""close"",D161-3,D161,""DAILY""),INDEX(data,ROWS(data),2)),""Not Available""))"),"")</f>
        <v/>
      </c>
      <c r="M161" s="131">
        <f>IFERROR(__xludf.DUMMYFUNCTION("IF(A161="""","""",IFERROR(GOOGLEFINANCE(""NSE:""&amp;UPPER(TRIM(A161)),""price""),""Not Available""))"),77.43)</f>
        <v>77.43</v>
      </c>
      <c r="N161" s="132" t="str">
        <f t="shared" si="21"/>
        <v>#DIV/0!</v>
      </c>
      <c r="O161" s="133" t="str">
        <f t="shared" si="22"/>
        <v>#DIV/0!</v>
      </c>
      <c r="P161" s="47" t="str">
        <f>IFERROR(__xludf.DUMMYFUNCTION("IF(OR(A161="""",E161=""""),"""",IFERROR(LET(data,GOOGLEFINANCE(""NSE:""&amp;UPPER(TRIM(A161)),""close"",E161-3,E161,""DAILY""),INDEX(data,ROWS(data),2)),""Not Available""))"),"")</f>
        <v/>
      </c>
      <c r="Q161" s="51"/>
      <c r="R161" s="188" t="str">
        <f t="shared" si="23"/>
        <v>#DIV/0!</v>
      </c>
      <c r="S161" s="51" t="str">
        <f>IFERROR(__xludf.DUMMYFUNCTION("IF(OR(A161="""",E161=""""),"""",IFERROR(LET(data,GOOGLEFINANCE(""NSE:""&amp;UPPER(TRIM(A161)),""close"",Q161-3,Q161,""DAILY""),INDEX(data,ROWS(data),2)),""Not Available""))"),"")</f>
        <v/>
      </c>
      <c r="T161" s="189" t="str">
        <f t="shared" si="24"/>
        <v>#DIV/0!</v>
      </c>
      <c r="U161" s="52" t="str">
        <f t="shared" si="25"/>
        <v>#DIV/0!</v>
      </c>
      <c r="V161" s="190"/>
      <c r="W161" s="190"/>
      <c r="X161" s="190"/>
      <c r="Y161" s="56"/>
    </row>
    <row r="162">
      <c r="A162" s="220" t="s">
        <v>280</v>
      </c>
      <c r="B162" s="130"/>
      <c r="C162" s="130"/>
      <c r="D162" s="130"/>
      <c r="E162" s="199"/>
      <c r="F162" s="130"/>
      <c r="G162" s="130"/>
      <c r="H162" s="130"/>
      <c r="I162" s="130"/>
      <c r="J162" s="130"/>
      <c r="K162" s="130"/>
      <c r="L162" s="130" t="str">
        <f>IFERROR(__xludf.DUMMYFUNCTION("IF(OR(A162="""",D162=""""),"""",IFERROR(LET(data,GOOGLEFINANCE(""NSE:""&amp;UPPER(TRIM(A162)),""close"",D162-3,D162,""DAILY""),INDEX(data,ROWS(data),2)),""Not Available""))"),"")</f>
        <v/>
      </c>
      <c r="M162" s="131">
        <f>IFERROR(__xludf.DUMMYFUNCTION("IF(A162="""","""",IFERROR(GOOGLEFINANCE(""NSE:""&amp;UPPER(TRIM(A162)),""price""),""Not Available""))"),111.38)</f>
        <v>111.38</v>
      </c>
      <c r="N162" s="132" t="str">
        <f t="shared" si="21"/>
        <v>#DIV/0!</v>
      </c>
      <c r="O162" s="133" t="str">
        <f t="shared" si="22"/>
        <v>#DIV/0!</v>
      </c>
      <c r="P162" s="47" t="str">
        <f>IFERROR(__xludf.DUMMYFUNCTION("IF(OR(A162="""",E162=""""),"""",IFERROR(LET(data,GOOGLEFINANCE(""NSE:""&amp;UPPER(TRIM(A162)),""close"",E162-3,E162,""DAILY""),INDEX(data,ROWS(data),2)),""Not Available""))"),"")</f>
        <v/>
      </c>
      <c r="Q162" s="51"/>
      <c r="R162" s="188" t="str">
        <f t="shared" si="23"/>
        <v>#DIV/0!</v>
      </c>
      <c r="S162" s="51" t="str">
        <f>IFERROR(__xludf.DUMMYFUNCTION("IF(OR(A162="""",E162=""""),"""",IFERROR(LET(data,GOOGLEFINANCE(""NSE:""&amp;UPPER(TRIM(A162)),""close"",Q162-3,Q162,""DAILY""),INDEX(data,ROWS(data),2)),""Not Available""))"),"")</f>
        <v/>
      </c>
      <c r="T162" s="189" t="str">
        <f t="shared" si="24"/>
        <v>#DIV/0!</v>
      </c>
      <c r="U162" s="52" t="str">
        <f t="shared" si="25"/>
        <v>#DIV/0!</v>
      </c>
      <c r="V162" s="190"/>
      <c r="W162" s="190"/>
      <c r="X162" s="190"/>
      <c r="Y162" s="56"/>
    </row>
    <row r="163">
      <c r="A163" s="220" t="s">
        <v>282</v>
      </c>
      <c r="B163" s="130"/>
      <c r="C163" s="130"/>
      <c r="D163" s="130"/>
      <c r="E163" s="199"/>
      <c r="F163" s="130"/>
      <c r="G163" s="130"/>
      <c r="H163" s="130"/>
      <c r="I163" s="130"/>
      <c r="J163" s="130"/>
      <c r="K163" s="130"/>
      <c r="L163" s="130" t="str">
        <f>IFERROR(__xludf.DUMMYFUNCTION("IF(OR(A163="""",D163=""""),"""",IFERROR(LET(data,GOOGLEFINANCE(""NSE:""&amp;UPPER(TRIM(A163)),""close"",D163-3,D163,""DAILY""),INDEX(data,ROWS(data),2)),""Not Available""))"),"")</f>
        <v/>
      </c>
      <c r="M163" s="131">
        <f>IFERROR(__xludf.DUMMYFUNCTION("IF(A163="""","""",IFERROR(GOOGLEFINANCE(""NSE:""&amp;UPPER(TRIM(A163)),""price""),""Not Available""))"),214.44)</f>
        <v>214.44</v>
      </c>
      <c r="N163" s="132" t="str">
        <f t="shared" si="21"/>
        <v>#DIV/0!</v>
      </c>
      <c r="O163" s="133" t="str">
        <f t="shared" si="22"/>
        <v>#DIV/0!</v>
      </c>
      <c r="P163" s="47" t="str">
        <f>IFERROR(__xludf.DUMMYFUNCTION("IF(OR(A163="""",E163=""""),"""",IFERROR(LET(data,GOOGLEFINANCE(""NSE:""&amp;UPPER(TRIM(A163)),""close"",E163-3,E163,""DAILY""),INDEX(data,ROWS(data),2)),""Not Available""))"),"")</f>
        <v/>
      </c>
      <c r="Q163" s="51"/>
      <c r="R163" s="188" t="str">
        <f t="shared" si="23"/>
        <v>#DIV/0!</v>
      </c>
      <c r="S163" s="51" t="str">
        <f>IFERROR(__xludf.DUMMYFUNCTION("IF(OR(A163="""",E163=""""),"""",IFERROR(LET(data,GOOGLEFINANCE(""NSE:""&amp;UPPER(TRIM(A163)),""close"",Q163-3,Q163,""DAILY""),INDEX(data,ROWS(data),2)),""Not Available""))"),"")</f>
        <v/>
      </c>
      <c r="T163" s="189" t="str">
        <f t="shared" si="24"/>
        <v>#DIV/0!</v>
      </c>
      <c r="U163" s="52" t="str">
        <f t="shared" si="25"/>
        <v>#DIV/0!</v>
      </c>
      <c r="V163" s="190"/>
      <c r="W163" s="190"/>
      <c r="X163" s="190"/>
      <c r="Y163" s="56"/>
    </row>
    <row r="164">
      <c r="A164" s="220" t="s">
        <v>283</v>
      </c>
      <c r="B164" s="130"/>
      <c r="C164" s="130"/>
      <c r="D164" s="130"/>
      <c r="E164" s="199"/>
      <c r="F164" s="130"/>
      <c r="G164" s="130"/>
      <c r="H164" s="130"/>
      <c r="I164" s="130"/>
      <c r="J164" s="130"/>
      <c r="K164" s="130"/>
      <c r="L164" s="130" t="str">
        <f>IFERROR(__xludf.DUMMYFUNCTION("IF(OR(A164="""",D164=""""),"""",IFERROR(LET(data,GOOGLEFINANCE(""NSE:""&amp;UPPER(TRIM(A164)),""close"",D164-3,D164,""DAILY""),INDEX(data,ROWS(data),2)),""Not Available""))"),"")</f>
        <v/>
      </c>
      <c r="M164" s="131">
        <f>IFERROR(__xludf.DUMMYFUNCTION("IF(A164="""","""",IFERROR(GOOGLEFINANCE(""NSE:""&amp;UPPER(TRIM(A164)),""price""),""Not Available""))"),1178.5)</f>
        <v>1178.5</v>
      </c>
      <c r="N164" s="132" t="str">
        <f t="shared" si="21"/>
        <v>#DIV/0!</v>
      </c>
      <c r="O164" s="133" t="str">
        <f t="shared" si="22"/>
        <v>#DIV/0!</v>
      </c>
      <c r="P164" s="47" t="str">
        <f>IFERROR(__xludf.DUMMYFUNCTION("IF(OR(A164="""",E164=""""),"""",IFERROR(LET(data,GOOGLEFINANCE(""NSE:""&amp;UPPER(TRIM(A164)),""close"",E164-3,E164,""DAILY""),INDEX(data,ROWS(data),2)),""Not Available""))"),"")</f>
        <v/>
      </c>
      <c r="Q164" s="51"/>
      <c r="R164" s="188" t="str">
        <f t="shared" si="23"/>
        <v>#DIV/0!</v>
      </c>
      <c r="S164" s="51" t="str">
        <f>IFERROR(__xludf.DUMMYFUNCTION("IF(OR(A164="""",E164=""""),"""",IFERROR(LET(data,GOOGLEFINANCE(""NSE:""&amp;UPPER(TRIM(A164)),""close"",Q164-3,Q164,""DAILY""),INDEX(data,ROWS(data),2)),""Not Available""))"),"")</f>
        <v/>
      </c>
      <c r="T164" s="189" t="str">
        <f t="shared" si="24"/>
        <v>#DIV/0!</v>
      </c>
      <c r="U164" s="52" t="str">
        <f t="shared" si="25"/>
        <v>#DIV/0!</v>
      </c>
      <c r="V164" s="190"/>
      <c r="W164" s="190"/>
      <c r="X164" s="190"/>
      <c r="Y164" s="56"/>
    </row>
    <row r="165">
      <c r="A165" s="220" t="s">
        <v>284</v>
      </c>
      <c r="B165" s="130"/>
      <c r="C165" s="130"/>
      <c r="D165" s="130"/>
      <c r="E165" s="199"/>
      <c r="F165" s="130"/>
      <c r="G165" s="130"/>
      <c r="H165" s="130"/>
      <c r="I165" s="130"/>
      <c r="J165" s="130"/>
      <c r="K165" s="130"/>
      <c r="L165" s="130" t="str">
        <f>IFERROR(__xludf.DUMMYFUNCTION("IF(OR(A165="""",D165=""""),"""",IFERROR(LET(data,GOOGLEFINANCE(""NSE:""&amp;UPPER(TRIM(A165)),""close"",D165-3,D165,""DAILY""),INDEX(data,ROWS(data),2)),""Not Available""))"),"")</f>
        <v/>
      </c>
      <c r="M165" s="131">
        <f>IFERROR(__xludf.DUMMYFUNCTION("IF(A165="""","""",IFERROR(GOOGLEFINANCE(""NSE:""&amp;UPPER(TRIM(A165)),""price""),""Not Available""))"),1480.9)</f>
        <v>1480.9</v>
      </c>
      <c r="N165" s="132" t="str">
        <f t="shared" si="21"/>
        <v>#DIV/0!</v>
      </c>
      <c r="O165" s="133" t="str">
        <f t="shared" si="22"/>
        <v>#DIV/0!</v>
      </c>
      <c r="P165" s="47" t="str">
        <f>IFERROR(__xludf.DUMMYFUNCTION("IF(OR(A165="""",E165=""""),"""",IFERROR(LET(data,GOOGLEFINANCE(""NSE:""&amp;UPPER(TRIM(A165)),""close"",E165-3,E165,""DAILY""),INDEX(data,ROWS(data),2)),""Not Available""))"),"")</f>
        <v/>
      </c>
      <c r="Q165" s="51"/>
      <c r="R165" s="188" t="str">
        <f t="shared" si="23"/>
        <v>#DIV/0!</v>
      </c>
      <c r="S165" s="51" t="str">
        <f>IFERROR(__xludf.DUMMYFUNCTION("IF(OR(A165="""",E165=""""),"""",IFERROR(LET(data,GOOGLEFINANCE(""NSE:""&amp;UPPER(TRIM(A165)),""close"",Q165-3,Q165,""DAILY""),INDEX(data,ROWS(data),2)),""Not Available""))"),"")</f>
        <v/>
      </c>
      <c r="T165" s="189" t="str">
        <f t="shared" si="24"/>
        <v>#DIV/0!</v>
      </c>
      <c r="U165" s="52" t="str">
        <f t="shared" si="25"/>
        <v>#DIV/0!</v>
      </c>
      <c r="V165" s="190"/>
      <c r="W165" s="190"/>
      <c r="X165" s="190"/>
      <c r="Y165" s="56"/>
    </row>
    <row r="166">
      <c r="A166" s="220" t="s">
        <v>285</v>
      </c>
      <c r="B166" s="130"/>
      <c r="C166" s="130"/>
      <c r="D166" s="130"/>
      <c r="E166" s="199"/>
      <c r="F166" s="130"/>
      <c r="G166" s="130"/>
      <c r="H166" s="130"/>
      <c r="I166" s="130"/>
      <c r="J166" s="130"/>
      <c r="K166" s="130"/>
      <c r="L166" s="130" t="str">
        <f>IFERROR(__xludf.DUMMYFUNCTION("IF(OR(A166="""",D166=""""),"""",IFERROR(LET(data,GOOGLEFINANCE(""NSE:""&amp;UPPER(TRIM(A166)),""close"",D166-3,D166,""DAILY""),INDEX(data,ROWS(data),2)),""Not Available""))"),"")</f>
        <v/>
      </c>
      <c r="M166" s="131">
        <f>IFERROR(__xludf.DUMMYFUNCTION("IF(A166="""","""",IFERROR(GOOGLEFINANCE(""NSE:""&amp;UPPER(TRIM(A166)),""price""),""Not Available""))"),184.52)</f>
        <v>184.52</v>
      </c>
      <c r="N166" s="132" t="str">
        <f t="shared" si="21"/>
        <v>#DIV/0!</v>
      </c>
      <c r="O166" s="133" t="str">
        <f t="shared" si="22"/>
        <v>#DIV/0!</v>
      </c>
      <c r="P166" s="47" t="str">
        <f>IFERROR(__xludf.DUMMYFUNCTION("IF(OR(A166="""",E166=""""),"""",IFERROR(LET(data,GOOGLEFINANCE(""NSE:""&amp;UPPER(TRIM(A166)),""close"",E166-3,E166,""DAILY""),INDEX(data,ROWS(data),2)),""Not Available""))"),"")</f>
        <v/>
      </c>
      <c r="Q166" s="51"/>
      <c r="R166" s="188" t="str">
        <f t="shared" si="23"/>
        <v>#DIV/0!</v>
      </c>
      <c r="S166" s="51" t="str">
        <f>IFERROR(__xludf.DUMMYFUNCTION("IF(OR(A166="""",E166=""""),"""",IFERROR(LET(data,GOOGLEFINANCE(""NSE:""&amp;UPPER(TRIM(A166)),""close"",Q166-3,Q166,""DAILY""),INDEX(data,ROWS(data),2)),""Not Available""))"),"")</f>
        <v/>
      </c>
      <c r="T166" s="189" t="str">
        <f t="shared" si="24"/>
        <v>#DIV/0!</v>
      </c>
      <c r="U166" s="52" t="str">
        <f t="shared" si="25"/>
        <v>#DIV/0!</v>
      </c>
      <c r="V166" s="190"/>
      <c r="W166" s="190"/>
      <c r="X166" s="190"/>
      <c r="Y166" s="56"/>
    </row>
    <row r="167">
      <c r="A167" s="220" t="s">
        <v>286</v>
      </c>
      <c r="B167" s="130"/>
      <c r="C167" s="130"/>
      <c r="D167" s="130"/>
      <c r="E167" s="199"/>
      <c r="F167" s="130"/>
      <c r="G167" s="130"/>
      <c r="H167" s="130"/>
      <c r="I167" s="130"/>
      <c r="J167" s="130"/>
      <c r="K167" s="130"/>
      <c r="L167" s="130" t="str">
        <f>IFERROR(__xludf.DUMMYFUNCTION("IF(OR(A167="""",D167=""""),"""",IFERROR(LET(data,GOOGLEFINANCE(""NSE:""&amp;UPPER(TRIM(A167)),""close"",D167-3,D167,""DAILY""),INDEX(data,ROWS(data),2)),""Not Available""))"),"")</f>
        <v/>
      </c>
      <c r="M167" s="131">
        <f>IFERROR(__xludf.DUMMYFUNCTION("IF(A167="""","""",IFERROR(GOOGLEFINANCE(""NSE:""&amp;UPPER(TRIM(A167)),""price""),""Not Available""))"),88.0)</f>
        <v>88</v>
      </c>
      <c r="N167" s="132" t="str">
        <f t="shared" si="21"/>
        <v>#DIV/0!</v>
      </c>
      <c r="O167" s="133" t="str">
        <f t="shared" si="22"/>
        <v>#DIV/0!</v>
      </c>
      <c r="P167" s="47" t="str">
        <f>IFERROR(__xludf.DUMMYFUNCTION("IF(OR(A167="""",E167=""""),"""",IFERROR(LET(data,GOOGLEFINANCE(""NSE:""&amp;UPPER(TRIM(A167)),""close"",E167-3,E167,""DAILY""),INDEX(data,ROWS(data),2)),""Not Available""))"),"")</f>
        <v/>
      </c>
      <c r="Q167" s="51"/>
      <c r="R167" s="188" t="str">
        <f t="shared" si="23"/>
        <v>#DIV/0!</v>
      </c>
      <c r="S167" s="51" t="str">
        <f>IFERROR(__xludf.DUMMYFUNCTION("IF(OR(A167="""",E167=""""),"""",IFERROR(LET(data,GOOGLEFINANCE(""NSE:""&amp;UPPER(TRIM(A167)),""close"",Q167-3,Q167,""DAILY""),INDEX(data,ROWS(data),2)),""Not Available""))"),"")</f>
        <v/>
      </c>
      <c r="T167" s="189" t="str">
        <f t="shared" si="24"/>
        <v>#DIV/0!</v>
      </c>
      <c r="U167" s="52" t="str">
        <f t="shared" si="25"/>
        <v>#DIV/0!</v>
      </c>
      <c r="V167" s="190"/>
      <c r="W167" s="190"/>
      <c r="X167" s="190"/>
      <c r="Y167" s="56"/>
    </row>
    <row r="168">
      <c r="A168" s="220" t="s">
        <v>288</v>
      </c>
      <c r="B168" s="130"/>
      <c r="C168" s="130"/>
      <c r="D168" s="130"/>
      <c r="E168" s="199"/>
      <c r="F168" s="130"/>
      <c r="G168" s="130"/>
      <c r="H168" s="130"/>
      <c r="I168" s="130"/>
      <c r="J168" s="130"/>
      <c r="K168" s="130"/>
      <c r="L168" s="130" t="str">
        <f>IFERROR(__xludf.DUMMYFUNCTION("IF(OR(A168="""",D168=""""),"""",IFERROR(LET(data,GOOGLEFINANCE(""NSE:""&amp;UPPER(TRIM(A168)),""close"",D168-3,D168,""DAILY""),INDEX(data,ROWS(data),2)),""Not Available""))"),"")</f>
        <v/>
      </c>
      <c r="M168" s="131">
        <f>IFERROR(__xludf.DUMMYFUNCTION("IF(A168="""","""",IFERROR(GOOGLEFINANCE(""NSE:""&amp;UPPER(TRIM(A168)),""price""),""Not Available""))"),14.86)</f>
        <v>14.86</v>
      </c>
      <c r="N168" s="132" t="str">
        <f t="shared" si="21"/>
        <v>#DIV/0!</v>
      </c>
      <c r="O168" s="133" t="str">
        <f t="shared" si="22"/>
        <v>#DIV/0!</v>
      </c>
      <c r="P168" s="47" t="str">
        <f>IFERROR(__xludf.DUMMYFUNCTION("IF(OR(A168="""",E168=""""),"""",IFERROR(LET(data,GOOGLEFINANCE(""NSE:""&amp;UPPER(TRIM(A168)),""close"",E168-3,E168,""DAILY""),INDEX(data,ROWS(data),2)),""Not Available""))"),"")</f>
        <v/>
      </c>
      <c r="Q168" s="51"/>
      <c r="R168" s="188" t="str">
        <f t="shared" si="23"/>
        <v>#DIV/0!</v>
      </c>
      <c r="S168" s="51" t="str">
        <f>IFERROR(__xludf.DUMMYFUNCTION("IF(OR(A168="""",E168=""""),"""",IFERROR(LET(data,GOOGLEFINANCE(""NSE:""&amp;UPPER(TRIM(A168)),""close"",Q168-3,Q168,""DAILY""),INDEX(data,ROWS(data),2)),""Not Available""))"),"")</f>
        <v/>
      </c>
      <c r="T168" s="189" t="str">
        <f t="shared" si="24"/>
        <v>#DIV/0!</v>
      </c>
      <c r="U168" s="52" t="str">
        <f t="shared" si="25"/>
        <v>#DIV/0!</v>
      </c>
      <c r="V168" s="190"/>
      <c r="W168" s="190"/>
      <c r="X168" s="190"/>
      <c r="Y168" s="56"/>
    </row>
    <row r="169">
      <c r="A169" s="220" t="s">
        <v>289</v>
      </c>
      <c r="B169" s="130"/>
      <c r="C169" s="130"/>
      <c r="D169" s="130"/>
      <c r="E169" s="199"/>
      <c r="F169" s="130"/>
      <c r="G169" s="130"/>
      <c r="H169" s="130"/>
      <c r="I169" s="130"/>
      <c r="J169" s="130"/>
      <c r="K169" s="130"/>
      <c r="L169" s="130" t="str">
        <f>IFERROR(__xludf.DUMMYFUNCTION("IF(OR(A169="""",D169=""""),"""",IFERROR(LET(data,GOOGLEFINANCE(""NSE:""&amp;UPPER(TRIM(A169)),""close"",D169-3,D169,""DAILY""),INDEX(data,ROWS(data),2)),""Not Available""))"),"")</f>
        <v/>
      </c>
      <c r="M169" s="131">
        <f>IFERROR(__xludf.DUMMYFUNCTION("IF(A169="""","""",IFERROR(GOOGLEFINANCE(""NSE:""&amp;UPPER(TRIM(A169)),""price""),""Not Available""))"),895.6)</f>
        <v>895.6</v>
      </c>
      <c r="N169" s="132" t="str">
        <f t="shared" si="21"/>
        <v>#DIV/0!</v>
      </c>
      <c r="O169" s="133" t="str">
        <f t="shared" si="22"/>
        <v>#DIV/0!</v>
      </c>
      <c r="P169" s="47" t="str">
        <f>IFERROR(__xludf.DUMMYFUNCTION("IF(OR(A169="""",E169=""""),"""",IFERROR(LET(data,GOOGLEFINANCE(""NSE:""&amp;UPPER(TRIM(A169)),""close"",E169-3,E169,""DAILY""),INDEX(data,ROWS(data),2)),""Not Available""))"),"")</f>
        <v/>
      </c>
      <c r="Q169" s="51"/>
      <c r="R169" s="188" t="str">
        <f t="shared" si="23"/>
        <v>#DIV/0!</v>
      </c>
      <c r="S169" s="51" t="str">
        <f>IFERROR(__xludf.DUMMYFUNCTION("IF(OR(A169="""",E169=""""),"""",IFERROR(LET(data,GOOGLEFINANCE(""NSE:""&amp;UPPER(TRIM(A169)),""close"",Q169-3,Q169,""DAILY""),INDEX(data,ROWS(data),2)),""Not Available""))"),"")</f>
        <v/>
      </c>
      <c r="T169" s="189" t="str">
        <f t="shared" si="24"/>
        <v>#DIV/0!</v>
      </c>
      <c r="U169" s="52" t="str">
        <f t="shared" si="25"/>
        <v>#DIV/0!</v>
      </c>
      <c r="V169" s="190"/>
      <c r="W169" s="190"/>
      <c r="X169" s="190"/>
      <c r="Y169" s="56"/>
    </row>
    <row r="170">
      <c r="A170" s="220" t="s">
        <v>290</v>
      </c>
      <c r="B170" s="130"/>
      <c r="C170" s="130"/>
      <c r="D170" s="130"/>
      <c r="E170" s="199"/>
      <c r="F170" s="130"/>
      <c r="G170" s="130"/>
      <c r="H170" s="130"/>
      <c r="I170" s="130"/>
      <c r="J170" s="130"/>
      <c r="K170" s="130"/>
      <c r="L170" s="130" t="str">
        <f>IFERROR(__xludf.DUMMYFUNCTION("IF(OR(A170="""",D170=""""),"""",IFERROR(LET(data,GOOGLEFINANCE(""NSE:""&amp;UPPER(TRIM(A170)),""close"",D170-3,D170,""DAILY""),INDEX(data,ROWS(data),2)),""Not Available""))"),"")</f>
        <v/>
      </c>
      <c r="M170" s="131">
        <f>IFERROR(__xludf.DUMMYFUNCTION("IF(A170="""","""",IFERROR(GOOGLEFINANCE(""NSE:""&amp;UPPER(TRIM(A170)),""price""),""Not Available""))"),513.0)</f>
        <v>513</v>
      </c>
      <c r="N170" s="132" t="str">
        <f t="shared" si="21"/>
        <v>#DIV/0!</v>
      </c>
      <c r="O170" s="133" t="str">
        <f t="shared" si="22"/>
        <v>#DIV/0!</v>
      </c>
      <c r="P170" s="47" t="str">
        <f>IFERROR(__xludf.DUMMYFUNCTION("IF(OR(A170="""",E170=""""),"""",IFERROR(LET(data,GOOGLEFINANCE(""NSE:""&amp;UPPER(TRIM(A170)),""close"",E170-3,E170,""DAILY""),INDEX(data,ROWS(data),2)),""Not Available""))"),"")</f>
        <v/>
      </c>
      <c r="Q170" s="51"/>
      <c r="R170" s="188" t="str">
        <f t="shared" si="23"/>
        <v>#DIV/0!</v>
      </c>
      <c r="S170" s="51" t="str">
        <f>IFERROR(__xludf.DUMMYFUNCTION("IF(OR(A170="""",E170=""""),"""",IFERROR(LET(data,GOOGLEFINANCE(""NSE:""&amp;UPPER(TRIM(A170)),""close"",Q170-3,Q170,""DAILY""),INDEX(data,ROWS(data),2)),""Not Available""))"),"")</f>
        <v/>
      </c>
      <c r="T170" s="189" t="str">
        <f t="shared" si="24"/>
        <v>#DIV/0!</v>
      </c>
      <c r="U170" s="52" t="str">
        <f t="shared" si="25"/>
        <v>#DIV/0!</v>
      </c>
      <c r="V170" s="190"/>
      <c r="W170" s="190"/>
      <c r="X170" s="190"/>
      <c r="Y170" s="56"/>
    </row>
    <row r="171">
      <c r="A171" s="220" t="s">
        <v>291</v>
      </c>
      <c r="B171" s="130"/>
      <c r="C171" s="130"/>
      <c r="D171" s="130"/>
      <c r="E171" s="199"/>
      <c r="F171" s="130"/>
      <c r="G171" s="130"/>
      <c r="H171" s="130"/>
      <c r="I171" s="130"/>
      <c r="J171" s="130"/>
      <c r="K171" s="130"/>
      <c r="L171" s="130" t="str">
        <f>IFERROR(__xludf.DUMMYFUNCTION("IF(OR(A171="""",D171=""""),"""",IFERROR(LET(data,GOOGLEFINANCE(""NSE:""&amp;UPPER(TRIM(A171)),""close"",D171-3,D171,""DAILY""),INDEX(data,ROWS(data),2)),""Not Available""))"),"")</f>
        <v/>
      </c>
      <c r="M171" s="131">
        <f>IFERROR(__xludf.DUMMYFUNCTION("IF(A171="""","""",IFERROR(GOOGLEFINANCE(""NSE:""&amp;UPPER(TRIM(A171)),""price""),""Not Available""))"),78.15)</f>
        <v>78.15</v>
      </c>
      <c r="N171" s="132" t="str">
        <f t="shared" si="21"/>
        <v>#DIV/0!</v>
      </c>
      <c r="O171" s="133" t="str">
        <f t="shared" si="22"/>
        <v>#DIV/0!</v>
      </c>
      <c r="P171" s="47" t="str">
        <f>IFERROR(__xludf.DUMMYFUNCTION("IF(OR(A171="""",E171=""""),"""",IFERROR(LET(data,GOOGLEFINANCE(""NSE:""&amp;UPPER(TRIM(A171)),""close"",E171-3,E171,""DAILY""),INDEX(data,ROWS(data),2)),""Not Available""))"),"")</f>
        <v/>
      </c>
      <c r="Q171" s="51"/>
      <c r="R171" s="188" t="str">
        <f t="shared" si="23"/>
        <v>#DIV/0!</v>
      </c>
      <c r="S171" s="51" t="str">
        <f>IFERROR(__xludf.DUMMYFUNCTION("IF(OR(A171="""",E171=""""),"""",IFERROR(LET(data,GOOGLEFINANCE(""NSE:""&amp;UPPER(TRIM(A171)),""close"",Q171-3,Q171,""DAILY""),INDEX(data,ROWS(data),2)),""Not Available""))"),"")</f>
        <v/>
      </c>
      <c r="T171" s="189" t="str">
        <f t="shared" si="24"/>
        <v>#DIV/0!</v>
      </c>
      <c r="U171" s="52" t="str">
        <f t="shared" si="25"/>
        <v>#DIV/0!</v>
      </c>
      <c r="V171" s="190"/>
      <c r="W171" s="190"/>
      <c r="X171" s="190"/>
      <c r="Y171" s="56"/>
    </row>
    <row r="172">
      <c r="A172" s="220" t="s">
        <v>293</v>
      </c>
      <c r="B172" s="130"/>
      <c r="C172" s="130"/>
      <c r="D172" s="130"/>
      <c r="E172" s="199"/>
      <c r="F172" s="130"/>
      <c r="G172" s="130"/>
      <c r="H172" s="130"/>
      <c r="I172" s="130"/>
      <c r="J172" s="130"/>
      <c r="K172" s="130"/>
      <c r="L172" s="130" t="str">
        <f>IFERROR(__xludf.DUMMYFUNCTION("IF(OR(A172="""",D172=""""),"""",IFERROR(LET(data,GOOGLEFINANCE(""NSE:""&amp;UPPER(TRIM(A172)),""close"",D172-3,D172,""DAILY""),INDEX(data,ROWS(data),2)),""Not Available""))"),"")</f>
        <v/>
      </c>
      <c r="M172" s="131">
        <f>IFERROR(__xludf.DUMMYFUNCTION("IF(A172="""","""",IFERROR(GOOGLEFINANCE(""NSE:""&amp;UPPER(TRIM(A172)),""price""),""Not Available""))"),586.0)</f>
        <v>586</v>
      </c>
      <c r="N172" s="132" t="str">
        <f t="shared" si="21"/>
        <v>#DIV/0!</v>
      </c>
      <c r="O172" s="133" t="str">
        <f t="shared" si="22"/>
        <v>#DIV/0!</v>
      </c>
      <c r="P172" s="47" t="str">
        <f>IFERROR(__xludf.DUMMYFUNCTION("IF(OR(A172="""",E172=""""),"""",IFERROR(LET(data,GOOGLEFINANCE(""NSE:""&amp;UPPER(TRIM(A172)),""close"",E172-3,E172,""DAILY""),INDEX(data,ROWS(data),2)),""Not Available""))"),"")</f>
        <v/>
      </c>
      <c r="Q172" s="51"/>
      <c r="R172" s="188" t="str">
        <f t="shared" si="23"/>
        <v>#DIV/0!</v>
      </c>
      <c r="S172" s="51" t="str">
        <f>IFERROR(__xludf.DUMMYFUNCTION("IF(OR(A172="""",E172=""""),"""",IFERROR(LET(data,GOOGLEFINANCE(""NSE:""&amp;UPPER(TRIM(A172)),""close"",Q172-3,Q172,""DAILY""),INDEX(data,ROWS(data),2)),""Not Available""))"),"")</f>
        <v/>
      </c>
      <c r="T172" s="189" t="str">
        <f t="shared" si="24"/>
        <v>#DIV/0!</v>
      </c>
      <c r="U172" s="52" t="str">
        <f t="shared" si="25"/>
        <v>#DIV/0!</v>
      </c>
      <c r="V172" s="190"/>
      <c r="W172" s="190"/>
      <c r="X172" s="190"/>
      <c r="Y172" s="56"/>
    </row>
    <row r="173">
      <c r="A173" s="220" t="s">
        <v>294</v>
      </c>
      <c r="B173" s="130"/>
      <c r="C173" s="130"/>
      <c r="D173" s="130"/>
      <c r="E173" s="199"/>
      <c r="F173" s="130"/>
      <c r="G173" s="130"/>
      <c r="H173" s="130"/>
      <c r="I173" s="130"/>
      <c r="J173" s="130"/>
      <c r="K173" s="130"/>
      <c r="L173" s="130" t="str">
        <f>IFERROR(__xludf.DUMMYFUNCTION("IF(OR(A173="""",D173=""""),"""",IFERROR(LET(data,GOOGLEFINANCE(""NSE:""&amp;UPPER(TRIM(A173)),""close"",D173-3,D173,""DAILY""),INDEX(data,ROWS(data),2)),""Not Available""))"),"")</f>
        <v/>
      </c>
      <c r="M173" s="131">
        <f>IFERROR(__xludf.DUMMYFUNCTION("IF(A173="""","""",IFERROR(GOOGLEFINANCE(""NSE:""&amp;UPPER(TRIM(A173)),""price""),""Not Available""))"),908.25)</f>
        <v>908.25</v>
      </c>
      <c r="N173" s="132" t="str">
        <f t="shared" si="21"/>
        <v>#DIV/0!</v>
      </c>
      <c r="O173" s="133" t="str">
        <f t="shared" si="22"/>
        <v>#DIV/0!</v>
      </c>
      <c r="P173" s="47" t="str">
        <f>IFERROR(__xludf.DUMMYFUNCTION("IF(OR(A173="""",E173=""""),"""",IFERROR(LET(data,GOOGLEFINANCE(""NSE:""&amp;UPPER(TRIM(A173)),""close"",E173-3,E173,""DAILY""),INDEX(data,ROWS(data),2)),""Not Available""))"),"")</f>
        <v/>
      </c>
      <c r="Q173" s="51"/>
      <c r="R173" s="188" t="str">
        <f t="shared" si="23"/>
        <v>#DIV/0!</v>
      </c>
      <c r="S173" s="51" t="str">
        <f>IFERROR(__xludf.DUMMYFUNCTION("IF(OR(A173="""",E173=""""),"""",IFERROR(LET(data,GOOGLEFINANCE(""NSE:""&amp;UPPER(TRIM(A173)),""close"",Q173-3,Q173,""DAILY""),INDEX(data,ROWS(data),2)),""Not Available""))"),"")</f>
        <v/>
      </c>
      <c r="T173" s="189" t="str">
        <f t="shared" si="24"/>
        <v>#DIV/0!</v>
      </c>
      <c r="U173" s="52" t="str">
        <f t="shared" si="25"/>
        <v>#DIV/0!</v>
      </c>
      <c r="V173" s="190"/>
      <c r="W173" s="190"/>
      <c r="X173" s="190"/>
      <c r="Y173" s="56"/>
    </row>
    <row r="174">
      <c r="A174" s="220" t="s">
        <v>296</v>
      </c>
      <c r="B174" s="130"/>
      <c r="C174" s="130"/>
      <c r="D174" s="130"/>
      <c r="E174" s="199"/>
      <c r="F174" s="130"/>
      <c r="G174" s="130"/>
      <c r="H174" s="130"/>
      <c r="I174" s="130"/>
      <c r="J174" s="130"/>
      <c r="K174" s="130"/>
      <c r="L174" s="130" t="str">
        <f>IFERROR(__xludf.DUMMYFUNCTION("IF(OR(A174="""",D174=""""),"""",IFERROR(LET(data,GOOGLEFINANCE(""NSE:""&amp;UPPER(TRIM(A174)),""close"",D174-3,D174,""DAILY""),INDEX(data,ROWS(data),2)),""Not Available""))"),"")</f>
        <v/>
      </c>
      <c r="M174" s="131">
        <f>IFERROR(__xludf.DUMMYFUNCTION("IF(A174="""","""",IFERROR(GOOGLEFINANCE(""NSE:""&amp;UPPER(TRIM(A174)),""price""),""Not Available""))"),418.75)</f>
        <v>418.75</v>
      </c>
      <c r="N174" s="132" t="str">
        <f t="shared" si="21"/>
        <v>#DIV/0!</v>
      </c>
      <c r="O174" s="133" t="str">
        <f t="shared" si="22"/>
        <v>#DIV/0!</v>
      </c>
      <c r="P174" s="47" t="str">
        <f>IFERROR(__xludf.DUMMYFUNCTION("IF(OR(A174="""",E174=""""),"""",IFERROR(LET(data,GOOGLEFINANCE(""NSE:""&amp;UPPER(TRIM(A174)),""close"",E174-3,E174,""DAILY""),INDEX(data,ROWS(data),2)),""Not Available""))"),"")</f>
        <v/>
      </c>
      <c r="Q174" s="51"/>
      <c r="R174" s="188" t="str">
        <f t="shared" si="23"/>
        <v>#DIV/0!</v>
      </c>
      <c r="S174" s="51" t="str">
        <f>IFERROR(__xludf.DUMMYFUNCTION("IF(OR(A174="""",E174=""""),"""",IFERROR(LET(data,GOOGLEFINANCE(""NSE:""&amp;UPPER(TRIM(A174)),""close"",Q174-3,Q174,""DAILY""),INDEX(data,ROWS(data),2)),""Not Available""))"),"")</f>
        <v/>
      </c>
      <c r="T174" s="189" t="str">
        <f t="shared" si="24"/>
        <v>#DIV/0!</v>
      </c>
      <c r="U174" s="52" t="str">
        <f t="shared" si="25"/>
        <v>#DIV/0!</v>
      </c>
      <c r="V174" s="190"/>
      <c r="W174" s="190"/>
      <c r="X174" s="190"/>
      <c r="Y174" s="56"/>
    </row>
    <row r="175">
      <c r="A175" s="220" t="s">
        <v>297</v>
      </c>
      <c r="B175" s="130"/>
      <c r="C175" s="130"/>
      <c r="D175" s="130"/>
      <c r="E175" s="199"/>
      <c r="F175" s="130"/>
      <c r="G175" s="130"/>
      <c r="H175" s="130"/>
      <c r="I175" s="130"/>
      <c r="J175" s="130"/>
      <c r="K175" s="130"/>
      <c r="L175" s="130" t="str">
        <f>IFERROR(__xludf.DUMMYFUNCTION("IF(OR(A175="""",D175=""""),"""",IFERROR(LET(data,GOOGLEFINANCE(""NSE:""&amp;UPPER(TRIM(A175)),""close"",D175-3,D175,""DAILY""),INDEX(data,ROWS(data),2)),""Not Available""))"),"")</f>
        <v/>
      </c>
      <c r="M175" s="131">
        <f>IFERROR(__xludf.DUMMYFUNCTION("IF(A175="""","""",IFERROR(GOOGLEFINANCE(""NSE:""&amp;UPPER(TRIM(A175)),""price""),""Not Available""))"),742.15)</f>
        <v>742.15</v>
      </c>
      <c r="N175" s="132" t="str">
        <f t="shared" si="21"/>
        <v>#DIV/0!</v>
      </c>
      <c r="O175" s="133" t="str">
        <f t="shared" si="22"/>
        <v>#DIV/0!</v>
      </c>
      <c r="P175" s="47" t="str">
        <f>IFERROR(__xludf.DUMMYFUNCTION("IF(OR(A175="""",E175=""""),"""",IFERROR(LET(data,GOOGLEFINANCE(""NSE:""&amp;UPPER(TRIM(A175)),""close"",E175-3,E175,""DAILY""),INDEX(data,ROWS(data),2)),""Not Available""))"),"")</f>
        <v/>
      </c>
      <c r="Q175" s="51"/>
      <c r="R175" s="188" t="str">
        <f t="shared" si="23"/>
        <v>#DIV/0!</v>
      </c>
      <c r="S175" s="51" t="str">
        <f>IFERROR(__xludf.DUMMYFUNCTION("IF(OR(A175="""",E175=""""),"""",IFERROR(LET(data,GOOGLEFINANCE(""NSE:""&amp;UPPER(TRIM(A175)),""close"",Q175-3,Q175,""DAILY""),INDEX(data,ROWS(data),2)),""Not Available""))"),"")</f>
        <v/>
      </c>
      <c r="T175" s="189" t="str">
        <f t="shared" si="24"/>
        <v>#DIV/0!</v>
      </c>
      <c r="U175" s="52" t="str">
        <f t="shared" si="25"/>
        <v>#DIV/0!</v>
      </c>
      <c r="V175" s="190"/>
      <c r="W175" s="190"/>
      <c r="X175" s="190"/>
      <c r="Y175" s="56"/>
    </row>
    <row r="176">
      <c r="A176" s="220" t="s">
        <v>299</v>
      </c>
      <c r="B176" s="130"/>
      <c r="C176" s="130"/>
      <c r="D176" s="130"/>
      <c r="E176" s="199"/>
      <c r="F176" s="130"/>
      <c r="G176" s="130"/>
      <c r="H176" s="130"/>
      <c r="I176" s="130"/>
      <c r="J176" s="130"/>
      <c r="K176" s="130"/>
      <c r="L176" s="130" t="str">
        <f>IFERROR(__xludf.DUMMYFUNCTION("IF(OR(A176="""",D176=""""),"""",IFERROR(LET(data,GOOGLEFINANCE(""NSE:""&amp;UPPER(TRIM(A176)),""close"",D176-3,D176,""DAILY""),INDEX(data,ROWS(data),2)),""Not Available""))"),"")</f>
        <v/>
      </c>
      <c r="M176" s="131">
        <f>IFERROR(__xludf.DUMMYFUNCTION("IF(A176="""","""",IFERROR(GOOGLEFINANCE(""NSE:""&amp;UPPER(TRIM(A176)),""price""),""Not Available""))"),2224.4)</f>
        <v>2224.4</v>
      </c>
      <c r="N176" s="132" t="str">
        <f t="shared" si="21"/>
        <v>#DIV/0!</v>
      </c>
      <c r="O176" s="133" t="str">
        <f t="shared" si="22"/>
        <v>#DIV/0!</v>
      </c>
      <c r="P176" s="47" t="str">
        <f>IFERROR(__xludf.DUMMYFUNCTION("IF(OR(A176="""",E176=""""),"""",IFERROR(LET(data,GOOGLEFINANCE(""NSE:""&amp;UPPER(TRIM(A176)),""close"",E176-3,E176,""DAILY""),INDEX(data,ROWS(data),2)),""Not Available""))"),"")</f>
        <v/>
      </c>
      <c r="Q176" s="51"/>
      <c r="R176" s="188" t="str">
        <f t="shared" si="23"/>
        <v>#DIV/0!</v>
      </c>
      <c r="S176" s="51" t="str">
        <f>IFERROR(__xludf.DUMMYFUNCTION("IF(OR(A176="""",E176=""""),"""",IFERROR(LET(data,GOOGLEFINANCE(""NSE:""&amp;UPPER(TRIM(A176)),""close"",Q176-3,Q176,""DAILY""),INDEX(data,ROWS(data),2)),""Not Available""))"),"")</f>
        <v/>
      </c>
      <c r="T176" s="189" t="str">
        <f t="shared" si="24"/>
        <v>#DIV/0!</v>
      </c>
      <c r="U176" s="52" t="str">
        <f t="shared" si="25"/>
        <v>#DIV/0!</v>
      </c>
      <c r="V176" s="190"/>
      <c r="W176" s="190"/>
      <c r="X176" s="190"/>
      <c r="Y176" s="56"/>
    </row>
    <row r="177">
      <c r="A177" s="220" t="s">
        <v>300</v>
      </c>
      <c r="B177" s="130"/>
      <c r="C177" s="130"/>
      <c r="D177" s="130"/>
      <c r="E177" s="199"/>
      <c r="F177" s="130"/>
      <c r="G177" s="130"/>
      <c r="H177" s="130"/>
      <c r="I177" s="130"/>
      <c r="J177" s="130"/>
      <c r="K177" s="130"/>
      <c r="L177" s="130" t="str">
        <f>IFERROR(__xludf.DUMMYFUNCTION("IF(OR(A177="""",D177=""""),"""",IFERROR(LET(data,GOOGLEFINANCE(""NSE:""&amp;UPPER(TRIM(A177)),""close"",D177-3,D177,""DAILY""),INDEX(data,ROWS(data),2)),""Not Available""))"),"")</f>
        <v/>
      </c>
      <c r="M177" s="131">
        <f>IFERROR(__xludf.DUMMYFUNCTION("IF(A177="""","""",IFERROR(GOOGLEFINANCE(""NSE:""&amp;UPPER(TRIM(A177)),""price""),""Not Available""))"),374.65)</f>
        <v>374.65</v>
      </c>
      <c r="N177" s="132" t="str">
        <f t="shared" si="21"/>
        <v>#DIV/0!</v>
      </c>
      <c r="O177" s="133" t="str">
        <f t="shared" si="22"/>
        <v>#DIV/0!</v>
      </c>
      <c r="P177" s="47" t="str">
        <f>IFERROR(__xludf.DUMMYFUNCTION("IF(OR(A177="""",E177=""""),"""",IFERROR(LET(data,GOOGLEFINANCE(""NSE:""&amp;UPPER(TRIM(A177)),""close"",E177-3,E177,""DAILY""),INDEX(data,ROWS(data),2)),""Not Available""))"),"")</f>
        <v/>
      </c>
      <c r="Q177" s="51"/>
      <c r="R177" s="188" t="str">
        <f t="shared" si="23"/>
        <v>#DIV/0!</v>
      </c>
      <c r="S177" s="51" t="str">
        <f>IFERROR(__xludf.DUMMYFUNCTION("IF(OR(A177="""",E177=""""),"""",IFERROR(LET(data,GOOGLEFINANCE(""NSE:""&amp;UPPER(TRIM(A177)),""close"",Q177-3,Q177,""DAILY""),INDEX(data,ROWS(data),2)),""Not Available""))"),"")</f>
        <v/>
      </c>
      <c r="T177" s="189" t="str">
        <f t="shared" si="24"/>
        <v>#DIV/0!</v>
      </c>
      <c r="U177" s="52" t="str">
        <f t="shared" si="25"/>
        <v>#DIV/0!</v>
      </c>
      <c r="V177" s="190"/>
      <c r="W177" s="190"/>
      <c r="X177" s="190"/>
      <c r="Y177" s="56"/>
    </row>
    <row r="178">
      <c r="A178" s="220" t="s">
        <v>302</v>
      </c>
      <c r="B178" s="130"/>
      <c r="C178" s="130"/>
      <c r="D178" s="130"/>
      <c r="E178" s="199"/>
      <c r="F178" s="130"/>
      <c r="G178" s="130"/>
      <c r="H178" s="130"/>
      <c r="I178" s="130"/>
      <c r="J178" s="130"/>
      <c r="K178" s="130"/>
      <c r="L178" s="130" t="str">
        <f>IFERROR(__xludf.DUMMYFUNCTION("IF(OR(A178="""",D178=""""),"""",IFERROR(LET(data,GOOGLEFINANCE(""NSE:""&amp;UPPER(TRIM(A178)),""close"",D178-3,D178,""DAILY""),INDEX(data,ROWS(data),2)),""Not Available""))"),"")</f>
        <v/>
      </c>
      <c r="M178" s="131">
        <f>IFERROR(__xludf.DUMMYFUNCTION("IF(A178="""","""",IFERROR(GOOGLEFINANCE(""NSE:""&amp;UPPER(TRIM(A178)),""price""),""Not Available""))"),5106.0)</f>
        <v>5106</v>
      </c>
      <c r="N178" s="132" t="str">
        <f t="shared" si="21"/>
        <v>#DIV/0!</v>
      </c>
      <c r="O178" s="133" t="str">
        <f t="shared" si="22"/>
        <v>#DIV/0!</v>
      </c>
      <c r="P178" s="47" t="str">
        <f>IFERROR(__xludf.DUMMYFUNCTION("IF(OR(A178="""",E178=""""),"""",IFERROR(LET(data,GOOGLEFINANCE(""NSE:""&amp;UPPER(TRIM(A178)),""close"",E178-3,E178,""DAILY""),INDEX(data,ROWS(data),2)),""Not Available""))"),"")</f>
        <v/>
      </c>
      <c r="Q178" s="51"/>
      <c r="R178" s="188" t="str">
        <f t="shared" si="23"/>
        <v>#DIV/0!</v>
      </c>
      <c r="S178" s="51" t="str">
        <f>IFERROR(__xludf.DUMMYFUNCTION("IF(OR(A178="""",E178=""""),"""",IFERROR(LET(data,GOOGLEFINANCE(""NSE:""&amp;UPPER(TRIM(A178)),""close"",Q178-3,Q178,""DAILY""),INDEX(data,ROWS(data),2)),""Not Available""))"),"")</f>
        <v/>
      </c>
      <c r="T178" s="189" t="str">
        <f t="shared" si="24"/>
        <v>#DIV/0!</v>
      </c>
      <c r="U178" s="52" t="str">
        <f t="shared" si="25"/>
        <v>#DIV/0!</v>
      </c>
      <c r="V178" s="190"/>
      <c r="W178" s="190"/>
      <c r="X178" s="190"/>
      <c r="Y178" s="56"/>
    </row>
    <row r="179">
      <c r="A179" s="220" t="s">
        <v>303</v>
      </c>
      <c r="B179" s="130"/>
      <c r="C179" s="130"/>
      <c r="D179" s="130"/>
      <c r="E179" s="199"/>
      <c r="F179" s="130"/>
      <c r="G179" s="130"/>
      <c r="H179" s="130"/>
      <c r="I179" s="130"/>
      <c r="J179" s="130"/>
      <c r="K179" s="130"/>
      <c r="L179" s="130" t="str">
        <f>IFERROR(__xludf.DUMMYFUNCTION("IF(OR(A179="""",D179=""""),"""",IFERROR(LET(data,GOOGLEFINANCE(""NSE:""&amp;UPPER(TRIM(A179)),""close"",D179-3,D179,""DAILY""),INDEX(data,ROWS(data),2)),""Not Available""))"),"")</f>
        <v/>
      </c>
      <c r="M179" s="131">
        <f>IFERROR(__xludf.DUMMYFUNCTION("IF(A179="""","""",IFERROR(GOOGLEFINANCE(""NSE:""&amp;UPPER(TRIM(A179)),""price""),""Not Available""))"),21.6)</f>
        <v>21.6</v>
      </c>
      <c r="N179" s="132" t="str">
        <f t="shared" si="21"/>
        <v>#DIV/0!</v>
      </c>
      <c r="O179" s="133" t="str">
        <f t="shared" si="22"/>
        <v>#DIV/0!</v>
      </c>
      <c r="P179" s="47" t="str">
        <f>IFERROR(__xludf.DUMMYFUNCTION("IF(OR(A179="""",E179=""""),"""",IFERROR(LET(data,GOOGLEFINANCE(""NSE:""&amp;UPPER(TRIM(A179)),""close"",E179-3,E179,""DAILY""),INDEX(data,ROWS(data),2)),""Not Available""))"),"")</f>
        <v/>
      </c>
      <c r="Q179" s="51"/>
      <c r="R179" s="188" t="str">
        <f t="shared" si="23"/>
        <v>#DIV/0!</v>
      </c>
      <c r="S179" s="51" t="str">
        <f>IFERROR(__xludf.DUMMYFUNCTION("IF(OR(A179="""",E179=""""),"""",IFERROR(LET(data,GOOGLEFINANCE(""NSE:""&amp;UPPER(TRIM(A179)),""close"",Q179-3,Q179,""DAILY""),INDEX(data,ROWS(data),2)),""Not Available""))"),"")</f>
        <v/>
      </c>
      <c r="T179" s="189" t="str">
        <f t="shared" si="24"/>
        <v>#DIV/0!</v>
      </c>
      <c r="U179" s="52" t="str">
        <f t="shared" si="25"/>
        <v>#DIV/0!</v>
      </c>
      <c r="V179" s="190"/>
      <c r="W179" s="190"/>
      <c r="X179" s="190"/>
      <c r="Y179" s="56"/>
    </row>
    <row r="180">
      <c r="A180" s="223" t="s">
        <v>299</v>
      </c>
      <c r="B180" s="130"/>
      <c r="C180" s="130"/>
      <c r="D180" s="130"/>
      <c r="E180" s="199"/>
      <c r="F180" s="130"/>
      <c r="G180" s="130"/>
      <c r="H180" s="130"/>
      <c r="I180" s="130"/>
      <c r="J180" s="130"/>
      <c r="K180" s="130"/>
      <c r="L180" s="130" t="str">
        <f>IFERROR(__xludf.DUMMYFUNCTION("IF(OR(A180="""",D180=""""),"""",IFERROR(LET(data,GOOGLEFINANCE(""NSE:""&amp;UPPER(TRIM(A180)),""close"",D180-3,D180,""DAILY""),INDEX(data,ROWS(data),2)),""Not Available""))"),"")</f>
        <v/>
      </c>
      <c r="M180" s="131">
        <f>IFERROR(__xludf.DUMMYFUNCTION("IF(A180="""","""",IFERROR(GOOGLEFINANCE(""NSE:""&amp;UPPER(TRIM(A180)),""price""),""Not Available""))"),2224.4)</f>
        <v>2224.4</v>
      </c>
      <c r="N180" s="132" t="str">
        <f t="shared" si="21"/>
        <v>#DIV/0!</v>
      </c>
      <c r="O180" s="133" t="str">
        <f t="shared" si="22"/>
        <v>#DIV/0!</v>
      </c>
      <c r="P180" s="47" t="str">
        <f>IFERROR(__xludf.DUMMYFUNCTION("IF(OR(A180="""",E180=""""),"""",IFERROR(LET(data,GOOGLEFINANCE(""NSE:""&amp;UPPER(TRIM(A180)),""close"",E180-3,E180,""DAILY""),INDEX(data,ROWS(data),2)),""Not Available""))"),"")</f>
        <v/>
      </c>
      <c r="Q180" s="51"/>
      <c r="R180" s="188" t="str">
        <f t="shared" si="23"/>
        <v>#DIV/0!</v>
      </c>
      <c r="S180" s="51" t="str">
        <f>IFERROR(__xludf.DUMMYFUNCTION("IF(OR(A180="""",E180=""""),"""",IFERROR(LET(data,GOOGLEFINANCE(""NSE:""&amp;UPPER(TRIM(A180)),""close"",Q180-3,Q180,""DAILY""),INDEX(data,ROWS(data),2)),""Not Available""))"),"")</f>
        <v/>
      </c>
      <c r="T180" s="189" t="str">
        <f t="shared" si="24"/>
        <v>#DIV/0!</v>
      </c>
      <c r="U180" s="52" t="str">
        <f t="shared" si="25"/>
        <v>#DIV/0!</v>
      </c>
      <c r="V180" s="190"/>
      <c r="W180" s="190"/>
      <c r="X180" s="190"/>
      <c r="Y180" s="56"/>
    </row>
    <row r="181">
      <c r="A181" s="220" t="s">
        <v>305</v>
      </c>
      <c r="B181" s="130"/>
      <c r="C181" s="130"/>
      <c r="D181" s="130"/>
      <c r="E181" s="199"/>
      <c r="F181" s="130"/>
      <c r="G181" s="130"/>
      <c r="H181" s="130"/>
      <c r="I181" s="130"/>
      <c r="J181" s="130"/>
      <c r="K181" s="130"/>
      <c r="L181" s="130" t="str">
        <f>IFERROR(__xludf.DUMMYFUNCTION("IF(OR(A181="""",D181=""""),"""",IFERROR(LET(data,GOOGLEFINANCE(""NSE:""&amp;UPPER(TRIM(A181)),""close"",D181-3,D181,""DAILY""),INDEX(data,ROWS(data),2)),""Not Available""))"),"")</f>
        <v/>
      </c>
      <c r="M181" s="131">
        <f>IFERROR(__xludf.DUMMYFUNCTION("IF(A181="""","""",IFERROR(GOOGLEFINANCE(""NSE:""&amp;UPPER(TRIM(A181)),""price""),""Not Available""))"),444.85)</f>
        <v>444.85</v>
      </c>
      <c r="N181" s="132" t="str">
        <f t="shared" si="21"/>
        <v>#DIV/0!</v>
      </c>
      <c r="O181" s="133" t="str">
        <f t="shared" si="22"/>
        <v>#DIV/0!</v>
      </c>
      <c r="P181" s="47" t="str">
        <f>IFERROR(__xludf.DUMMYFUNCTION("IF(OR(A181="""",E181=""""),"""",IFERROR(LET(data,GOOGLEFINANCE(""NSE:""&amp;UPPER(TRIM(A181)),""close"",E181-3,E181,""DAILY""),INDEX(data,ROWS(data),2)),""Not Available""))"),"")</f>
        <v/>
      </c>
      <c r="Q181" s="51"/>
      <c r="R181" s="188" t="str">
        <f t="shared" si="23"/>
        <v>#DIV/0!</v>
      </c>
      <c r="S181" s="51" t="str">
        <f>IFERROR(__xludf.DUMMYFUNCTION("IF(OR(A181="""",E181=""""),"""",IFERROR(LET(data,GOOGLEFINANCE(""NSE:""&amp;UPPER(TRIM(A181)),""close"",Q181-3,Q181,""DAILY""),INDEX(data,ROWS(data),2)),""Not Available""))"),"")</f>
        <v/>
      </c>
      <c r="T181" s="189" t="str">
        <f t="shared" si="24"/>
        <v>#DIV/0!</v>
      </c>
      <c r="U181" s="52" t="str">
        <f t="shared" si="25"/>
        <v>#DIV/0!</v>
      </c>
      <c r="V181" s="190"/>
      <c r="W181" s="190"/>
      <c r="X181" s="190"/>
      <c r="Y181" s="56"/>
    </row>
    <row r="182">
      <c r="A182" s="220" t="s">
        <v>306</v>
      </c>
      <c r="B182" s="130"/>
      <c r="C182" s="130"/>
      <c r="D182" s="130"/>
      <c r="E182" s="199"/>
      <c r="F182" s="130"/>
      <c r="G182" s="130"/>
      <c r="H182" s="130"/>
      <c r="I182" s="130"/>
      <c r="J182" s="130"/>
      <c r="K182" s="130"/>
      <c r="L182" s="130" t="str">
        <f>IFERROR(__xludf.DUMMYFUNCTION("IF(OR(A182="""",D182=""""),"""",IFERROR(LET(data,GOOGLEFINANCE(""NSE:""&amp;UPPER(TRIM(A182)),""close"",D182-3,D182,""DAILY""),INDEX(data,ROWS(data),2)),""Not Available""))"),"")</f>
        <v/>
      </c>
      <c r="M182" s="131">
        <f>IFERROR(__xludf.DUMMYFUNCTION("IF(A182="""","""",IFERROR(GOOGLEFINANCE(""NSE:""&amp;UPPER(TRIM(A182)),""price""),""Not Available""))"),452.0)</f>
        <v>452</v>
      </c>
      <c r="N182" s="132" t="str">
        <f t="shared" si="21"/>
        <v>#DIV/0!</v>
      </c>
      <c r="O182" s="133" t="str">
        <f t="shared" si="22"/>
        <v>#DIV/0!</v>
      </c>
      <c r="P182" s="47" t="str">
        <f>IFERROR(__xludf.DUMMYFUNCTION("IF(OR(A182="""",E182=""""),"""",IFERROR(LET(data,GOOGLEFINANCE(""NSE:""&amp;UPPER(TRIM(A182)),""close"",E182-3,E182,""DAILY""),INDEX(data,ROWS(data),2)),""Not Available""))"),"")</f>
        <v/>
      </c>
      <c r="Q182" s="51"/>
      <c r="R182" s="188" t="str">
        <f t="shared" si="23"/>
        <v>#DIV/0!</v>
      </c>
      <c r="S182" s="51" t="str">
        <f>IFERROR(__xludf.DUMMYFUNCTION("IF(OR(A182="""",E182=""""),"""",IFERROR(LET(data,GOOGLEFINANCE(""NSE:""&amp;UPPER(TRIM(A182)),""close"",Q182-3,Q182,""DAILY""),INDEX(data,ROWS(data),2)),""Not Available""))"),"")</f>
        <v/>
      </c>
      <c r="T182" s="189" t="str">
        <f t="shared" si="24"/>
        <v>#DIV/0!</v>
      </c>
      <c r="U182" s="52" t="str">
        <f t="shared" si="25"/>
        <v>#DIV/0!</v>
      </c>
      <c r="V182" s="190"/>
      <c r="W182" s="190"/>
      <c r="X182" s="190"/>
      <c r="Y182" s="56"/>
    </row>
    <row r="183">
      <c r="A183" s="220" t="s">
        <v>307</v>
      </c>
      <c r="B183" s="130"/>
      <c r="C183" s="130"/>
      <c r="D183" s="130"/>
      <c r="E183" s="199"/>
      <c r="F183" s="130"/>
      <c r="G183" s="130"/>
      <c r="H183" s="130"/>
      <c r="I183" s="130"/>
      <c r="J183" s="130"/>
      <c r="K183" s="130"/>
      <c r="L183" s="130" t="str">
        <f>IFERROR(__xludf.DUMMYFUNCTION("IF(OR(A183="""",D183=""""),"""",IFERROR(LET(data,GOOGLEFINANCE(""NSE:""&amp;UPPER(TRIM(A183)),""close"",D183-3,D183,""DAILY""),INDEX(data,ROWS(data),2)),""Not Available""))"),"")</f>
        <v/>
      </c>
      <c r="M183" s="131">
        <f>IFERROR(__xludf.DUMMYFUNCTION("IF(A183="""","""",IFERROR(GOOGLEFINANCE(""NSE:""&amp;UPPER(TRIM(A183)),""price""),""Not Available""))"),1155.4)</f>
        <v>1155.4</v>
      </c>
      <c r="N183" s="132" t="str">
        <f t="shared" si="21"/>
        <v>#DIV/0!</v>
      </c>
      <c r="O183" s="133" t="str">
        <f t="shared" si="22"/>
        <v>#DIV/0!</v>
      </c>
      <c r="P183" s="47" t="str">
        <f>IFERROR(__xludf.DUMMYFUNCTION("IF(OR(A183="""",E183=""""),"""",IFERROR(LET(data,GOOGLEFINANCE(""NSE:""&amp;UPPER(TRIM(A183)),""close"",E183-3,E183,""DAILY""),INDEX(data,ROWS(data),2)),""Not Available""))"),"")</f>
        <v/>
      </c>
      <c r="Q183" s="51"/>
      <c r="R183" s="188" t="str">
        <f t="shared" si="23"/>
        <v>#DIV/0!</v>
      </c>
      <c r="S183" s="51" t="str">
        <f>IFERROR(__xludf.DUMMYFUNCTION("IF(OR(A183="""",E183=""""),"""",IFERROR(LET(data,GOOGLEFINANCE(""NSE:""&amp;UPPER(TRIM(A183)),""close"",Q183-3,Q183,""DAILY""),INDEX(data,ROWS(data),2)),""Not Available""))"),"")</f>
        <v/>
      </c>
      <c r="T183" s="189" t="str">
        <f t="shared" si="24"/>
        <v>#DIV/0!</v>
      </c>
      <c r="U183" s="52" t="str">
        <f t="shared" si="25"/>
        <v>#DIV/0!</v>
      </c>
      <c r="V183" s="190"/>
      <c r="W183" s="190"/>
      <c r="X183" s="190"/>
      <c r="Y183" s="56"/>
    </row>
    <row r="184">
      <c r="A184" s="220" t="s">
        <v>308</v>
      </c>
      <c r="B184" s="130"/>
      <c r="C184" s="130"/>
      <c r="D184" s="130"/>
      <c r="E184" s="199"/>
      <c r="F184" s="130"/>
      <c r="G184" s="130"/>
      <c r="H184" s="130"/>
      <c r="I184" s="130"/>
      <c r="J184" s="130"/>
      <c r="K184" s="130"/>
      <c r="L184" s="130" t="str">
        <f>IFERROR(__xludf.DUMMYFUNCTION("IF(OR(A184="""",D184=""""),"""",IFERROR(LET(data,GOOGLEFINANCE(""NSE:""&amp;UPPER(TRIM(A184)),""close"",D184-3,D184,""DAILY""),INDEX(data,ROWS(data),2)),""Not Available""))"),"")</f>
        <v/>
      </c>
      <c r="M184" s="131">
        <f>IFERROR(__xludf.DUMMYFUNCTION("IF(A184="""","""",IFERROR(GOOGLEFINANCE(""NSE:""&amp;UPPER(TRIM(A184)),""price""),""Not Available""))"),2058.0)</f>
        <v>2058</v>
      </c>
      <c r="N184" s="132" t="str">
        <f t="shared" si="21"/>
        <v>#DIV/0!</v>
      </c>
      <c r="O184" s="133" t="str">
        <f t="shared" si="22"/>
        <v>#DIV/0!</v>
      </c>
      <c r="P184" s="47" t="str">
        <f>IFERROR(__xludf.DUMMYFUNCTION("IF(OR(A184="""",E184=""""),"""",IFERROR(LET(data,GOOGLEFINANCE(""NSE:""&amp;UPPER(TRIM(A184)),""close"",E184-3,E184,""DAILY""),INDEX(data,ROWS(data),2)),""Not Available""))"),"")</f>
        <v/>
      </c>
      <c r="Q184" s="51"/>
      <c r="R184" s="188" t="str">
        <f t="shared" si="23"/>
        <v>#DIV/0!</v>
      </c>
      <c r="S184" s="51" t="str">
        <f>IFERROR(__xludf.DUMMYFUNCTION("IF(OR(A184="""",E184=""""),"""",IFERROR(LET(data,GOOGLEFINANCE(""NSE:""&amp;UPPER(TRIM(A184)),""close"",Q184-3,Q184,""DAILY""),INDEX(data,ROWS(data),2)),""Not Available""))"),"")</f>
        <v/>
      </c>
      <c r="T184" s="189" t="str">
        <f t="shared" si="24"/>
        <v>#DIV/0!</v>
      </c>
      <c r="U184" s="52" t="str">
        <f t="shared" si="25"/>
        <v>#DIV/0!</v>
      </c>
      <c r="V184" s="190"/>
      <c r="W184" s="190"/>
      <c r="X184" s="190"/>
      <c r="Y184" s="56"/>
    </row>
    <row r="185">
      <c r="A185" s="220" t="s">
        <v>309</v>
      </c>
      <c r="B185" s="130"/>
      <c r="C185" s="130"/>
      <c r="D185" s="130"/>
      <c r="E185" s="199"/>
      <c r="F185" s="130"/>
      <c r="G185" s="130"/>
      <c r="H185" s="130"/>
      <c r="I185" s="130"/>
      <c r="J185" s="130"/>
      <c r="K185" s="130"/>
      <c r="L185" s="130" t="str">
        <f>IFERROR(__xludf.DUMMYFUNCTION("IF(OR(A185="""",D185=""""),"""",IFERROR(LET(data,GOOGLEFINANCE(""NSE:""&amp;UPPER(TRIM(A185)),""close"",D185-3,D185,""DAILY""),INDEX(data,ROWS(data),2)),""Not Available""))"),"")</f>
        <v/>
      </c>
      <c r="M185" s="131">
        <f>IFERROR(__xludf.DUMMYFUNCTION("IF(A185="""","""",IFERROR(GOOGLEFINANCE(""NSE:""&amp;UPPER(TRIM(A185)),""price""),""Not Available""))"),509.2)</f>
        <v>509.2</v>
      </c>
      <c r="N185" s="132" t="str">
        <f t="shared" si="21"/>
        <v>#DIV/0!</v>
      </c>
      <c r="O185" s="133" t="str">
        <f t="shared" si="22"/>
        <v>#DIV/0!</v>
      </c>
      <c r="P185" s="47" t="str">
        <f>IFERROR(__xludf.DUMMYFUNCTION("IF(OR(A185="""",E185=""""),"""",IFERROR(LET(data,GOOGLEFINANCE(""NSE:""&amp;UPPER(TRIM(A185)),""close"",E185-3,E185,""DAILY""),INDEX(data,ROWS(data),2)),""Not Available""))"),"")</f>
        <v/>
      </c>
      <c r="Q185" s="51"/>
      <c r="R185" s="188" t="str">
        <f t="shared" si="23"/>
        <v>#DIV/0!</v>
      </c>
      <c r="S185" s="51" t="str">
        <f>IFERROR(__xludf.DUMMYFUNCTION("IF(OR(A185="""",E185=""""),"""",IFERROR(LET(data,GOOGLEFINANCE(""NSE:""&amp;UPPER(TRIM(A185)),""close"",Q185-3,Q185,""DAILY""),INDEX(data,ROWS(data),2)),""Not Available""))"),"")</f>
        <v/>
      </c>
      <c r="T185" s="189" t="str">
        <f t="shared" si="24"/>
        <v>#DIV/0!</v>
      </c>
      <c r="U185" s="52" t="str">
        <f t="shared" si="25"/>
        <v>#DIV/0!</v>
      </c>
      <c r="V185" s="190"/>
      <c r="W185" s="190"/>
      <c r="X185" s="190"/>
      <c r="Y185" s="56"/>
    </row>
    <row r="186">
      <c r="A186" s="220" t="s">
        <v>310</v>
      </c>
      <c r="B186" s="130"/>
      <c r="C186" s="130"/>
      <c r="D186" s="130"/>
      <c r="E186" s="199"/>
      <c r="F186" s="130"/>
      <c r="G186" s="130"/>
      <c r="H186" s="130"/>
      <c r="I186" s="130"/>
      <c r="J186" s="130"/>
      <c r="K186" s="130"/>
      <c r="L186" s="130" t="str">
        <f>IFERROR(__xludf.DUMMYFUNCTION("IF(OR(A186="""",D186=""""),"""",IFERROR(LET(data,GOOGLEFINANCE(""NSE:""&amp;UPPER(TRIM(A186)),""close"",D186-3,D186,""DAILY""),INDEX(data,ROWS(data),2)),""Not Available""))"),"")</f>
        <v/>
      </c>
      <c r="M186" s="131">
        <f>IFERROR(__xludf.DUMMYFUNCTION("IF(A186="""","""",IFERROR(GOOGLEFINANCE(""NSE:""&amp;UPPER(TRIM(A186)),""price""),""Not Available""))"),607.55)</f>
        <v>607.55</v>
      </c>
      <c r="N186" s="132" t="str">
        <f t="shared" si="21"/>
        <v>#DIV/0!</v>
      </c>
      <c r="O186" s="133" t="str">
        <f t="shared" si="22"/>
        <v>#DIV/0!</v>
      </c>
      <c r="P186" s="47" t="str">
        <f>IFERROR(__xludf.DUMMYFUNCTION("IF(OR(A186="""",E186=""""),"""",IFERROR(LET(data,GOOGLEFINANCE(""NSE:""&amp;UPPER(TRIM(A186)),""close"",E186-3,E186,""DAILY""),INDEX(data,ROWS(data),2)),""Not Available""))"),"")</f>
        <v/>
      </c>
      <c r="Q186" s="51"/>
      <c r="R186" s="188" t="str">
        <f t="shared" si="23"/>
        <v>#DIV/0!</v>
      </c>
      <c r="S186" s="51" t="str">
        <f>IFERROR(__xludf.DUMMYFUNCTION("IF(OR(A186="""",E186=""""),"""",IFERROR(LET(data,GOOGLEFINANCE(""NSE:""&amp;UPPER(TRIM(A186)),""close"",Q186-3,Q186,""DAILY""),INDEX(data,ROWS(data),2)),""Not Available""))"),"")</f>
        <v/>
      </c>
      <c r="T186" s="189" t="str">
        <f t="shared" si="24"/>
        <v>#DIV/0!</v>
      </c>
      <c r="U186" s="52" t="str">
        <f t="shared" si="25"/>
        <v>#DIV/0!</v>
      </c>
      <c r="V186" s="190"/>
      <c r="W186" s="190"/>
      <c r="X186" s="190"/>
      <c r="Y186" s="56"/>
    </row>
    <row r="187">
      <c r="A187" s="220" t="s">
        <v>311</v>
      </c>
      <c r="B187" s="130"/>
      <c r="C187" s="130"/>
      <c r="D187" s="130"/>
      <c r="E187" s="199"/>
      <c r="F187" s="130"/>
      <c r="G187" s="130"/>
      <c r="H187" s="130"/>
      <c r="I187" s="130"/>
      <c r="J187" s="130"/>
      <c r="K187" s="130"/>
      <c r="L187" s="130" t="str">
        <f>IFERROR(__xludf.DUMMYFUNCTION("IF(OR(A187="""",D187=""""),"""",IFERROR(LET(data,GOOGLEFINANCE(""NSE:""&amp;UPPER(TRIM(A187)),""close"",D187-3,D187,""DAILY""),INDEX(data,ROWS(data),2)),""Not Available""))"),"")</f>
        <v/>
      </c>
      <c r="M187" s="131">
        <f>IFERROR(__xludf.DUMMYFUNCTION("IF(A187="""","""",IFERROR(GOOGLEFINANCE(""NSE:""&amp;UPPER(TRIM(A187)),""price""),""Not Available""))"),426.75)</f>
        <v>426.75</v>
      </c>
      <c r="N187" s="132" t="str">
        <f t="shared" si="21"/>
        <v>#DIV/0!</v>
      </c>
      <c r="O187" s="133" t="str">
        <f t="shared" si="22"/>
        <v>#DIV/0!</v>
      </c>
      <c r="P187" s="47" t="str">
        <f>IFERROR(__xludf.DUMMYFUNCTION("IF(OR(A187="""",E187=""""),"""",IFERROR(LET(data,GOOGLEFINANCE(""NSE:""&amp;UPPER(TRIM(A187)),""close"",E187-3,E187,""DAILY""),INDEX(data,ROWS(data),2)),""Not Available""))"),"")</f>
        <v/>
      </c>
      <c r="Q187" s="51"/>
      <c r="R187" s="188" t="str">
        <f t="shared" si="23"/>
        <v>#DIV/0!</v>
      </c>
      <c r="S187" s="51" t="str">
        <f>IFERROR(__xludf.DUMMYFUNCTION("IF(OR(A187="""",E187=""""),"""",IFERROR(LET(data,GOOGLEFINANCE(""NSE:""&amp;UPPER(TRIM(A187)),""close"",Q187-3,Q187,""DAILY""),INDEX(data,ROWS(data),2)),""Not Available""))"),"")</f>
        <v/>
      </c>
      <c r="T187" s="189" t="str">
        <f t="shared" si="24"/>
        <v>#DIV/0!</v>
      </c>
      <c r="U187" s="52" t="str">
        <f t="shared" si="25"/>
        <v>#DIV/0!</v>
      </c>
      <c r="V187" s="190"/>
      <c r="W187" s="190"/>
      <c r="X187" s="190"/>
      <c r="Y187" s="56"/>
    </row>
    <row r="188">
      <c r="A188" s="220" t="s">
        <v>312</v>
      </c>
      <c r="B188" s="130"/>
      <c r="C188" s="130"/>
      <c r="D188" s="130"/>
      <c r="E188" s="199"/>
      <c r="F188" s="130"/>
      <c r="G188" s="130"/>
      <c r="H188" s="130"/>
      <c r="I188" s="130"/>
      <c r="J188" s="130"/>
      <c r="K188" s="130"/>
      <c r="L188" s="130" t="str">
        <f>IFERROR(__xludf.DUMMYFUNCTION("IF(OR(A188="""",D188=""""),"""",IFERROR(LET(data,GOOGLEFINANCE(""NSE:""&amp;UPPER(TRIM(A188)),""close"",D188-3,D188,""DAILY""),INDEX(data,ROWS(data),2)),""Not Available""))"),"")</f>
        <v/>
      </c>
      <c r="M188" s="131">
        <f>IFERROR(__xludf.DUMMYFUNCTION("IF(A188="""","""",IFERROR(GOOGLEFINANCE(""NSE:""&amp;UPPER(TRIM(A188)),""price""),""Not Available""))"),2507.0)</f>
        <v>2507</v>
      </c>
      <c r="N188" s="132" t="str">
        <f t="shared" si="21"/>
        <v>#DIV/0!</v>
      </c>
      <c r="O188" s="133" t="str">
        <f t="shared" si="22"/>
        <v>#DIV/0!</v>
      </c>
      <c r="P188" s="47" t="str">
        <f>IFERROR(__xludf.DUMMYFUNCTION("IF(OR(A188="""",E188=""""),"""",IFERROR(LET(data,GOOGLEFINANCE(""NSE:""&amp;UPPER(TRIM(A188)),""close"",E188-3,E188,""DAILY""),INDEX(data,ROWS(data),2)),""Not Available""))"),"")</f>
        <v/>
      </c>
      <c r="Q188" s="51"/>
      <c r="R188" s="188" t="str">
        <f t="shared" si="23"/>
        <v>#DIV/0!</v>
      </c>
      <c r="S188" s="51" t="str">
        <f>IFERROR(__xludf.DUMMYFUNCTION("IF(OR(A188="""",E188=""""),"""",IFERROR(LET(data,GOOGLEFINANCE(""NSE:""&amp;UPPER(TRIM(A188)),""close"",Q188-3,Q188,""DAILY""),INDEX(data,ROWS(data),2)),""Not Available""))"),"")</f>
        <v/>
      </c>
      <c r="T188" s="189" t="str">
        <f t="shared" si="24"/>
        <v>#DIV/0!</v>
      </c>
      <c r="U188" s="52" t="str">
        <f t="shared" si="25"/>
        <v>#DIV/0!</v>
      </c>
      <c r="V188" s="190"/>
      <c r="W188" s="190"/>
      <c r="X188" s="190"/>
      <c r="Y188" s="56"/>
    </row>
    <row r="189">
      <c r="A189" s="220" t="s">
        <v>313</v>
      </c>
      <c r="B189" s="130"/>
      <c r="C189" s="130"/>
      <c r="D189" s="130"/>
      <c r="E189" s="199"/>
      <c r="F189" s="130"/>
      <c r="G189" s="130"/>
      <c r="H189" s="130"/>
      <c r="I189" s="130"/>
      <c r="J189" s="130"/>
      <c r="K189" s="130"/>
      <c r="L189" s="130" t="str">
        <f>IFERROR(__xludf.DUMMYFUNCTION("IF(OR(A189="""",D189=""""),"""",IFERROR(LET(data,GOOGLEFINANCE(""NSE:""&amp;UPPER(TRIM(A189)),""close"",D189-3,D189,""DAILY""),INDEX(data,ROWS(data),2)),""Not Available""))"),"")</f>
        <v/>
      </c>
      <c r="M189" s="131">
        <f>IFERROR(__xludf.DUMMYFUNCTION("IF(A189="""","""",IFERROR(GOOGLEFINANCE(""NSE:""&amp;UPPER(TRIM(A189)),""price""),""Not Available""))"),2910.7)</f>
        <v>2910.7</v>
      </c>
      <c r="N189" s="132" t="str">
        <f t="shared" si="21"/>
        <v>#DIV/0!</v>
      </c>
      <c r="O189" s="133" t="str">
        <f t="shared" si="22"/>
        <v>#DIV/0!</v>
      </c>
      <c r="P189" s="47" t="str">
        <f>IFERROR(__xludf.DUMMYFUNCTION("IF(OR(A189="""",E189=""""),"""",IFERROR(LET(data,GOOGLEFINANCE(""NSE:""&amp;UPPER(TRIM(A189)),""close"",E189-3,E189,""DAILY""),INDEX(data,ROWS(data),2)),""Not Available""))"),"")</f>
        <v/>
      </c>
      <c r="Q189" s="51"/>
      <c r="R189" s="188" t="str">
        <f t="shared" si="23"/>
        <v>#DIV/0!</v>
      </c>
      <c r="S189" s="51" t="str">
        <f>IFERROR(__xludf.DUMMYFUNCTION("IF(OR(A189="""",E189=""""),"""",IFERROR(LET(data,GOOGLEFINANCE(""NSE:""&amp;UPPER(TRIM(A189)),""close"",Q189-3,Q189,""DAILY""),INDEX(data,ROWS(data),2)),""Not Available""))"),"")</f>
        <v/>
      </c>
      <c r="T189" s="189" t="str">
        <f t="shared" si="24"/>
        <v>#DIV/0!</v>
      </c>
      <c r="U189" s="52" t="str">
        <f t="shared" si="25"/>
        <v>#DIV/0!</v>
      </c>
      <c r="V189" s="190"/>
      <c r="W189" s="190"/>
      <c r="X189" s="190"/>
      <c r="Y189" s="56"/>
    </row>
    <row r="190">
      <c r="A190" s="220" t="s">
        <v>315</v>
      </c>
      <c r="B190" s="130"/>
      <c r="C190" s="130"/>
      <c r="D190" s="130"/>
      <c r="E190" s="199"/>
      <c r="F190" s="130"/>
      <c r="G190" s="130"/>
      <c r="H190" s="130"/>
      <c r="I190" s="130"/>
      <c r="J190" s="130"/>
      <c r="K190" s="130"/>
      <c r="L190" s="130" t="str">
        <f>IFERROR(__xludf.DUMMYFUNCTION("IF(OR(A190="""",D190=""""),"""",IFERROR(LET(data,GOOGLEFINANCE(""NSE:""&amp;UPPER(TRIM(A190)),""close"",D190-3,D190,""DAILY""),INDEX(data,ROWS(data),2)),""Not Available""))"),"")</f>
        <v/>
      </c>
      <c r="M190" s="131">
        <f>IFERROR(__xludf.DUMMYFUNCTION("IF(A190="""","""",IFERROR(GOOGLEFINANCE(""NSE:""&amp;UPPER(TRIM(A190)),""price""),""Not Available""))"),551.45)</f>
        <v>551.45</v>
      </c>
      <c r="N190" s="132" t="str">
        <f t="shared" si="21"/>
        <v>#DIV/0!</v>
      </c>
      <c r="O190" s="133" t="str">
        <f t="shared" si="22"/>
        <v>#DIV/0!</v>
      </c>
      <c r="P190" s="47" t="str">
        <f>IFERROR(__xludf.DUMMYFUNCTION("IF(OR(A190="""",E190=""""),"""",IFERROR(LET(data,GOOGLEFINANCE(""NSE:""&amp;UPPER(TRIM(A190)),""close"",E190-3,E190,""DAILY""),INDEX(data,ROWS(data),2)),""Not Available""))"),"")</f>
        <v/>
      </c>
      <c r="Q190" s="51"/>
      <c r="R190" s="188" t="str">
        <f t="shared" si="23"/>
        <v>#DIV/0!</v>
      </c>
      <c r="S190" s="51" t="str">
        <f>IFERROR(__xludf.DUMMYFUNCTION("IF(OR(A190="""",E190=""""),"""",IFERROR(LET(data,GOOGLEFINANCE(""NSE:""&amp;UPPER(TRIM(A190)),""close"",Q190-3,Q190,""DAILY""),INDEX(data,ROWS(data),2)),""Not Available""))"),"")</f>
        <v/>
      </c>
      <c r="T190" s="189" t="str">
        <f t="shared" si="24"/>
        <v>#DIV/0!</v>
      </c>
      <c r="U190" s="52" t="str">
        <f t="shared" si="25"/>
        <v>#DIV/0!</v>
      </c>
      <c r="V190" s="190"/>
      <c r="W190" s="190"/>
      <c r="X190" s="190"/>
      <c r="Y190" s="56"/>
    </row>
    <row r="191">
      <c r="A191" s="220" t="s">
        <v>316</v>
      </c>
      <c r="B191" s="130"/>
      <c r="C191" s="130"/>
      <c r="D191" s="130"/>
      <c r="E191" s="199"/>
      <c r="F191" s="130"/>
      <c r="G191" s="130"/>
      <c r="H191" s="130"/>
      <c r="I191" s="130"/>
      <c r="J191" s="130"/>
      <c r="K191" s="130"/>
      <c r="L191" s="130" t="str">
        <f>IFERROR(__xludf.DUMMYFUNCTION("IF(OR(A191="""",D191=""""),"""",IFERROR(LET(data,GOOGLEFINANCE(""NSE:""&amp;UPPER(TRIM(A191)),""close"",D191-3,D191,""DAILY""),INDEX(data,ROWS(data),2)),""Not Available""))"),"")</f>
        <v/>
      </c>
      <c r="M191" s="131">
        <f>IFERROR(__xludf.DUMMYFUNCTION("IF(A191="""","""",IFERROR(GOOGLEFINANCE(""NSE:""&amp;UPPER(TRIM(A191)),""price""),""Not Available""))"),508.85)</f>
        <v>508.85</v>
      </c>
      <c r="N191" s="132" t="str">
        <f t="shared" si="21"/>
        <v>#DIV/0!</v>
      </c>
      <c r="O191" s="133" t="str">
        <f t="shared" si="22"/>
        <v>#DIV/0!</v>
      </c>
      <c r="P191" s="47" t="str">
        <f>IFERROR(__xludf.DUMMYFUNCTION("IF(OR(A191="""",E191=""""),"""",IFERROR(LET(data,GOOGLEFINANCE(""NSE:""&amp;UPPER(TRIM(A191)),""close"",E191-3,E191,""DAILY""),INDEX(data,ROWS(data),2)),""Not Available""))"),"")</f>
        <v/>
      </c>
      <c r="Q191" s="51"/>
      <c r="R191" s="188" t="str">
        <f t="shared" si="23"/>
        <v>#DIV/0!</v>
      </c>
      <c r="S191" s="51" t="str">
        <f>IFERROR(__xludf.DUMMYFUNCTION("IF(OR(A191="""",E191=""""),"""",IFERROR(LET(data,GOOGLEFINANCE(""NSE:""&amp;UPPER(TRIM(A191)),""close"",Q191-3,Q191,""DAILY""),INDEX(data,ROWS(data),2)),""Not Available""))"),"")</f>
        <v/>
      </c>
      <c r="T191" s="189" t="str">
        <f t="shared" si="24"/>
        <v>#DIV/0!</v>
      </c>
      <c r="U191" s="52" t="str">
        <f t="shared" si="25"/>
        <v>#DIV/0!</v>
      </c>
      <c r="V191" s="190"/>
      <c r="W191" s="190"/>
      <c r="X191" s="190"/>
      <c r="Y191" s="56"/>
    </row>
    <row r="192">
      <c r="A192" s="220" t="s">
        <v>318</v>
      </c>
      <c r="B192" s="130"/>
      <c r="C192" s="130"/>
      <c r="D192" s="130"/>
      <c r="E192" s="199"/>
      <c r="F192" s="130"/>
      <c r="G192" s="130"/>
      <c r="H192" s="130"/>
      <c r="I192" s="130"/>
      <c r="J192" s="130"/>
      <c r="K192" s="130"/>
      <c r="L192" s="130" t="str">
        <f>IFERROR(__xludf.DUMMYFUNCTION("IF(OR(A192="""",D192=""""),"""",IFERROR(LET(data,GOOGLEFINANCE(""NSE:""&amp;UPPER(TRIM(A192)),""close"",D192-3,D192,""DAILY""),INDEX(data,ROWS(data),2)),""Not Available""))"),"")</f>
        <v/>
      </c>
      <c r="M192" s="131">
        <f>IFERROR(__xludf.DUMMYFUNCTION("IF(A192="""","""",IFERROR(GOOGLEFINANCE(""NSE:""&amp;UPPER(TRIM(A192)),""price""),""Not Available""))"),380.95)</f>
        <v>380.95</v>
      </c>
      <c r="N192" s="132" t="str">
        <f t="shared" si="21"/>
        <v>#DIV/0!</v>
      </c>
      <c r="O192" s="133" t="str">
        <f t="shared" si="22"/>
        <v>#DIV/0!</v>
      </c>
      <c r="P192" s="47" t="str">
        <f>IFERROR(__xludf.DUMMYFUNCTION("IF(OR(A192="""",E192=""""),"""",IFERROR(LET(data,GOOGLEFINANCE(""NSE:""&amp;UPPER(TRIM(A192)),""close"",E192-3,E192,""DAILY""),INDEX(data,ROWS(data),2)),""Not Available""))"),"")</f>
        <v/>
      </c>
      <c r="Q192" s="51"/>
      <c r="R192" s="188" t="str">
        <f t="shared" si="23"/>
        <v>#DIV/0!</v>
      </c>
      <c r="S192" s="51" t="str">
        <f>IFERROR(__xludf.DUMMYFUNCTION("IF(OR(A192="""",E192=""""),"""",IFERROR(LET(data,GOOGLEFINANCE(""NSE:""&amp;UPPER(TRIM(A192)),""close"",Q192-3,Q192,""DAILY""),INDEX(data,ROWS(data),2)),""Not Available""))"),"")</f>
        <v/>
      </c>
      <c r="T192" s="189" t="str">
        <f t="shared" si="24"/>
        <v>#DIV/0!</v>
      </c>
      <c r="U192" s="52" t="str">
        <f t="shared" si="25"/>
        <v>#DIV/0!</v>
      </c>
      <c r="V192" s="190"/>
      <c r="W192" s="190"/>
      <c r="X192" s="190"/>
      <c r="Y192" s="56"/>
    </row>
    <row r="193">
      <c r="A193" s="220" t="s">
        <v>319</v>
      </c>
      <c r="B193" s="130"/>
      <c r="C193" s="130"/>
      <c r="D193" s="130"/>
      <c r="E193" s="199"/>
      <c r="F193" s="130"/>
      <c r="G193" s="130"/>
      <c r="H193" s="130"/>
      <c r="I193" s="130"/>
      <c r="J193" s="130"/>
      <c r="K193" s="130"/>
      <c r="L193" s="130" t="str">
        <f>IFERROR(__xludf.DUMMYFUNCTION("IF(OR(A193="""",D193=""""),"""",IFERROR(LET(data,GOOGLEFINANCE(""NSE:""&amp;UPPER(TRIM(A193)),""close"",D193-3,D193,""DAILY""),INDEX(data,ROWS(data),2)),""Not Available""))"),"")</f>
        <v/>
      </c>
      <c r="M193" s="131">
        <f>IFERROR(__xludf.DUMMYFUNCTION("IF(A193="""","""",IFERROR(GOOGLEFINANCE(""NSE:""&amp;UPPER(TRIM(A193)),""price""),""Not Available""))"),274.56)</f>
        <v>274.56</v>
      </c>
      <c r="N193" s="132" t="str">
        <f t="shared" si="21"/>
        <v>#DIV/0!</v>
      </c>
      <c r="O193" s="133" t="str">
        <f t="shared" si="22"/>
        <v>#DIV/0!</v>
      </c>
      <c r="P193" s="47" t="str">
        <f>IFERROR(__xludf.DUMMYFUNCTION("IF(OR(A193="""",E193=""""),"""",IFERROR(LET(data,GOOGLEFINANCE(""NSE:""&amp;UPPER(TRIM(A193)),""close"",E193-3,E193,""DAILY""),INDEX(data,ROWS(data),2)),""Not Available""))"),"")</f>
        <v/>
      </c>
      <c r="Q193" s="51"/>
      <c r="R193" s="188" t="str">
        <f t="shared" si="23"/>
        <v>#DIV/0!</v>
      </c>
      <c r="S193" s="51" t="str">
        <f>IFERROR(__xludf.DUMMYFUNCTION("IF(OR(A193="""",E193=""""),"""",IFERROR(LET(data,GOOGLEFINANCE(""NSE:""&amp;UPPER(TRIM(A193)),""close"",Q193-3,Q193,""DAILY""),INDEX(data,ROWS(data),2)),""Not Available""))"),"")</f>
        <v/>
      </c>
      <c r="T193" s="189" t="str">
        <f t="shared" si="24"/>
        <v>#DIV/0!</v>
      </c>
      <c r="U193" s="52" t="str">
        <f t="shared" si="25"/>
        <v>#DIV/0!</v>
      </c>
      <c r="V193" s="190"/>
      <c r="W193" s="190"/>
      <c r="X193" s="190"/>
      <c r="Y193" s="56"/>
    </row>
    <row r="194">
      <c r="A194" s="220" t="s">
        <v>320</v>
      </c>
      <c r="B194" s="130"/>
      <c r="C194" s="130"/>
      <c r="D194" s="130"/>
      <c r="E194" s="199"/>
      <c r="F194" s="130"/>
      <c r="G194" s="130"/>
      <c r="H194" s="130"/>
      <c r="I194" s="130"/>
      <c r="J194" s="130"/>
      <c r="K194" s="130"/>
      <c r="L194" s="130" t="str">
        <f>IFERROR(__xludf.DUMMYFUNCTION("IF(OR(A194="""",D194=""""),"""",IFERROR(LET(data,GOOGLEFINANCE(""NSE:""&amp;UPPER(TRIM(A194)),""close"",D194-3,D194,""DAILY""),INDEX(data,ROWS(data),2)),""Not Available""))"),"")</f>
        <v/>
      </c>
      <c r="M194" s="131">
        <f>IFERROR(__xludf.DUMMYFUNCTION("IF(A194="""","""",IFERROR(GOOGLEFINANCE(""NSE:""&amp;UPPER(TRIM(A194)),""price""),""Not Available""))"),56.8)</f>
        <v>56.8</v>
      </c>
      <c r="N194" s="132" t="str">
        <f t="shared" si="21"/>
        <v>#DIV/0!</v>
      </c>
      <c r="O194" s="133" t="str">
        <f t="shared" si="22"/>
        <v>#DIV/0!</v>
      </c>
      <c r="P194" s="47" t="str">
        <f>IFERROR(__xludf.DUMMYFUNCTION("IF(OR(A194="""",E194=""""),"""",IFERROR(LET(data,GOOGLEFINANCE(""NSE:""&amp;UPPER(TRIM(A194)),""close"",E194-3,E194,""DAILY""),INDEX(data,ROWS(data),2)),""Not Available""))"),"")</f>
        <v/>
      </c>
      <c r="Q194" s="51"/>
      <c r="R194" s="188" t="str">
        <f t="shared" si="23"/>
        <v>#DIV/0!</v>
      </c>
      <c r="S194" s="51" t="str">
        <f>IFERROR(__xludf.DUMMYFUNCTION("IF(OR(A194="""",E194=""""),"""",IFERROR(LET(data,GOOGLEFINANCE(""NSE:""&amp;UPPER(TRIM(A194)),""close"",Q194-3,Q194,""DAILY""),INDEX(data,ROWS(data),2)),""Not Available""))"),"")</f>
        <v/>
      </c>
      <c r="T194" s="189" t="str">
        <f t="shared" si="24"/>
        <v>#DIV/0!</v>
      </c>
      <c r="U194" s="52" t="str">
        <f t="shared" si="25"/>
        <v>#DIV/0!</v>
      </c>
      <c r="V194" s="190"/>
      <c r="W194" s="190"/>
      <c r="X194" s="190"/>
      <c r="Y194" s="56"/>
    </row>
    <row r="195">
      <c r="A195" s="220" t="s">
        <v>323</v>
      </c>
      <c r="B195" s="130"/>
      <c r="C195" s="130"/>
      <c r="D195" s="130"/>
      <c r="E195" s="199"/>
      <c r="F195" s="130"/>
      <c r="G195" s="130"/>
      <c r="H195" s="130"/>
      <c r="I195" s="130"/>
      <c r="J195" s="130"/>
      <c r="K195" s="130"/>
      <c r="L195" s="130" t="str">
        <f>IFERROR(__xludf.DUMMYFUNCTION("IF(OR(A195="""",D195=""""),"""",IFERROR(LET(data,GOOGLEFINANCE(""NSE:""&amp;UPPER(TRIM(A195)),""close"",D195-3,D195,""DAILY""),INDEX(data,ROWS(data),2)),""Not Available""))"),"")</f>
        <v/>
      </c>
      <c r="M195" s="131">
        <f>IFERROR(__xludf.DUMMYFUNCTION("IF(A195="""","""",IFERROR(GOOGLEFINANCE(""NSE:""&amp;UPPER(TRIM(A195)),""price""),""Not Available""))"),37410.0)</f>
        <v>37410</v>
      </c>
      <c r="N195" s="132" t="str">
        <f t="shared" si="21"/>
        <v>#DIV/0!</v>
      </c>
      <c r="O195" s="133" t="str">
        <f t="shared" si="22"/>
        <v>#DIV/0!</v>
      </c>
      <c r="P195" s="47" t="str">
        <f>IFERROR(__xludf.DUMMYFUNCTION("IF(OR(A195="""",E195=""""),"""",IFERROR(LET(data,GOOGLEFINANCE(""NSE:""&amp;UPPER(TRIM(A195)),""close"",E195-3,E195,""DAILY""),INDEX(data,ROWS(data),2)),""Not Available""))"),"")</f>
        <v/>
      </c>
      <c r="Q195" s="51"/>
      <c r="R195" s="188" t="str">
        <f t="shared" si="23"/>
        <v>#DIV/0!</v>
      </c>
      <c r="S195" s="51" t="str">
        <f>IFERROR(__xludf.DUMMYFUNCTION("IF(OR(A195="""",E195=""""),"""",IFERROR(LET(data,GOOGLEFINANCE(""NSE:""&amp;UPPER(TRIM(A195)),""close"",Q195-3,Q195,""DAILY""),INDEX(data,ROWS(data),2)),""Not Available""))"),"")</f>
        <v/>
      </c>
      <c r="T195" s="189" t="str">
        <f t="shared" si="24"/>
        <v>#DIV/0!</v>
      </c>
      <c r="U195" s="52" t="str">
        <f t="shared" si="25"/>
        <v>#DIV/0!</v>
      </c>
      <c r="V195" s="190"/>
      <c r="W195" s="190"/>
      <c r="X195" s="190"/>
      <c r="Y195" s="56"/>
    </row>
    <row r="196">
      <c r="A196" s="194" t="s">
        <v>325</v>
      </c>
      <c r="B196" s="130"/>
      <c r="C196" s="130"/>
      <c r="D196" s="130"/>
      <c r="E196" s="199"/>
      <c r="F196" s="130"/>
      <c r="G196" s="130"/>
      <c r="H196" s="130"/>
      <c r="I196" s="130"/>
      <c r="J196" s="130"/>
      <c r="K196" s="130"/>
      <c r="L196" s="130" t="str">
        <f>IFERROR(__xludf.DUMMYFUNCTION("IF(OR(A196="""",D196=""""),"""",IFERROR(LET(data,GOOGLEFINANCE(""NSE:""&amp;UPPER(TRIM(A196)),""close"",D196-3,D196,""DAILY""),INDEX(data,ROWS(data),2)),""Not Available""))"),"")</f>
        <v/>
      </c>
      <c r="M196" s="131">
        <f>IFERROR(__xludf.DUMMYFUNCTION("IF(A196="""","""",IFERROR(GOOGLEFINANCE(""NSE:""&amp;UPPER(TRIM(A196)),""price""),""Not Available""))"),264.17)</f>
        <v>264.17</v>
      </c>
      <c r="N196" s="132" t="str">
        <f t="shared" si="21"/>
        <v>#DIV/0!</v>
      </c>
      <c r="O196" s="133" t="str">
        <f t="shared" si="22"/>
        <v>#DIV/0!</v>
      </c>
      <c r="P196" s="47" t="str">
        <f>IFERROR(__xludf.DUMMYFUNCTION("IF(OR(A196="""",E196=""""),"""",IFERROR(LET(data,GOOGLEFINANCE(""NSE:""&amp;UPPER(TRIM(A196)),""close"",E196-3,E196,""DAILY""),INDEX(data,ROWS(data),2)),""Not Available""))"),"")</f>
        <v/>
      </c>
      <c r="Q196" s="51"/>
      <c r="R196" s="188" t="str">
        <f t="shared" si="23"/>
        <v>#DIV/0!</v>
      </c>
      <c r="S196" s="51" t="str">
        <f>IFERROR(__xludf.DUMMYFUNCTION("IF(OR(A196="""",E196=""""),"""",IFERROR(LET(data,GOOGLEFINANCE(""NSE:""&amp;UPPER(TRIM(A196)),""close"",Q196-3,Q196,""DAILY""),INDEX(data,ROWS(data),2)),""Not Available""))"),"")</f>
        <v/>
      </c>
      <c r="T196" s="189" t="str">
        <f t="shared" si="24"/>
        <v>#DIV/0!</v>
      </c>
      <c r="U196" s="52" t="str">
        <f t="shared" si="25"/>
        <v>#DIV/0!</v>
      </c>
      <c r="V196" s="190"/>
      <c r="W196" s="190"/>
      <c r="X196" s="190"/>
      <c r="Y196" s="56"/>
    </row>
    <row r="197">
      <c r="A197" s="220" t="s">
        <v>326</v>
      </c>
      <c r="B197" s="130"/>
      <c r="C197" s="130"/>
      <c r="D197" s="130"/>
      <c r="E197" s="199"/>
      <c r="F197" s="130"/>
      <c r="G197" s="130"/>
      <c r="H197" s="130"/>
      <c r="I197" s="130"/>
      <c r="J197" s="130"/>
      <c r="K197" s="130"/>
      <c r="L197" s="130" t="str">
        <f>IFERROR(__xludf.DUMMYFUNCTION("IF(OR(A197="""",D197=""""),"""",IFERROR(LET(data,GOOGLEFINANCE(""NSE:""&amp;UPPER(TRIM(A197)),""close"",D197-3,D197,""DAILY""),INDEX(data,ROWS(data),2)),""Not Available""))"),"")</f>
        <v/>
      </c>
      <c r="M197" s="131">
        <f>IFERROR(__xludf.DUMMYFUNCTION("IF(A197="""","""",IFERROR(GOOGLEFINANCE(""NSE:""&amp;UPPER(TRIM(A197)),""price""),""Not Available""))"),212.23)</f>
        <v>212.23</v>
      </c>
      <c r="N197" s="132" t="str">
        <f t="shared" si="21"/>
        <v>#DIV/0!</v>
      </c>
      <c r="O197" s="133" t="str">
        <f t="shared" si="22"/>
        <v>#DIV/0!</v>
      </c>
      <c r="P197" s="47" t="str">
        <f>IFERROR(__xludf.DUMMYFUNCTION("IF(OR(A197="""",E197=""""),"""",IFERROR(LET(data,GOOGLEFINANCE(""NSE:""&amp;UPPER(TRIM(A197)),""close"",E197-3,E197,""DAILY""),INDEX(data,ROWS(data),2)),""Not Available""))"),"")</f>
        <v/>
      </c>
      <c r="Q197" s="51"/>
      <c r="R197" s="188" t="str">
        <f t="shared" si="23"/>
        <v>#DIV/0!</v>
      </c>
      <c r="S197" s="51" t="str">
        <f>IFERROR(__xludf.DUMMYFUNCTION("IF(OR(A197="""",E197=""""),"""",IFERROR(LET(data,GOOGLEFINANCE(""NSE:""&amp;UPPER(TRIM(A197)),""close"",Q197-3,Q197,""DAILY""),INDEX(data,ROWS(data),2)),""Not Available""))"),"")</f>
        <v/>
      </c>
      <c r="T197" s="189" t="str">
        <f t="shared" si="24"/>
        <v>#DIV/0!</v>
      </c>
      <c r="U197" s="52" t="str">
        <f t="shared" si="25"/>
        <v>#DIV/0!</v>
      </c>
      <c r="V197" s="190"/>
      <c r="W197" s="190"/>
      <c r="X197" s="190"/>
      <c r="Y197" s="56"/>
    </row>
    <row r="198">
      <c r="A198" s="220" t="s">
        <v>328</v>
      </c>
      <c r="B198" s="130"/>
      <c r="C198" s="130"/>
      <c r="D198" s="130"/>
      <c r="E198" s="199"/>
      <c r="F198" s="130"/>
      <c r="G198" s="130"/>
      <c r="H198" s="130"/>
      <c r="I198" s="130"/>
      <c r="J198" s="130"/>
      <c r="K198" s="130"/>
      <c r="L198" s="130" t="str">
        <f>IFERROR(__xludf.DUMMYFUNCTION("IF(OR(A198="""",D198=""""),"""",IFERROR(LET(data,GOOGLEFINANCE(""NSE:""&amp;UPPER(TRIM(A198)),""close"",D198-3,D198,""DAILY""),INDEX(data,ROWS(data),2)),""Not Available""))"),"")</f>
        <v/>
      </c>
      <c r="M198" s="131">
        <f>IFERROR(__xludf.DUMMYFUNCTION("IF(A198="""","""",IFERROR(GOOGLEFINANCE(""NSE:""&amp;UPPER(TRIM(A198)),""price""),""Not Available""))"),65.69)</f>
        <v>65.69</v>
      </c>
      <c r="N198" s="132" t="str">
        <f t="shared" si="21"/>
        <v>#DIV/0!</v>
      </c>
      <c r="O198" s="133" t="str">
        <f t="shared" si="22"/>
        <v>#DIV/0!</v>
      </c>
      <c r="P198" s="47" t="str">
        <f>IFERROR(__xludf.DUMMYFUNCTION("IF(OR(A198="""",E198=""""),"""",IFERROR(LET(data,GOOGLEFINANCE(""NSE:""&amp;UPPER(TRIM(A198)),""close"",E198-3,E198,""DAILY""),INDEX(data,ROWS(data),2)),""Not Available""))"),"")</f>
        <v/>
      </c>
      <c r="Q198" s="51"/>
      <c r="R198" s="188" t="str">
        <f t="shared" si="23"/>
        <v>#DIV/0!</v>
      </c>
      <c r="S198" s="51" t="str">
        <f>IFERROR(__xludf.DUMMYFUNCTION("IF(OR(A198="""",E198=""""),"""",IFERROR(LET(data,GOOGLEFINANCE(""NSE:""&amp;UPPER(TRIM(A198)),""close"",Q198-3,Q198,""DAILY""),INDEX(data,ROWS(data),2)),""Not Available""))"),"")</f>
        <v/>
      </c>
      <c r="T198" s="189" t="str">
        <f t="shared" si="24"/>
        <v>#DIV/0!</v>
      </c>
      <c r="U198" s="52" t="str">
        <f t="shared" si="25"/>
        <v>#DIV/0!</v>
      </c>
      <c r="V198" s="190"/>
      <c r="W198" s="190"/>
      <c r="X198" s="190"/>
      <c r="Y198" s="56"/>
    </row>
    <row r="199">
      <c r="A199" s="194" t="s">
        <v>329</v>
      </c>
      <c r="B199" s="130"/>
      <c r="C199" s="130"/>
      <c r="D199" s="130"/>
      <c r="E199" s="199"/>
      <c r="F199" s="130"/>
      <c r="G199" s="130"/>
      <c r="H199" s="130"/>
      <c r="I199" s="130"/>
      <c r="J199" s="130"/>
      <c r="K199" s="130"/>
      <c r="L199" s="130" t="str">
        <f>IFERROR(__xludf.DUMMYFUNCTION("IF(OR(A199="""",D199=""""),"""",IFERROR(LET(data,GOOGLEFINANCE(""NSE:""&amp;UPPER(TRIM(A199)),""close"",D199-3,D199,""DAILY""),INDEX(data,ROWS(data),2)),""Not Available""))"),"")</f>
        <v/>
      </c>
      <c r="M199" s="131">
        <f>IFERROR(__xludf.DUMMYFUNCTION("IF(A199="""","""",IFERROR(GOOGLEFINANCE(""NSE:""&amp;UPPER(TRIM(A199)),""price""),""Not Available""))"),497.65)</f>
        <v>497.65</v>
      </c>
      <c r="N199" s="132" t="str">
        <f t="shared" si="21"/>
        <v>#DIV/0!</v>
      </c>
      <c r="O199" s="133" t="str">
        <f t="shared" si="22"/>
        <v>#DIV/0!</v>
      </c>
      <c r="P199" s="47" t="str">
        <f>IFERROR(__xludf.DUMMYFUNCTION("IF(OR(A199="""",E199=""""),"""",IFERROR(LET(data,GOOGLEFINANCE(""NSE:""&amp;UPPER(TRIM(A199)),""close"",E199-3,E199,""DAILY""),INDEX(data,ROWS(data),2)),""Not Available""))"),"")</f>
        <v/>
      </c>
      <c r="Q199" s="51"/>
      <c r="R199" s="188" t="str">
        <f t="shared" si="23"/>
        <v>#DIV/0!</v>
      </c>
      <c r="S199" s="51" t="str">
        <f>IFERROR(__xludf.DUMMYFUNCTION("IF(OR(A199="""",E199=""""),"""",IFERROR(LET(data,GOOGLEFINANCE(""NSE:""&amp;UPPER(TRIM(A199)),""close"",Q199-3,Q199,""DAILY""),INDEX(data,ROWS(data),2)),""Not Available""))"),"")</f>
        <v/>
      </c>
      <c r="T199" s="189" t="str">
        <f t="shared" si="24"/>
        <v>#DIV/0!</v>
      </c>
      <c r="U199" s="52" t="str">
        <f t="shared" si="25"/>
        <v>#DIV/0!</v>
      </c>
      <c r="V199" s="190"/>
      <c r="W199" s="190"/>
      <c r="X199" s="190"/>
      <c r="Y199" s="56"/>
    </row>
    <row r="200">
      <c r="A200" s="194" t="s">
        <v>330</v>
      </c>
      <c r="B200" s="130"/>
      <c r="C200" s="130"/>
      <c r="D200" s="130"/>
      <c r="E200" s="199"/>
      <c r="F200" s="130"/>
      <c r="G200" s="130"/>
      <c r="H200" s="130"/>
      <c r="I200" s="130"/>
      <c r="J200" s="130"/>
      <c r="K200" s="130"/>
      <c r="L200" s="130" t="str">
        <f>IFERROR(__xludf.DUMMYFUNCTION("IF(OR(A200="""",D200=""""),"""",IFERROR(LET(data,GOOGLEFINANCE(""NSE:""&amp;UPPER(TRIM(A200)),""close"",D200-3,D200,""DAILY""),INDEX(data,ROWS(data),2)),""Not Available""))"),"")</f>
        <v/>
      </c>
      <c r="M200" s="131">
        <f>IFERROR(__xludf.DUMMYFUNCTION("IF(A200="""","""",IFERROR(GOOGLEFINANCE(""NSE:""&amp;UPPER(TRIM(A200)),""price""),""Not Available""))"),3627.2)</f>
        <v>3627.2</v>
      </c>
      <c r="N200" s="132" t="str">
        <f t="shared" si="21"/>
        <v>#DIV/0!</v>
      </c>
      <c r="O200" s="133" t="str">
        <f t="shared" si="22"/>
        <v>#DIV/0!</v>
      </c>
      <c r="P200" s="47" t="str">
        <f>IFERROR(__xludf.DUMMYFUNCTION("IF(OR(A200="""",E200=""""),"""",IFERROR(LET(data,GOOGLEFINANCE(""NSE:""&amp;UPPER(TRIM(A200)),""close"",E200-3,E200,""DAILY""),INDEX(data,ROWS(data),2)),""Not Available""))"),"")</f>
        <v/>
      </c>
      <c r="Q200" s="51"/>
      <c r="R200" s="188" t="str">
        <f t="shared" si="23"/>
        <v>#DIV/0!</v>
      </c>
      <c r="S200" s="51" t="str">
        <f>IFERROR(__xludf.DUMMYFUNCTION("IF(OR(A200="""",E200=""""),"""",IFERROR(LET(data,GOOGLEFINANCE(""NSE:""&amp;UPPER(TRIM(A200)),""close"",Q200-3,Q200,""DAILY""),INDEX(data,ROWS(data),2)),""Not Available""))"),"")</f>
        <v/>
      </c>
      <c r="T200" s="189" t="str">
        <f t="shared" si="24"/>
        <v>#DIV/0!</v>
      </c>
      <c r="U200" s="52" t="str">
        <f t="shared" si="25"/>
        <v>#DIV/0!</v>
      </c>
      <c r="V200" s="190"/>
      <c r="W200" s="190"/>
      <c r="X200" s="190"/>
      <c r="Y200" s="56"/>
    </row>
    <row r="201">
      <c r="A201" s="220" t="s">
        <v>331</v>
      </c>
      <c r="B201" s="130"/>
      <c r="C201" s="130"/>
      <c r="D201" s="130"/>
      <c r="E201" s="199"/>
      <c r="F201" s="130"/>
      <c r="G201" s="130"/>
      <c r="H201" s="130"/>
      <c r="I201" s="130"/>
      <c r="J201" s="130"/>
      <c r="K201" s="130"/>
      <c r="L201" s="130" t="str">
        <f>IFERROR(__xludf.DUMMYFUNCTION("IF(OR(A201="""",D201=""""),"""",IFERROR(LET(data,GOOGLEFINANCE(""NSE:""&amp;UPPER(TRIM(A201)),""close"",D201-3,D201,""DAILY""),INDEX(data,ROWS(data),2)),""Not Available""))"),"")</f>
        <v/>
      </c>
      <c r="M201" s="131">
        <f>IFERROR(__xludf.DUMMYFUNCTION("IF(A201="""","""",IFERROR(GOOGLEFINANCE(""NSE:""&amp;UPPER(TRIM(A201)),""price""),""Not Available""))"),1282.3)</f>
        <v>1282.3</v>
      </c>
      <c r="N201" s="132" t="str">
        <f t="shared" si="21"/>
        <v>#DIV/0!</v>
      </c>
      <c r="O201" s="133" t="str">
        <f t="shared" si="22"/>
        <v>#DIV/0!</v>
      </c>
      <c r="P201" s="47" t="str">
        <f>IFERROR(__xludf.DUMMYFUNCTION("IF(OR(A201="""",E201=""""),"""",IFERROR(LET(data,GOOGLEFINANCE(""NSE:""&amp;UPPER(TRIM(A201)),""close"",E201-3,E201,""DAILY""),INDEX(data,ROWS(data),2)),""Not Available""))"),"")</f>
        <v/>
      </c>
      <c r="Q201" s="51"/>
      <c r="R201" s="188" t="str">
        <f t="shared" si="23"/>
        <v>#DIV/0!</v>
      </c>
      <c r="S201" s="51" t="str">
        <f>IFERROR(__xludf.DUMMYFUNCTION("IF(OR(A201="""",E201=""""),"""",IFERROR(LET(data,GOOGLEFINANCE(""NSE:""&amp;UPPER(TRIM(A201)),""close"",Q201-3,Q201,""DAILY""),INDEX(data,ROWS(data),2)),""Not Available""))"),"")</f>
        <v/>
      </c>
      <c r="T201" s="189" t="str">
        <f t="shared" si="24"/>
        <v>#DIV/0!</v>
      </c>
      <c r="U201" s="52" t="str">
        <f t="shared" si="25"/>
        <v>#DIV/0!</v>
      </c>
      <c r="V201" s="190"/>
      <c r="W201" s="190"/>
      <c r="X201" s="190"/>
      <c r="Y201" s="56"/>
    </row>
    <row r="202">
      <c r="A202" s="223" t="s">
        <v>333</v>
      </c>
      <c r="B202" s="130"/>
      <c r="C202" s="130"/>
      <c r="D202" s="130"/>
      <c r="E202" s="199"/>
      <c r="F202" s="130"/>
      <c r="G202" s="130"/>
      <c r="H202" s="130"/>
      <c r="I202" s="130"/>
      <c r="J202" s="130"/>
      <c r="K202" s="130"/>
      <c r="L202" s="130" t="str">
        <f>IFERROR(__xludf.DUMMYFUNCTION("IF(OR(A202="""",D202=""""),"""",IFERROR(LET(data,GOOGLEFINANCE(""NSE:""&amp;UPPER(TRIM(A202)),""close"",D202-3,D202,""DAILY""),INDEX(data,ROWS(data),2)),""Not Available""))"),"")</f>
        <v/>
      </c>
      <c r="M202" s="131">
        <f>IFERROR(__xludf.DUMMYFUNCTION("IF(A202="""","""",IFERROR(GOOGLEFINANCE(""NSE:""&amp;UPPER(TRIM(A202)),""price""),""Not Available""))"),333.45)</f>
        <v>333.45</v>
      </c>
      <c r="N202" s="132" t="str">
        <f t="shared" si="21"/>
        <v>#DIV/0!</v>
      </c>
      <c r="O202" s="133" t="str">
        <f t="shared" si="22"/>
        <v>#DIV/0!</v>
      </c>
      <c r="P202" s="47" t="str">
        <f>IFERROR(__xludf.DUMMYFUNCTION("IF(OR(A202="""",E202=""""),"""",IFERROR(LET(data,GOOGLEFINANCE(""NSE:""&amp;UPPER(TRIM(A202)),""close"",E202-3,E202,""DAILY""),INDEX(data,ROWS(data),2)),""Not Available""))"),"")</f>
        <v/>
      </c>
      <c r="Q202" s="51"/>
      <c r="R202" s="188" t="str">
        <f t="shared" si="23"/>
        <v>#DIV/0!</v>
      </c>
      <c r="S202" s="51" t="str">
        <f>IFERROR(__xludf.DUMMYFUNCTION("IF(OR(A202="""",E202=""""),"""",IFERROR(LET(data,GOOGLEFINANCE(""NSE:""&amp;UPPER(TRIM(A202)),""close"",Q202-3,Q202,""DAILY""),INDEX(data,ROWS(data),2)),""Not Available""))"),"")</f>
        <v/>
      </c>
      <c r="T202" s="189" t="str">
        <f t="shared" si="24"/>
        <v>#DIV/0!</v>
      </c>
      <c r="U202" s="52" t="str">
        <f t="shared" si="25"/>
        <v>#DIV/0!</v>
      </c>
      <c r="V202" s="190"/>
      <c r="W202" s="190"/>
      <c r="X202" s="190"/>
      <c r="Y202" s="56"/>
    </row>
    <row r="203">
      <c r="A203" s="220" t="s">
        <v>298</v>
      </c>
      <c r="B203" s="130"/>
      <c r="C203" s="130"/>
      <c r="D203" s="130"/>
      <c r="E203" s="199"/>
      <c r="F203" s="130"/>
      <c r="G203" s="130"/>
      <c r="H203" s="130"/>
      <c r="I203" s="130"/>
      <c r="J203" s="130"/>
      <c r="K203" s="130"/>
      <c r="L203" s="130" t="str">
        <f>IFERROR(__xludf.DUMMYFUNCTION("IF(OR(A203="""",D203=""""),"""",IFERROR(LET(data,GOOGLEFINANCE(""NSE:""&amp;UPPER(TRIM(A203)),""close"",D203-3,D203,""DAILY""),INDEX(data,ROWS(data),2)),""Not Available""))"),"")</f>
        <v/>
      </c>
      <c r="M203" s="131">
        <f>IFERROR(__xludf.DUMMYFUNCTION("IF(A203="""","""",IFERROR(GOOGLEFINANCE(""NSE:""&amp;UPPER(TRIM(A203)),""price""),""Not Available""))"),2912.7)</f>
        <v>2912.7</v>
      </c>
      <c r="N203" s="132" t="str">
        <f t="shared" si="21"/>
        <v>#DIV/0!</v>
      </c>
      <c r="O203" s="133" t="str">
        <f t="shared" si="22"/>
        <v>#DIV/0!</v>
      </c>
      <c r="P203" s="47" t="str">
        <f>IFERROR(__xludf.DUMMYFUNCTION("IF(OR(A203="""",E203=""""),"""",IFERROR(LET(data,GOOGLEFINANCE(""NSE:""&amp;UPPER(TRIM(A203)),""close"",E203-3,E203,""DAILY""),INDEX(data,ROWS(data),2)),""Not Available""))"),"")</f>
        <v/>
      </c>
      <c r="Q203" s="51"/>
      <c r="R203" s="188" t="str">
        <f t="shared" si="23"/>
        <v>#DIV/0!</v>
      </c>
      <c r="S203" s="51" t="str">
        <f>IFERROR(__xludf.DUMMYFUNCTION("IF(OR(A203="""",E203=""""),"""",IFERROR(LET(data,GOOGLEFINANCE(""NSE:""&amp;UPPER(TRIM(A203)),""close"",Q203-3,Q203,""DAILY""),INDEX(data,ROWS(data),2)),""Not Available""))"),"")</f>
        <v/>
      </c>
      <c r="T203" s="189" t="str">
        <f t="shared" si="24"/>
        <v>#DIV/0!</v>
      </c>
      <c r="U203" s="52" t="str">
        <f t="shared" si="25"/>
        <v>#DIV/0!</v>
      </c>
      <c r="V203" s="190"/>
      <c r="W203" s="190"/>
      <c r="X203" s="190"/>
      <c r="Y203" s="56"/>
    </row>
    <row r="204">
      <c r="A204" s="223" t="s">
        <v>336</v>
      </c>
      <c r="B204" s="130"/>
      <c r="C204" s="130"/>
      <c r="D204" s="130"/>
      <c r="E204" s="199"/>
      <c r="F204" s="130"/>
      <c r="G204" s="130"/>
      <c r="H204" s="130"/>
      <c r="I204" s="130"/>
      <c r="J204" s="130"/>
      <c r="K204" s="130"/>
      <c r="L204" s="130" t="str">
        <f>IFERROR(__xludf.DUMMYFUNCTION("IF(OR(A204="""",D204=""""),"""",IFERROR(LET(data,GOOGLEFINANCE(""NSE:""&amp;UPPER(TRIM(A204)),""close"",D204-3,D204,""DAILY""),INDEX(data,ROWS(data),2)),""Not Available""))"),"")</f>
        <v/>
      </c>
      <c r="M204" s="131">
        <f>IFERROR(__xludf.DUMMYFUNCTION("IF(A204="""","""",IFERROR(GOOGLEFINANCE(""NSE:""&amp;UPPER(TRIM(A204)),""price""),""Not Available""))"),35.0)</f>
        <v>35</v>
      </c>
      <c r="N204" s="132" t="str">
        <f t="shared" si="21"/>
        <v>#DIV/0!</v>
      </c>
      <c r="O204" s="133" t="str">
        <f t="shared" si="22"/>
        <v>#DIV/0!</v>
      </c>
      <c r="P204" s="47" t="str">
        <f>IFERROR(__xludf.DUMMYFUNCTION("IF(OR(A204="""",E204=""""),"""",IFERROR(LET(data,GOOGLEFINANCE(""NSE:""&amp;UPPER(TRIM(A204)),""close"",E204-3,E204,""DAILY""),INDEX(data,ROWS(data),2)),""Not Available""))"),"")</f>
        <v/>
      </c>
      <c r="Q204" s="51"/>
      <c r="R204" s="188" t="str">
        <f t="shared" si="23"/>
        <v>#DIV/0!</v>
      </c>
      <c r="S204" s="51" t="str">
        <f>IFERROR(__xludf.DUMMYFUNCTION("IF(OR(A204="""",E204=""""),"""",IFERROR(LET(data,GOOGLEFINANCE(""NSE:""&amp;UPPER(TRIM(A204)),""close"",Q204-3,Q204,""DAILY""),INDEX(data,ROWS(data),2)),""Not Available""))"),"")</f>
        <v/>
      </c>
      <c r="T204" s="189" t="str">
        <f t="shared" si="24"/>
        <v>#DIV/0!</v>
      </c>
      <c r="U204" s="52" t="str">
        <f t="shared" si="25"/>
        <v>#DIV/0!</v>
      </c>
      <c r="V204" s="190"/>
      <c r="W204" s="190"/>
      <c r="X204" s="190"/>
      <c r="Y204" s="56"/>
    </row>
    <row r="205">
      <c r="A205" s="220" t="s">
        <v>338</v>
      </c>
      <c r="B205" s="130"/>
      <c r="C205" s="130"/>
      <c r="D205" s="130"/>
      <c r="E205" s="199"/>
      <c r="F205" s="130"/>
      <c r="G205" s="130"/>
      <c r="H205" s="130"/>
      <c r="I205" s="130"/>
      <c r="J205" s="130"/>
      <c r="K205" s="130"/>
      <c r="L205" s="130" t="str">
        <f>IFERROR(__xludf.DUMMYFUNCTION("IF(OR(A205="""",D205=""""),"""",IFERROR(LET(data,GOOGLEFINANCE(""NSE:""&amp;UPPER(TRIM(A205)),""close"",D205-3,D205,""DAILY""),INDEX(data,ROWS(data),2)),""Not Available""))"),"")</f>
        <v/>
      </c>
      <c r="M205" s="131">
        <f>IFERROR(__xludf.DUMMYFUNCTION("IF(A205="""","""",IFERROR(GOOGLEFINANCE(""NSE:""&amp;UPPER(TRIM(A205)),""price""),""Not Available""))"),218.33)</f>
        <v>218.33</v>
      </c>
      <c r="N205" s="132" t="str">
        <f t="shared" si="21"/>
        <v>#DIV/0!</v>
      </c>
      <c r="O205" s="133" t="str">
        <f t="shared" si="22"/>
        <v>#DIV/0!</v>
      </c>
      <c r="P205" s="47" t="str">
        <f>IFERROR(__xludf.DUMMYFUNCTION("IF(OR(A205="""",E205=""""),"""",IFERROR(LET(data,GOOGLEFINANCE(""NSE:""&amp;UPPER(TRIM(A205)),""close"",E205-3,E205,""DAILY""),INDEX(data,ROWS(data),2)),""Not Available""))"),"")</f>
        <v/>
      </c>
      <c r="Q205" s="51"/>
      <c r="R205" s="188" t="str">
        <f t="shared" si="23"/>
        <v>#DIV/0!</v>
      </c>
      <c r="S205" s="51" t="str">
        <f>IFERROR(__xludf.DUMMYFUNCTION("IF(OR(A205="""",E205=""""),"""",IFERROR(LET(data,GOOGLEFINANCE(""NSE:""&amp;UPPER(TRIM(A205)),""close"",Q205-3,Q205,""DAILY""),INDEX(data,ROWS(data),2)),""Not Available""))"),"")</f>
        <v/>
      </c>
      <c r="T205" s="189" t="str">
        <f t="shared" si="24"/>
        <v>#DIV/0!</v>
      </c>
      <c r="U205" s="52" t="str">
        <f t="shared" si="25"/>
        <v>#DIV/0!</v>
      </c>
      <c r="V205" s="190"/>
      <c r="W205" s="190"/>
      <c r="X205" s="190"/>
      <c r="Y205" s="56"/>
    </row>
    <row r="206">
      <c r="A206" s="220" t="s">
        <v>339</v>
      </c>
      <c r="B206" s="130"/>
      <c r="C206" s="130"/>
      <c r="D206" s="130"/>
      <c r="E206" s="199"/>
      <c r="F206" s="130"/>
      <c r="G206" s="130"/>
      <c r="H206" s="130"/>
      <c r="I206" s="130"/>
      <c r="J206" s="130"/>
      <c r="K206" s="130"/>
      <c r="L206" s="130" t="str">
        <f>IFERROR(__xludf.DUMMYFUNCTION("IF(OR(A206="""",D206=""""),"""",IFERROR(LET(data,GOOGLEFINANCE(""NSE:""&amp;UPPER(TRIM(A206)),""close"",D206-3,D206,""DAILY""),INDEX(data,ROWS(data),2)),""Not Available""))"),"")</f>
        <v/>
      </c>
      <c r="M206" s="131">
        <f>IFERROR(__xludf.DUMMYFUNCTION("IF(A206="""","""",IFERROR(GOOGLEFINANCE(""NSE:""&amp;UPPER(TRIM(A206)),""price""),""Not Available""))"),551.95)</f>
        <v>551.95</v>
      </c>
      <c r="N206" s="132" t="str">
        <f t="shared" si="21"/>
        <v>#DIV/0!</v>
      </c>
      <c r="O206" s="133" t="str">
        <f t="shared" si="22"/>
        <v>#DIV/0!</v>
      </c>
      <c r="P206" s="47" t="str">
        <f>IFERROR(__xludf.DUMMYFUNCTION("IF(OR(A206="""",E206=""""),"""",IFERROR(LET(data,GOOGLEFINANCE(""NSE:""&amp;UPPER(TRIM(A206)),""close"",E206-3,E206,""DAILY""),INDEX(data,ROWS(data),2)),""Not Available""))"),"")</f>
        <v/>
      </c>
      <c r="Q206" s="51"/>
      <c r="R206" s="188" t="str">
        <f t="shared" si="23"/>
        <v>#DIV/0!</v>
      </c>
      <c r="S206" s="51" t="str">
        <f>IFERROR(__xludf.DUMMYFUNCTION("IF(OR(A206="""",E206=""""),"""",IFERROR(LET(data,GOOGLEFINANCE(""NSE:""&amp;UPPER(TRIM(A206)),""close"",Q206-3,Q206,""DAILY""),INDEX(data,ROWS(data),2)),""Not Available""))"),"")</f>
        <v/>
      </c>
      <c r="T206" s="189" t="str">
        <f t="shared" si="24"/>
        <v>#DIV/0!</v>
      </c>
      <c r="U206" s="52" t="str">
        <f t="shared" si="25"/>
        <v>#DIV/0!</v>
      </c>
      <c r="V206" s="190"/>
      <c r="W206" s="190"/>
      <c r="X206" s="190"/>
      <c r="Y206" s="56"/>
    </row>
    <row r="207">
      <c r="A207" s="220" t="s">
        <v>341</v>
      </c>
      <c r="B207" s="130"/>
      <c r="C207" s="130"/>
      <c r="D207" s="130"/>
      <c r="E207" s="199"/>
      <c r="F207" s="130"/>
      <c r="G207" s="130"/>
      <c r="H207" s="130"/>
      <c r="I207" s="130"/>
      <c r="J207" s="130"/>
      <c r="K207" s="130"/>
      <c r="L207" s="130" t="str">
        <f>IFERROR(__xludf.DUMMYFUNCTION("IF(OR(A207="""",D207=""""),"""",IFERROR(LET(data,GOOGLEFINANCE(""NSE:""&amp;UPPER(TRIM(A207)),""close"",D207-3,D207,""DAILY""),INDEX(data,ROWS(data),2)),""Not Available""))"),"")</f>
        <v/>
      </c>
      <c r="M207" s="131">
        <f>IFERROR(__xludf.DUMMYFUNCTION("IF(A207="""","""",IFERROR(GOOGLEFINANCE(""NSE:""&amp;UPPER(TRIM(A207)),""price""),""Not Available""))"),1176.0)</f>
        <v>1176</v>
      </c>
      <c r="N207" s="132" t="str">
        <f t="shared" si="21"/>
        <v>#DIV/0!</v>
      </c>
      <c r="O207" s="133" t="str">
        <f t="shared" si="22"/>
        <v>#DIV/0!</v>
      </c>
      <c r="P207" s="47" t="str">
        <f>IFERROR(__xludf.DUMMYFUNCTION("IF(OR(A207="""",E207=""""),"""",IFERROR(LET(data,GOOGLEFINANCE(""NSE:""&amp;UPPER(TRIM(A207)),""close"",E207-3,E207,""DAILY""),INDEX(data,ROWS(data),2)),""Not Available""))"),"")</f>
        <v/>
      </c>
      <c r="Q207" s="51"/>
      <c r="R207" s="188" t="str">
        <f t="shared" si="23"/>
        <v>#DIV/0!</v>
      </c>
      <c r="S207" s="51" t="str">
        <f>IFERROR(__xludf.DUMMYFUNCTION("IF(OR(A207="""",E207=""""),"""",IFERROR(LET(data,GOOGLEFINANCE(""NSE:""&amp;UPPER(TRIM(A207)),""close"",Q207-3,Q207,""DAILY""),INDEX(data,ROWS(data),2)),""Not Available""))"),"")</f>
        <v/>
      </c>
      <c r="T207" s="189" t="str">
        <f t="shared" si="24"/>
        <v>#DIV/0!</v>
      </c>
      <c r="U207" s="52" t="str">
        <f t="shared" si="25"/>
        <v>#DIV/0!</v>
      </c>
      <c r="V207" s="190"/>
      <c r="W207" s="190"/>
      <c r="X207" s="190"/>
      <c r="Y207" s="56"/>
    </row>
    <row r="208">
      <c r="A208" s="220" t="s">
        <v>342</v>
      </c>
      <c r="B208" s="130"/>
      <c r="C208" s="130"/>
      <c r="D208" s="130"/>
      <c r="E208" s="199"/>
      <c r="F208" s="130"/>
      <c r="G208" s="130"/>
      <c r="H208" s="130"/>
      <c r="I208" s="130"/>
      <c r="J208" s="130"/>
      <c r="K208" s="130"/>
      <c r="L208" s="130" t="str">
        <f>IFERROR(__xludf.DUMMYFUNCTION("IF(OR(A208="""",D208=""""),"""",IFERROR(LET(data,GOOGLEFINANCE(""NSE:""&amp;UPPER(TRIM(A208)),""close"",D208-3,D208,""DAILY""),INDEX(data,ROWS(data),2)),""Not Available""))"),"")</f>
        <v/>
      </c>
      <c r="M208" s="131">
        <f>IFERROR(__xludf.DUMMYFUNCTION("IF(A208="""","""",IFERROR(GOOGLEFINANCE(""NSE:""&amp;UPPER(TRIM(A208)),""price""),""Not Available""))"),229.87)</f>
        <v>229.87</v>
      </c>
      <c r="N208" s="132" t="str">
        <f t="shared" si="21"/>
        <v>#DIV/0!</v>
      </c>
      <c r="O208" s="133" t="str">
        <f t="shared" si="22"/>
        <v>#DIV/0!</v>
      </c>
      <c r="P208" s="47" t="str">
        <f>IFERROR(__xludf.DUMMYFUNCTION("IF(OR(A208="""",E208=""""),"""",IFERROR(LET(data,GOOGLEFINANCE(""NSE:""&amp;UPPER(TRIM(A208)),""close"",E208-3,E208,""DAILY""),INDEX(data,ROWS(data),2)),""Not Available""))"),"")</f>
        <v/>
      </c>
      <c r="Q208" s="51"/>
      <c r="R208" s="188" t="str">
        <f t="shared" si="23"/>
        <v>#DIV/0!</v>
      </c>
      <c r="S208" s="51" t="str">
        <f>IFERROR(__xludf.DUMMYFUNCTION("IF(OR(A208="""",E208=""""),"""",IFERROR(LET(data,GOOGLEFINANCE(""NSE:""&amp;UPPER(TRIM(A208)),""close"",Q208-3,Q208,""DAILY""),INDEX(data,ROWS(data),2)),""Not Available""))"),"")</f>
        <v/>
      </c>
      <c r="T208" s="189" t="str">
        <f t="shared" si="24"/>
        <v>#DIV/0!</v>
      </c>
      <c r="U208" s="52" t="str">
        <f t="shared" si="25"/>
        <v>#DIV/0!</v>
      </c>
      <c r="V208" s="190"/>
      <c r="W208" s="190"/>
      <c r="X208" s="190"/>
      <c r="Y208" s="56"/>
    </row>
    <row r="209">
      <c r="A209" s="220" t="s">
        <v>345</v>
      </c>
      <c r="B209" s="130"/>
      <c r="C209" s="130"/>
      <c r="D209" s="130"/>
      <c r="E209" s="199"/>
      <c r="F209" s="130"/>
      <c r="G209" s="130"/>
      <c r="H209" s="130"/>
      <c r="I209" s="130"/>
      <c r="J209" s="130"/>
      <c r="K209" s="130"/>
      <c r="L209" s="130" t="str">
        <f>IFERROR(__xludf.DUMMYFUNCTION("IF(OR(A209="""",D209=""""),"""",IFERROR(LET(data,GOOGLEFINANCE(""NSE:""&amp;UPPER(TRIM(A209)),""close"",D209-3,D209,""DAILY""),INDEX(data,ROWS(data),2)),""Not Available""))"),"")</f>
        <v/>
      </c>
      <c r="M209" s="131">
        <f>IFERROR(__xludf.DUMMYFUNCTION("IF(A209="""","""",IFERROR(GOOGLEFINANCE(""NSE:""&amp;UPPER(TRIM(A209)),""price""),""Not Available""))"),336.1)</f>
        <v>336.1</v>
      </c>
      <c r="N209" s="132" t="str">
        <f t="shared" si="21"/>
        <v>#DIV/0!</v>
      </c>
      <c r="O209" s="133" t="str">
        <f t="shared" si="22"/>
        <v>#DIV/0!</v>
      </c>
      <c r="P209" s="47" t="str">
        <f>IFERROR(__xludf.DUMMYFUNCTION("IF(OR(A209="""",E209=""""),"""",IFERROR(LET(data,GOOGLEFINANCE(""NSE:""&amp;UPPER(TRIM(A209)),""close"",E209-3,E209,""DAILY""),INDEX(data,ROWS(data),2)),""Not Available""))"),"")</f>
        <v/>
      </c>
      <c r="Q209" s="51"/>
      <c r="R209" s="188" t="str">
        <f t="shared" si="23"/>
        <v>#DIV/0!</v>
      </c>
      <c r="S209" s="51" t="str">
        <f>IFERROR(__xludf.DUMMYFUNCTION("IF(OR(A209="""",E209=""""),"""",IFERROR(LET(data,GOOGLEFINANCE(""NSE:""&amp;UPPER(TRIM(A209)),""close"",Q209-3,Q209,""DAILY""),INDEX(data,ROWS(data),2)),""Not Available""))"),"")</f>
        <v/>
      </c>
      <c r="T209" s="189" t="str">
        <f t="shared" si="24"/>
        <v>#DIV/0!</v>
      </c>
      <c r="U209" s="52" t="str">
        <f t="shared" si="25"/>
        <v>#DIV/0!</v>
      </c>
      <c r="V209" s="190"/>
      <c r="W209" s="190"/>
      <c r="X209" s="190"/>
      <c r="Y209" s="56"/>
    </row>
    <row r="210">
      <c r="A210" s="220" t="s">
        <v>346</v>
      </c>
      <c r="B210" s="130"/>
      <c r="C210" s="130"/>
      <c r="D210" s="130"/>
      <c r="E210" s="199"/>
      <c r="F210" s="130"/>
      <c r="G210" s="130"/>
      <c r="H210" s="130"/>
      <c r="I210" s="130"/>
      <c r="J210" s="130"/>
      <c r="K210" s="130"/>
      <c r="L210" s="130" t="str">
        <f>IFERROR(__xludf.DUMMYFUNCTION("IF(OR(A210="""",D210=""""),"""",IFERROR(LET(data,GOOGLEFINANCE(""NSE:""&amp;UPPER(TRIM(A210)),""close"",D210-3,D210,""DAILY""),INDEX(data,ROWS(data),2)),""Not Available""))"),"")</f>
        <v/>
      </c>
      <c r="M210" s="131">
        <f>IFERROR(__xludf.DUMMYFUNCTION("IF(A210="""","""",IFERROR(GOOGLEFINANCE(""NSE:""&amp;UPPER(TRIM(A210)),""price""),""Not Available""))"),148.73)</f>
        <v>148.73</v>
      </c>
      <c r="N210" s="132" t="str">
        <f t="shared" si="21"/>
        <v>#DIV/0!</v>
      </c>
      <c r="O210" s="133" t="str">
        <f t="shared" si="22"/>
        <v>#DIV/0!</v>
      </c>
      <c r="P210" s="47" t="str">
        <f>IFERROR(__xludf.DUMMYFUNCTION("IF(OR(A210="""",E210=""""),"""",IFERROR(LET(data,GOOGLEFINANCE(""NSE:""&amp;UPPER(TRIM(A210)),""close"",E210-3,E210,""DAILY""),INDEX(data,ROWS(data),2)),""Not Available""))"),"")</f>
        <v/>
      </c>
      <c r="Q210" s="51"/>
      <c r="R210" s="188" t="str">
        <f t="shared" si="23"/>
        <v>#DIV/0!</v>
      </c>
      <c r="S210" s="51" t="str">
        <f>IFERROR(__xludf.DUMMYFUNCTION("IF(OR(A210="""",E210=""""),"""",IFERROR(LET(data,GOOGLEFINANCE(""NSE:""&amp;UPPER(TRIM(A210)),""close"",Q210-3,Q210,""DAILY""),INDEX(data,ROWS(data),2)),""Not Available""))"),"")</f>
        <v/>
      </c>
      <c r="T210" s="189" t="str">
        <f t="shared" si="24"/>
        <v>#DIV/0!</v>
      </c>
      <c r="U210" s="52" t="str">
        <f t="shared" si="25"/>
        <v>#DIV/0!</v>
      </c>
      <c r="V210" s="190"/>
      <c r="W210" s="190"/>
      <c r="X210" s="190"/>
      <c r="Y210" s="56"/>
    </row>
    <row r="211">
      <c r="A211" s="223" t="s">
        <v>349</v>
      </c>
      <c r="B211" s="130"/>
      <c r="C211" s="130"/>
      <c r="D211" s="130"/>
      <c r="E211" s="199"/>
      <c r="F211" s="130"/>
      <c r="G211" s="130"/>
      <c r="H211" s="130"/>
      <c r="I211" s="130"/>
      <c r="J211" s="130"/>
      <c r="K211" s="130"/>
      <c r="L211" s="130" t="str">
        <f>IFERROR(__xludf.DUMMYFUNCTION("IF(OR(A211="""",D211=""""),"""",IFERROR(LET(data,GOOGLEFINANCE(""NSE:""&amp;UPPER(TRIM(A211)),""close"",D211-3,D211,""DAILY""),INDEX(data,ROWS(data),2)),""Not Available""))"),"")</f>
        <v/>
      </c>
      <c r="M211" s="131">
        <f>IFERROR(__xludf.DUMMYFUNCTION("IF(A211="""","""",IFERROR(GOOGLEFINANCE(""NSE:""&amp;UPPER(TRIM(A211)),""price""),""Not Available""))"),3319.9)</f>
        <v>3319.9</v>
      </c>
      <c r="N211" s="132" t="str">
        <f t="shared" si="21"/>
        <v>#DIV/0!</v>
      </c>
      <c r="O211" s="133" t="str">
        <f t="shared" si="22"/>
        <v>#DIV/0!</v>
      </c>
      <c r="P211" s="47" t="str">
        <f>IFERROR(__xludf.DUMMYFUNCTION("IF(OR(A211="""",E211=""""),"""",IFERROR(LET(data,GOOGLEFINANCE(""NSE:""&amp;UPPER(TRIM(A211)),""close"",E211-3,E211,""DAILY""),INDEX(data,ROWS(data),2)),""Not Available""))"),"")</f>
        <v/>
      </c>
      <c r="Q211" s="51"/>
      <c r="R211" s="188" t="str">
        <f t="shared" si="23"/>
        <v>#DIV/0!</v>
      </c>
      <c r="S211" s="51" t="str">
        <f>IFERROR(__xludf.DUMMYFUNCTION("IF(OR(A211="""",E211=""""),"""",IFERROR(LET(data,GOOGLEFINANCE(""NSE:""&amp;UPPER(TRIM(A211)),""close"",Q211-3,Q211,""DAILY""),INDEX(data,ROWS(data),2)),""Not Available""))"),"")</f>
        <v/>
      </c>
      <c r="T211" s="189" t="str">
        <f t="shared" si="24"/>
        <v>#DIV/0!</v>
      </c>
      <c r="U211" s="52" t="str">
        <f t="shared" si="25"/>
        <v>#DIV/0!</v>
      </c>
      <c r="V211" s="190"/>
      <c r="W211" s="190"/>
      <c r="X211" s="190"/>
      <c r="Y211" s="56"/>
    </row>
    <row r="212">
      <c r="A212" s="220" t="s">
        <v>350</v>
      </c>
      <c r="B212" s="130"/>
      <c r="C212" s="130"/>
      <c r="D212" s="130"/>
      <c r="E212" s="199"/>
      <c r="F212" s="130"/>
      <c r="G212" s="130"/>
      <c r="H212" s="130"/>
      <c r="I212" s="130"/>
      <c r="J212" s="130"/>
      <c r="K212" s="130"/>
      <c r="L212" s="130" t="str">
        <f>IFERROR(__xludf.DUMMYFUNCTION("IF(OR(A212="""",D212=""""),"""",IFERROR(LET(data,GOOGLEFINANCE(""NSE:""&amp;UPPER(TRIM(A212)),""close"",D212-3,D212,""DAILY""),INDEX(data,ROWS(data),2)),""Not Available""))"),"")</f>
        <v/>
      </c>
      <c r="M212" s="131">
        <f>IFERROR(__xludf.DUMMYFUNCTION("IF(A212="""","""",IFERROR(GOOGLEFINANCE(""NSE:""&amp;UPPER(TRIM(A212)),""price""),""Not Available""))"),739.9)</f>
        <v>739.9</v>
      </c>
      <c r="N212" s="132" t="str">
        <f t="shared" si="21"/>
        <v>#DIV/0!</v>
      </c>
      <c r="O212" s="133" t="str">
        <f t="shared" si="22"/>
        <v>#DIV/0!</v>
      </c>
      <c r="P212" s="47" t="str">
        <f>IFERROR(__xludf.DUMMYFUNCTION("IF(OR(A212="""",E212=""""),"""",IFERROR(LET(data,GOOGLEFINANCE(""NSE:""&amp;UPPER(TRIM(A212)),""close"",E212-3,E212,""DAILY""),INDEX(data,ROWS(data),2)),""Not Available""))"),"")</f>
        <v/>
      </c>
      <c r="Q212" s="51"/>
      <c r="R212" s="188" t="str">
        <f t="shared" si="23"/>
        <v>#DIV/0!</v>
      </c>
      <c r="S212" s="51" t="str">
        <f>IFERROR(__xludf.DUMMYFUNCTION("IF(OR(A212="""",E212=""""),"""",IFERROR(LET(data,GOOGLEFINANCE(""NSE:""&amp;UPPER(TRIM(A212)),""close"",Q212-3,Q212,""DAILY""),INDEX(data,ROWS(data),2)),""Not Available""))"),"")</f>
        <v/>
      </c>
      <c r="T212" s="189" t="str">
        <f t="shared" si="24"/>
        <v>#DIV/0!</v>
      </c>
      <c r="U212" s="52" t="str">
        <f t="shared" si="25"/>
        <v>#DIV/0!</v>
      </c>
      <c r="V212" s="190"/>
      <c r="W212" s="190"/>
      <c r="X212" s="190"/>
      <c r="Y212" s="56"/>
    </row>
    <row r="213">
      <c r="A213" s="223" t="s">
        <v>352</v>
      </c>
      <c r="B213" s="130"/>
      <c r="C213" s="130"/>
      <c r="D213" s="130"/>
      <c r="E213" s="199"/>
      <c r="F213" s="130"/>
      <c r="G213" s="130"/>
      <c r="H213" s="130"/>
      <c r="I213" s="130"/>
      <c r="J213" s="130"/>
      <c r="K213" s="130"/>
      <c r="L213" s="130" t="str">
        <f>IFERROR(__xludf.DUMMYFUNCTION("IF(OR(A213="""",D213=""""),"""",IFERROR(LET(data,GOOGLEFINANCE(""NSE:""&amp;UPPER(TRIM(A213)),""close"",D213-3,D213,""DAILY""),INDEX(data,ROWS(data),2)),""Not Available""))"),"")</f>
        <v/>
      </c>
      <c r="M213" s="131">
        <f>IFERROR(__xludf.DUMMYFUNCTION("IF(A213="""","""",IFERROR(GOOGLEFINANCE(""NSE:""&amp;UPPER(TRIM(A213)),""price""),""Not Available""))"),215.06)</f>
        <v>215.06</v>
      </c>
      <c r="N213" s="132" t="str">
        <f t="shared" si="21"/>
        <v>#DIV/0!</v>
      </c>
      <c r="O213" s="133" t="str">
        <f t="shared" si="22"/>
        <v>#DIV/0!</v>
      </c>
      <c r="P213" s="47" t="str">
        <f>IFERROR(__xludf.DUMMYFUNCTION("IF(OR(A213="""",E213=""""),"""",IFERROR(LET(data,GOOGLEFINANCE(""NSE:""&amp;UPPER(TRIM(A213)),""close"",E213-3,E213,""DAILY""),INDEX(data,ROWS(data),2)),""Not Available""))"),"")</f>
        <v/>
      </c>
      <c r="Q213" s="51"/>
      <c r="R213" s="188" t="str">
        <f t="shared" si="23"/>
        <v>#DIV/0!</v>
      </c>
      <c r="S213" s="51" t="str">
        <f>IFERROR(__xludf.DUMMYFUNCTION("IF(OR(A213="""",E213=""""),"""",IFERROR(LET(data,GOOGLEFINANCE(""NSE:""&amp;UPPER(TRIM(A213)),""close"",Q213-3,Q213,""DAILY""),INDEX(data,ROWS(data),2)),""Not Available""))"),"")</f>
        <v/>
      </c>
      <c r="T213" s="189" t="str">
        <f t="shared" si="24"/>
        <v>#DIV/0!</v>
      </c>
      <c r="U213" s="52" t="str">
        <f t="shared" si="25"/>
        <v>#DIV/0!</v>
      </c>
      <c r="V213" s="190"/>
      <c r="W213" s="190"/>
      <c r="X213" s="190"/>
      <c r="Y213" s="56"/>
    </row>
    <row r="214">
      <c r="A214" s="220" t="s">
        <v>353</v>
      </c>
      <c r="B214" s="130"/>
      <c r="C214" s="130"/>
      <c r="D214" s="130"/>
      <c r="E214" s="199"/>
      <c r="F214" s="130"/>
      <c r="G214" s="130"/>
      <c r="H214" s="130"/>
      <c r="I214" s="130"/>
      <c r="J214" s="130"/>
      <c r="K214" s="130"/>
      <c r="L214" s="130" t="str">
        <f>IFERROR(__xludf.DUMMYFUNCTION("IF(OR(A214="""",D214=""""),"""",IFERROR(LET(data,GOOGLEFINANCE(""NSE:""&amp;UPPER(TRIM(A214)),""close"",D214-3,D214,""DAILY""),INDEX(data,ROWS(data),2)),""Not Available""))"),"")</f>
        <v/>
      </c>
      <c r="M214" s="131">
        <f>IFERROR(__xludf.DUMMYFUNCTION("IF(A214="""","""",IFERROR(GOOGLEFINANCE(""NSE:""&amp;UPPER(TRIM(A214)),""price""),""Not Available""))"),260.0)</f>
        <v>260</v>
      </c>
      <c r="N214" s="132" t="str">
        <f t="shared" si="21"/>
        <v>#DIV/0!</v>
      </c>
      <c r="O214" s="133" t="str">
        <f t="shared" si="22"/>
        <v>#DIV/0!</v>
      </c>
      <c r="P214" s="47" t="str">
        <f>IFERROR(__xludf.DUMMYFUNCTION("IF(OR(A214="""",E214=""""),"""",IFERROR(LET(data,GOOGLEFINANCE(""NSE:""&amp;UPPER(TRIM(A214)),""close"",E214-3,E214,""DAILY""),INDEX(data,ROWS(data),2)),""Not Available""))"),"")</f>
        <v/>
      </c>
      <c r="Q214" s="51"/>
      <c r="R214" s="188" t="str">
        <f t="shared" si="23"/>
        <v>#DIV/0!</v>
      </c>
      <c r="S214" s="51" t="str">
        <f>IFERROR(__xludf.DUMMYFUNCTION("IF(OR(A214="""",E214=""""),"""",IFERROR(LET(data,GOOGLEFINANCE(""NSE:""&amp;UPPER(TRIM(A214)),""close"",Q214-3,Q214,""DAILY""),INDEX(data,ROWS(data),2)),""Not Available""))"),"")</f>
        <v/>
      </c>
      <c r="T214" s="189" t="str">
        <f t="shared" si="24"/>
        <v>#DIV/0!</v>
      </c>
      <c r="U214" s="52" t="str">
        <f t="shared" si="25"/>
        <v>#DIV/0!</v>
      </c>
      <c r="V214" s="190"/>
      <c r="W214" s="190"/>
      <c r="X214" s="190"/>
      <c r="Y214" s="56"/>
    </row>
    <row r="215">
      <c r="A215" s="220" t="s">
        <v>142</v>
      </c>
      <c r="B215" s="130"/>
      <c r="C215" s="130"/>
      <c r="D215" s="130"/>
      <c r="E215" s="199"/>
      <c r="F215" s="130"/>
      <c r="G215" s="130"/>
      <c r="H215" s="130"/>
      <c r="I215" s="130"/>
      <c r="J215" s="130"/>
      <c r="K215" s="130"/>
      <c r="L215" s="130" t="str">
        <f>IFERROR(__xludf.DUMMYFUNCTION("IF(OR(A215="""",D215=""""),"""",IFERROR(LET(data,GOOGLEFINANCE(""NSE:""&amp;UPPER(TRIM(A215)),""close"",D215-3,D215,""DAILY""),INDEX(data,ROWS(data),2)),""Not Available""))"),"")</f>
        <v/>
      </c>
      <c r="M215" s="131">
        <f>IFERROR(__xludf.DUMMYFUNCTION("IF(A215="""","""",IFERROR(GOOGLEFINANCE(""NSE:""&amp;UPPER(TRIM(A215)),""price""),""Not Available""))"),1655.8)</f>
        <v>1655.8</v>
      </c>
      <c r="N215" s="132" t="str">
        <f t="shared" si="21"/>
        <v>#DIV/0!</v>
      </c>
      <c r="O215" s="133" t="str">
        <f t="shared" si="22"/>
        <v>#DIV/0!</v>
      </c>
      <c r="P215" s="47" t="str">
        <f>IFERROR(__xludf.DUMMYFUNCTION("IF(OR(A215="""",E215=""""),"""",IFERROR(LET(data,GOOGLEFINANCE(""NSE:""&amp;UPPER(TRIM(A215)),""close"",E215-3,E215,""DAILY""),INDEX(data,ROWS(data),2)),""Not Available""))"),"")</f>
        <v/>
      </c>
      <c r="Q215" s="51"/>
      <c r="R215" s="188" t="str">
        <f t="shared" si="23"/>
        <v>#DIV/0!</v>
      </c>
      <c r="S215" s="51" t="str">
        <f>IFERROR(__xludf.DUMMYFUNCTION("IF(OR(A215="""",E215=""""),"""",IFERROR(LET(data,GOOGLEFINANCE(""NSE:""&amp;UPPER(TRIM(A215)),""close"",Q215-3,Q215,""DAILY""),INDEX(data,ROWS(data),2)),""Not Available""))"),"")</f>
        <v/>
      </c>
      <c r="T215" s="189" t="str">
        <f t="shared" si="24"/>
        <v>#DIV/0!</v>
      </c>
      <c r="U215" s="52" t="str">
        <f t="shared" si="25"/>
        <v>#DIV/0!</v>
      </c>
      <c r="V215" s="190"/>
      <c r="W215" s="190"/>
      <c r="X215" s="190"/>
      <c r="Y215" s="56"/>
    </row>
    <row r="216">
      <c r="A216" s="220" t="s">
        <v>354</v>
      </c>
      <c r="B216" s="130"/>
      <c r="C216" s="130"/>
      <c r="D216" s="130"/>
      <c r="E216" s="199"/>
      <c r="F216" s="130"/>
      <c r="G216" s="130"/>
      <c r="H216" s="130"/>
      <c r="I216" s="130"/>
      <c r="J216" s="130"/>
      <c r="K216" s="130"/>
      <c r="L216" s="130" t="str">
        <f>IFERROR(__xludf.DUMMYFUNCTION("IF(OR(A216="""",D216=""""),"""",IFERROR(LET(data,GOOGLEFINANCE(""NSE:""&amp;UPPER(TRIM(A216)),""close"",D216-3,D216,""DAILY""),INDEX(data,ROWS(data),2)),""Not Available""))"),"")</f>
        <v/>
      </c>
      <c r="M216" s="131">
        <f>IFERROR(__xludf.DUMMYFUNCTION("IF(A216="""","""",IFERROR(GOOGLEFINANCE(""NSE:""&amp;UPPER(TRIM(A216)),""price""),""Not Available""))"),1740.0)</f>
        <v>1740</v>
      </c>
      <c r="N216" s="132" t="str">
        <f t="shared" si="21"/>
        <v>#DIV/0!</v>
      </c>
      <c r="O216" s="133" t="str">
        <f t="shared" si="22"/>
        <v>#DIV/0!</v>
      </c>
      <c r="P216" s="47" t="str">
        <f>IFERROR(__xludf.DUMMYFUNCTION("IF(OR(A216="""",E216=""""),"""",IFERROR(LET(data,GOOGLEFINANCE(""NSE:""&amp;UPPER(TRIM(A216)),""close"",E216-3,E216,""DAILY""),INDEX(data,ROWS(data),2)),""Not Available""))"),"")</f>
        <v/>
      </c>
      <c r="Q216" s="51"/>
      <c r="R216" s="188" t="str">
        <f t="shared" si="23"/>
        <v>#DIV/0!</v>
      </c>
      <c r="S216" s="51" t="str">
        <f>IFERROR(__xludf.DUMMYFUNCTION("IF(OR(A216="""",E216=""""),"""",IFERROR(LET(data,GOOGLEFINANCE(""NSE:""&amp;UPPER(TRIM(A216)),""close"",Q216-3,Q216,""DAILY""),INDEX(data,ROWS(data),2)),""Not Available""))"),"")</f>
        <v/>
      </c>
      <c r="T216" s="189" t="str">
        <f t="shared" si="24"/>
        <v>#DIV/0!</v>
      </c>
      <c r="U216" s="52" t="str">
        <f t="shared" si="25"/>
        <v>#DIV/0!</v>
      </c>
      <c r="V216" s="190"/>
      <c r="W216" s="190"/>
      <c r="X216" s="190"/>
      <c r="Y216" s="56"/>
    </row>
    <row r="217">
      <c r="A217" s="220" t="s">
        <v>355</v>
      </c>
      <c r="B217" s="130"/>
      <c r="C217" s="130"/>
      <c r="D217" s="130"/>
      <c r="E217" s="199"/>
      <c r="F217" s="130"/>
      <c r="G217" s="130"/>
      <c r="H217" s="130"/>
      <c r="I217" s="130"/>
      <c r="J217" s="130"/>
      <c r="K217" s="130"/>
      <c r="L217" s="130" t="str">
        <f>IFERROR(__xludf.DUMMYFUNCTION("IF(OR(A217="""",D217=""""),"""",IFERROR(LET(data,GOOGLEFINANCE(""NSE:""&amp;UPPER(TRIM(A217)),""close"",D217-3,D217,""DAILY""),INDEX(data,ROWS(data),2)),""Not Available""))"),"")</f>
        <v/>
      </c>
      <c r="M217" s="131">
        <f>IFERROR(__xludf.DUMMYFUNCTION("IF(A217="""","""",IFERROR(GOOGLEFINANCE(""NSE:""&amp;UPPER(TRIM(A217)),""price""),""Not Available""))"),76.4)</f>
        <v>76.4</v>
      </c>
      <c r="N217" s="132" t="str">
        <f t="shared" si="21"/>
        <v>#DIV/0!</v>
      </c>
      <c r="O217" s="133" t="str">
        <f t="shared" si="22"/>
        <v>#DIV/0!</v>
      </c>
      <c r="P217" s="47" t="str">
        <f>IFERROR(__xludf.DUMMYFUNCTION("IF(OR(A217="""",E217=""""),"""",IFERROR(LET(data,GOOGLEFINANCE(""NSE:""&amp;UPPER(TRIM(A217)),""close"",E217-3,E217,""DAILY""),INDEX(data,ROWS(data),2)),""Not Available""))"),"")</f>
        <v/>
      </c>
      <c r="Q217" s="51"/>
      <c r="R217" s="188" t="str">
        <f t="shared" si="23"/>
        <v>#DIV/0!</v>
      </c>
      <c r="S217" s="51" t="str">
        <f>IFERROR(__xludf.DUMMYFUNCTION("IF(OR(A217="""",E217=""""),"""",IFERROR(LET(data,GOOGLEFINANCE(""NSE:""&amp;UPPER(TRIM(A217)),""close"",Q217-3,Q217,""DAILY""),INDEX(data,ROWS(data),2)),""Not Available""))"),"")</f>
        <v/>
      </c>
      <c r="T217" s="189" t="str">
        <f t="shared" si="24"/>
        <v>#DIV/0!</v>
      </c>
      <c r="U217" s="52" t="str">
        <f t="shared" si="25"/>
        <v>#DIV/0!</v>
      </c>
      <c r="V217" s="190"/>
      <c r="W217" s="190"/>
      <c r="X217" s="190"/>
      <c r="Y217" s="56"/>
    </row>
    <row r="218">
      <c r="A218" s="223" t="s">
        <v>96</v>
      </c>
      <c r="B218" s="130"/>
      <c r="C218" s="130"/>
      <c r="D218" s="130"/>
      <c r="E218" s="199"/>
      <c r="F218" s="130"/>
      <c r="G218" s="130"/>
      <c r="H218" s="130"/>
      <c r="I218" s="130"/>
      <c r="J218" s="130"/>
      <c r="K218" s="130"/>
      <c r="L218" s="130" t="str">
        <f>IFERROR(__xludf.DUMMYFUNCTION("IF(OR(A218="""",D218=""""),"""",IFERROR(LET(data,GOOGLEFINANCE(""NSE:""&amp;UPPER(TRIM(A218)),""close"",D218-3,D218,""DAILY""),INDEX(data,ROWS(data),2)),""Not Available""))"),"")</f>
        <v/>
      </c>
      <c r="M218" s="131">
        <f>IFERROR(__xludf.DUMMYFUNCTION("IF(A218="""","""",IFERROR(GOOGLEFINANCE(""NSE:""&amp;UPPER(TRIM(A218)),""price""),""Not Available""))"),203.69)</f>
        <v>203.69</v>
      </c>
      <c r="N218" s="132" t="str">
        <f t="shared" si="21"/>
        <v>#DIV/0!</v>
      </c>
      <c r="O218" s="133" t="str">
        <f t="shared" si="22"/>
        <v>#DIV/0!</v>
      </c>
      <c r="P218" s="47" t="str">
        <f>IFERROR(__xludf.DUMMYFUNCTION("IF(OR(A218="""",E218=""""),"""",IFERROR(LET(data,GOOGLEFINANCE(""NSE:""&amp;UPPER(TRIM(A218)),""close"",E218-3,E218,""DAILY""),INDEX(data,ROWS(data),2)),""Not Available""))"),"")</f>
        <v/>
      </c>
      <c r="Q218" s="51"/>
      <c r="R218" s="188" t="str">
        <f t="shared" si="23"/>
        <v>#DIV/0!</v>
      </c>
      <c r="S218" s="51" t="str">
        <f>IFERROR(__xludf.DUMMYFUNCTION("IF(OR(A218="""",E218=""""),"""",IFERROR(LET(data,GOOGLEFINANCE(""NSE:""&amp;UPPER(TRIM(A218)),""close"",Q218-3,Q218,""DAILY""),INDEX(data,ROWS(data),2)),""Not Available""))"),"")</f>
        <v/>
      </c>
      <c r="T218" s="189" t="str">
        <f t="shared" si="24"/>
        <v>#DIV/0!</v>
      </c>
      <c r="U218" s="52" t="str">
        <f t="shared" si="25"/>
        <v>#DIV/0!</v>
      </c>
      <c r="V218" s="190"/>
      <c r="W218" s="190"/>
      <c r="X218" s="190"/>
      <c r="Y218" s="56"/>
    </row>
    <row r="219">
      <c r="A219" s="220" t="s">
        <v>354</v>
      </c>
      <c r="B219" s="130"/>
      <c r="C219" s="130"/>
      <c r="D219" s="130"/>
      <c r="E219" s="199"/>
      <c r="F219" s="130"/>
      <c r="G219" s="130"/>
      <c r="H219" s="130"/>
      <c r="I219" s="130"/>
      <c r="J219" s="130"/>
      <c r="K219" s="130"/>
      <c r="L219" s="130" t="str">
        <f>IFERROR(__xludf.DUMMYFUNCTION("IF(OR(A219="""",D219=""""),"""",IFERROR(LET(data,GOOGLEFINANCE(""NSE:""&amp;UPPER(TRIM(A219)),""close"",D219-3,D219,""DAILY""),INDEX(data,ROWS(data),2)),""Not Available""))"),"")</f>
        <v/>
      </c>
      <c r="M219" s="131">
        <f>IFERROR(__xludf.DUMMYFUNCTION("IF(A219="""","""",IFERROR(GOOGLEFINANCE(""NSE:""&amp;UPPER(TRIM(A219)),""price""),""Not Available""))"),1740.0)</f>
        <v>1740</v>
      </c>
      <c r="N219" s="132" t="str">
        <f t="shared" si="21"/>
        <v>#DIV/0!</v>
      </c>
      <c r="O219" s="133" t="str">
        <f t="shared" si="22"/>
        <v>#DIV/0!</v>
      </c>
      <c r="P219" s="47" t="str">
        <f>IFERROR(__xludf.DUMMYFUNCTION("IF(OR(A219="""",E219=""""),"""",IFERROR(LET(data,GOOGLEFINANCE(""NSE:""&amp;UPPER(TRIM(A219)),""close"",E219-3,E219,""DAILY""),INDEX(data,ROWS(data),2)),""Not Available""))"),"")</f>
        <v/>
      </c>
      <c r="Q219" s="51"/>
      <c r="R219" s="188" t="str">
        <f t="shared" si="23"/>
        <v>#DIV/0!</v>
      </c>
      <c r="S219" s="51" t="str">
        <f>IFERROR(__xludf.DUMMYFUNCTION("IF(OR(A219="""",E219=""""),"""",IFERROR(LET(data,GOOGLEFINANCE(""NSE:""&amp;UPPER(TRIM(A219)),""close"",Q219-3,Q219,""DAILY""),INDEX(data,ROWS(data),2)),""Not Available""))"),"")</f>
        <v/>
      </c>
      <c r="T219" s="189" t="str">
        <f t="shared" si="24"/>
        <v>#DIV/0!</v>
      </c>
      <c r="U219" s="52" t="str">
        <f t="shared" si="25"/>
        <v>#DIV/0!</v>
      </c>
      <c r="V219" s="190"/>
      <c r="W219" s="190"/>
      <c r="X219" s="190"/>
      <c r="Y219" s="56"/>
    </row>
    <row r="220">
      <c r="A220" s="220" t="s">
        <v>358</v>
      </c>
      <c r="B220" s="130"/>
      <c r="C220" s="130"/>
      <c r="D220" s="130"/>
      <c r="E220" s="199"/>
      <c r="F220" s="130"/>
      <c r="G220" s="130"/>
      <c r="H220" s="130"/>
      <c r="I220" s="130"/>
      <c r="J220" s="130"/>
      <c r="K220" s="130"/>
      <c r="L220" s="130" t="str">
        <f>IFERROR(__xludf.DUMMYFUNCTION("IF(OR(A220="""",D220=""""),"""",IFERROR(LET(data,GOOGLEFINANCE(""NSE:""&amp;UPPER(TRIM(A220)),""close"",D220-3,D220,""DAILY""),INDEX(data,ROWS(data),2)),""Not Available""))"),"")</f>
        <v/>
      </c>
      <c r="M220" s="131">
        <f>IFERROR(__xludf.DUMMYFUNCTION("IF(A220="""","""",IFERROR(GOOGLEFINANCE(""NSE:""&amp;UPPER(TRIM(A220)),""price""),""Not Available""))"),20.19)</f>
        <v>20.19</v>
      </c>
      <c r="N220" s="132" t="str">
        <f t="shared" si="21"/>
        <v>#DIV/0!</v>
      </c>
      <c r="O220" s="133" t="str">
        <f t="shared" si="22"/>
        <v>#DIV/0!</v>
      </c>
      <c r="P220" s="47" t="str">
        <f>IFERROR(__xludf.DUMMYFUNCTION("IF(OR(A220="""",E220=""""),"""",IFERROR(LET(data,GOOGLEFINANCE(""NSE:""&amp;UPPER(TRIM(A220)),""close"",E220-3,E220,""DAILY""),INDEX(data,ROWS(data),2)),""Not Available""))"),"")</f>
        <v/>
      </c>
      <c r="Q220" s="51"/>
      <c r="R220" s="188" t="str">
        <f t="shared" si="23"/>
        <v>#DIV/0!</v>
      </c>
      <c r="S220" s="51" t="str">
        <f>IFERROR(__xludf.DUMMYFUNCTION("IF(OR(A220="""",E220=""""),"""",IFERROR(LET(data,GOOGLEFINANCE(""NSE:""&amp;UPPER(TRIM(A220)),""close"",Q220-3,Q220,""DAILY""),INDEX(data,ROWS(data),2)),""Not Available""))"),"")</f>
        <v/>
      </c>
      <c r="T220" s="189" t="str">
        <f t="shared" si="24"/>
        <v>#DIV/0!</v>
      </c>
      <c r="U220" s="52" t="str">
        <f t="shared" si="25"/>
        <v>#DIV/0!</v>
      </c>
      <c r="V220" s="190"/>
      <c r="W220" s="190"/>
      <c r="X220" s="190"/>
      <c r="Y220" s="56"/>
    </row>
    <row r="221">
      <c r="A221" s="220" t="s">
        <v>359</v>
      </c>
      <c r="B221" s="130"/>
      <c r="C221" s="130"/>
      <c r="D221" s="130"/>
      <c r="E221" s="199"/>
      <c r="F221" s="130"/>
      <c r="G221" s="130"/>
      <c r="H221" s="130"/>
      <c r="I221" s="130"/>
      <c r="J221" s="130"/>
      <c r="K221" s="130"/>
      <c r="L221" s="130" t="str">
        <f>IFERROR(__xludf.DUMMYFUNCTION("IF(OR(A221="""",D221=""""),"""",IFERROR(LET(data,GOOGLEFINANCE(""NSE:""&amp;UPPER(TRIM(A221)),""close"",D221-3,D221,""DAILY""),INDEX(data,ROWS(data),2)),""Not Available""))"),"")</f>
        <v/>
      </c>
      <c r="M221" s="131">
        <f>IFERROR(__xludf.DUMMYFUNCTION("IF(A221="""","""",IFERROR(GOOGLEFINANCE(""NSE:""&amp;UPPER(TRIM(A221)),""price""),""Not Available""))"),291.75)</f>
        <v>291.75</v>
      </c>
      <c r="N221" s="132" t="str">
        <f t="shared" si="21"/>
        <v>#DIV/0!</v>
      </c>
      <c r="O221" s="133" t="str">
        <f t="shared" si="22"/>
        <v>#DIV/0!</v>
      </c>
      <c r="P221" s="47" t="str">
        <f>IFERROR(__xludf.DUMMYFUNCTION("IF(OR(A221="""",E221=""""),"""",IFERROR(LET(data,GOOGLEFINANCE(""NSE:""&amp;UPPER(TRIM(A221)),""close"",E221-3,E221,""DAILY""),INDEX(data,ROWS(data),2)),""Not Available""))"),"")</f>
        <v/>
      </c>
      <c r="Q221" s="51"/>
      <c r="R221" s="188" t="str">
        <f t="shared" si="23"/>
        <v>#DIV/0!</v>
      </c>
      <c r="S221" s="51" t="str">
        <f>IFERROR(__xludf.DUMMYFUNCTION("IF(OR(A221="""",E221=""""),"""",IFERROR(LET(data,GOOGLEFINANCE(""NSE:""&amp;UPPER(TRIM(A221)),""close"",Q221-3,Q221,""DAILY""),INDEX(data,ROWS(data),2)),""Not Available""))"),"")</f>
        <v/>
      </c>
      <c r="T221" s="189" t="str">
        <f t="shared" si="24"/>
        <v>#DIV/0!</v>
      </c>
      <c r="U221" s="52" t="str">
        <f t="shared" si="25"/>
        <v>#DIV/0!</v>
      </c>
      <c r="V221" s="190"/>
      <c r="W221" s="190"/>
      <c r="X221" s="190"/>
      <c r="Y221" s="56"/>
    </row>
    <row r="222">
      <c r="A222" s="220" t="s">
        <v>361</v>
      </c>
      <c r="B222" s="130"/>
      <c r="C222" s="130"/>
      <c r="D222" s="130"/>
      <c r="E222" s="199"/>
      <c r="F222" s="130"/>
      <c r="G222" s="130"/>
      <c r="H222" s="130"/>
      <c r="I222" s="130"/>
      <c r="J222" s="130"/>
      <c r="K222" s="130"/>
      <c r="L222" s="130" t="str">
        <f>IFERROR(__xludf.DUMMYFUNCTION("IF(OR(A222="""",D222=""""),"""",IFERROR(LET(data,GOOGLEFINANCE(""NSE:""&amp;UPPER(TRIM(A222)),""close"",D222-3,D222,""DAILY""),INDEX(data,ROWS(data),2)),""Not Available""))"),"")</f>
        <v/>
      </c>
      <c r="M222" s="131">
        <f>IFERROR(__xludf.DUMMYFUNCTION("IF(A222="""","""",IFERROR(GOOGLEFINANCE(""NSE:""&amp;UPPER(TRIM(A222)),""price""),""Not Available""))"),526.9)</f>
        <v>526.9</v>
      </c>
      <c r="N222" s="132" t="str">
        <f t="shared" si="21"/>
        <v>#DIV/0!</v>
      </c>
      <c r="O222" s="133" t="str">
        <f t="shared" si="22"/>
        <v>#DIV/0!</v>
      </c>
      <c r="P222" s="47" t="str">
        <f>IFERROR(__xludf.DUMMYFUNCTION("IF(OR(A222="""",E222=""""),"""",IFERROR(LET(data,GOOGLEFINANCE(""NSE:""&amp;UPPER(TRIM(A222)),""close"",E222-3,E222,""DAILY""),INDEX(data,ROWS(data),2)),""Not Available""))"),"")</f>
        <v/>
      </c>
      <c r="Q222" s="51"/>
      <c r="R222" s="188" t="str">
        <f t="shared" si="23"/>
        <v>#DIV/0!</v>
      </c>
      <c r="S222" s="51" t="str">
        <f>IFERROR(__xludf.DUMMYFUNCTION("IF(OR(A222="""",E222=""""),"""",IFERROR(LET(data,GOOGLEFINANCE(""NSE:""&amp;UPPER(TRIM(A222)),""close"",Q222-3,Q222,""DAILY""),INDEX(data,ROWS(data),2)),""Not Available""))"),"")</f>
        <v/>
      </c>
      <c r="T222" s="189" t="str">
        <f t="shared" si="24"/>
        <v>#DIV/0!</v>
      </c>
      <c r="U222" s="52" t="str">
        <f t="shared" si="25"/>
        <v>#DIV/0!</v>
      </c>
      <c r="V222" s="190"/>
      <c r="W222" s="190"/>
      <c r="X222" s="190"/>
      <c r="Y222" s="56"/>
    </row>
    <row r="223">
      <c r="A223" s="220" t="s">
        <v>362</v>
      </c>
      <c r="B223" s="130"/>
      <c r="C223" s="130"/>
      <c r="D223" s="130"/>
      <c r="E223" s="199"/>
      <c r="F223" s="130"/>
      <c r="G223" s="130"/>
      <c r="H223" s="130"/>
      <c r="I223" s="130"/>
      <c r="J223" s="130"/>
      <c r="K223" s="130"/>
      <c r="L223" s="130" t="str">
        <f>IFERROR(__xludf.DUMMYFUNCTION("IF(OR(A223="""",D223=""""),"""",IFERROR(LET(data,GOOGLEFINANCE(""NSE:""&amp;UPPER(TRIM(A223)),""close"",D223-3,D223,""DAILY""),INDEX(data,ROWS(data),2)),""Not Available""))"),"")</f>
        <v/>
      </c>
      <c r="M223" s="131">
        <f>IFERROR(__xludf.DUMMYFUNCTION("IF(A223="""","""",IFERROR(GOOGLEFINANCE(""NSE:""&amp;UPPER(TRIM(A223)),""price""),""Not Available""))"),161.29)</f>
        <v>161.29</v>
      </c>
      <c r="N223" s="132" t="str">
        <f t="shared" si="21"/>
        <v>#DIV/0!</v>
      </c>
      <c r="O223" s="133" t="str">
        <f t="shared" si="22"/>
        <v>#DIV/0!</v>
      </c>
      <c r="P223" s="47" t="str">
        <f>IFERROR(__xludf.DUMMYFUNCTION("IF(OR(A223="""",E223=""""),"""",IFERROR(LET(data,GOOGLEFINANCE(""NSE:""&amp;UPPER(TRIM(A223)),""close"",E223-3,E223,""DAILY""),INDEX(data,ROWS(data),2)),""Not Available""))"),"")</f>
        <v/>
      </c>
      <c r="Q223" s="51"/>
      <c r="R223" s="188" t="str">
        <f t="shared" si="23"/>
        <v>#DIV/0!</v>
      </c>
      <c r="S223" s="51" t="str">
        <f>IFERROR(__xludf.DUMMYFUNCTION("IF(OR(A223="""",E223=""""),"""",IFERROR(LET(data,GOOGLEFINANCE(""NSE:""&amp;UPPER(TRIM(A223)),""close"",Q223-3,Q223,""DAILY""),INDEX(data,ROWS(data),2)),""Not Available""))"),"")</f>
        <v/>
      </c>
      <c r="T223" s="189" t="str">
        <f t="shared" si="24"/>
        <v>#DIV/0!</v>
      </c>
      <c r="U223" s="52" t="str">
        <f t="shared" si="25"/>
        <v>#DIV/0!</v>
      </c>
      <c r="V223" s="190"/>
      <c r="W223" s="190"/>
      <c r="X223" s="190"/>
      <c r="Y223" s="56"/>
    </row>
    <row r="224">
      <c r="A224" s="220" t="s">
        <v>364</v>
      </c>
      <c r="B224" s="130"/>
      <c r="C224" s="130"/>
      <c r="D224" s="130"/>
      <c r="E224" s="199"/>
      <c r="F224" s="130"/>
      <c r="G224" s="130"/>
      <c r="H224" s="130"/>
      <c r="I224" s="130"/>
      <c r="J224" s="130"/>
      <c r="K224" s="130"/>
      <c r="L224" s="130" t="str">
        <f>IFERROR(__xludf.DUMMYFUNCTION("IF(OR(A224="""",D224=""""),"""",IFERROR(LET(data,GOOGLEFINANCE(""NSE:""&amp;UPPER(TRIM(A224)),""close"",D224-3,D224,""DAILY""),INDEX(data,ROWS(data),2)),""Not Available""))"),"")</f>
        <v/>
      </c>
      <c r="M224" s="131">
        <f>IFERROR(__xludf.DUMMYFUNCTION("IF(A224="""","""",IFERROR(GOOGLEFINANCE(""NSE:""&amp;UPPER(TRIM(A224)),""price""),""Not Available""))"),602.9)</f>
        <v>602.9</v>
      </c>
      <c r="N224" s="132" t="str">
        <f t="shared" si="21"/>
        <v>#DIV/0!</v>
      </c>
      <c r="O224" s="133" t="str">
        <f t="shared" si="22"/>
        <v>#DIV/0!</v>
      </c>
      <c r="P224" s="47" t="str">
        <f>IFERROR(__xludf.DUMMYFUNCTION("IF(OR(A224="""",E224=""""),"""",IFERROR(LET(data,GOOGLEFINANCE(""NSE:""&amp;UPPER(TRIM(A224)),""close"",E224-3,E224,""DAILY""),INDEX(data,ROWS(data),2)),""Not Available""))"),"")</f>
        <v/>
      </c>
      <c r="Q224" s="51"/>
      <c r="R224" s="188" t="str">
        <f t="shared" si="23"/>
        <v>#DIV/0!</v>
      </c>
      <c r="S224" s="51" t="str">
        <f>IFERROR(__xludf.DUMMYFUNCTION("IF(OR(A224="""",E224=""""),"""",IFERROR(LET(data,GOOGLEFINANCE(""NSE:""&amp;UPPER(TRIM(A224)),""close"",Q224-3,Q224,""DAILY""),INDEX(data,ROWS(data),2)),""Not Available""))"),"")</f>
        <v/>
      </c>
      <c r="T224" s="189" t="str">
        <f t="shared" si="24"/>
        <v>#DIV/0!</v>
      </c>
      <c r="U224" s="52" t="str">
        <f t="shared" si="25"/>
        <v>#DIV/0!</v>
      </c>
      <c r="V224" s="190"/>
      <c r="W224" s="190"/>
      <c r="X224" s="190"/>
      <c r="Y224" s="56"/>
    </row>
    <row r="225">
      <c r="A225" s="220" t="s">
        <v>365</v>
      </c>
      <c r="B225" s="130"/>
      <c r="C225" s="130"/>
      <c r="D225" s="130"/>
      <c r="E225" s="199"/>
      <c r="F225" s="130"/>
      <c r="G225" s="130"/>
      <c r="H225" s="130"/>
      <c r="I225" s="130"/>
      <c r="J225" s="130"/>
      <c r="K225" s="130"/>
      <c r="L225" s="130" t="str">
        <f>IFERROR(__xludf.DUMMYFUNCTION("IF(OR(A225="""",D225=""""),"""",IFERROR(LET(data,GOOGLEFINANCE(""NSE:""&amp;UPPER(TRIM(A225)),""close"",D225-3,D225,""DAILY""),INDEX(data,ROWS(data),2)),""Not Available""))"),"")</f>
        <v/>
      </c>
      <c r="M225" s="131">
        <f>IFERROR(__xludf.DUMMYFUNCTION("IF(A225="""","""",IFERROR(GOOGLEFINANCE(""NSE:""&amp;UPPER(TRIM(A225)),""price""),""Not Available""))"),203.29)</f>
        <v>203.29</v>
      </c>
      <c r="N225" s="132" t="str">
        <f t="shared" si="21"/>
        <v>#DIV/0!</v>
      </c>
      <c r="O225" s="133" t="str">
        <f t="shared" si="22"/>
        <v>#DIV/0!</v>
      </c>
      <c r="P225" s="47" t="str">
        <f>IFERROR(__xludf.DUMMYFUNCTION("IF(OR(A225="""",E225=""""),"""",IFERROR(LET(data,GOOGLEFINANCE(""NSE:""&amp;UPPER(TRIM(A225)),""close"",E225-3,E225,""DAILY""),INDEX(data,ROWS(data),2)),""Not Available""))"),"")</f>
        <v/>
      </c>
      <c r="Q225" s="51"/>
      <c r="R225" s="188" t="str">
        <f t="shared" si="23"/>
        <v>#DIV/0!</v>
      </c>
      <c r="S225" s="51" t="str">
        <f>IFERROR(__xludf.DUMMYFUNCTION("IF(OR(A225="""",E225=""""),"""",IFERROR(LET(data,GOOGLEFINANCE(""NSE:""&amp;UPPER(TRIM(A225)),""close"",Q225-3,Q225,""DAILY""),INDEX(data,ROWS(data),2)),""Not Available""))"),"")</f>
        <v/>
      </c>
      <c r="T225" s="189" t="str">
        <f t="shared" si="24"/>
        <v>#DIV/0!</v>
      </c>
      <c r="U225" s="52" t="str">
        <f t="shared" si="25"/>
        <v>#DIV/0!</v>
      </c>
      <c r="V225" s="190"/>
      <c r="W225" s="190"/>
      <c r="X225" s="190"/>
      <c r="Y225" s="56"/>
    </row>
    <row r="226">
      <c r="A226" s="220" t="s">
        <v>367</v>
      </c>
      <c r="B226" s="130"/>
      <c r="C226" s="130"/>
      <c r="D226" s="130"/>
      <c r="E226" s="199"/>
      <c r="F226" s="130"/>
      <c r="G226" s="130"/>
      <c r="H226" s="130"/>
      <c r="I226" s="130"/>
      <c r="J226" s="130"/>
      <c r="K226" s="130"/>
      <c r="L226" s="130" t="str">
        <f>IFERROR(__xludf.DUMMYFUNCTION("IF(OR(A226="""",D226=""""),"""",IFERROR(LET(data,GOOGLEFINANCE(""NSE:""&amp;UPPER(TRIM(A226)),""close"",D226-3,D226,""DAILY""),INDEX(data,ROWS(data),2)),""Not Available""))"),"")</f>
        <v/>
      </c>
      <c r="M226" s="131">
        <f>IFERROR(__xludf.DUMMYFUNCTION("IF(A226="""","""",IFERROR(GOOGLEFINANCE(""NSE:""&amp;UPPER(TRIM(A226)),""price""),""Not Available""))"),2484.1)</f>
        <v>2484.1</v>
      </c>
      <c r="N226" s="132" t="str">
        <f t="shared" si="21"/>
        <v>#DIV/0!</v>
      </c>
      <c r="O226" s="133" t="str">
        <f t="shared" si="22"/>
        <v>#DIV/0!</v>
      </c>
      <c r="P226" s="47" t="str">
        <f>IFERROR(__xludf.DUMMYFUNCTION("IF(OR(A226="""",E226=""""),"""",IFERROR(LET(data,GOOGLEFINANCE(""NSE:""&amp;UPPER(TRIM(A226)),""close"",E226-3,E226,""DAILY""),INDEX(data,ROWS(data),2)),""Not Available""))"),"")</f>
        <v/>
      </c>
      <c r="Q226" s="51"/>
      <c r="R226" s="188" t="str">
        <f t="shared" si="23"/>
        <v>#DIV/0!</v>
      </c>
      <c r="S226" s="51" t="str">
        <f>IFERROR(__xludf.DUMMYFUNCTION("IF(OR(A226="""",E226=""""),"""",IFERROR(LET(data,GOOGLEFINANCE(""NSE:""&amp;UPPER(TRIM(A226)),""close"",Q226-3,Q226,""DAILY""),INDEX(data,ROWS(data),2)),""Not Available""))"),"")</f>
        <v/>
      </c>
      <c r="T226" s="189" t="str">
        <f t="shared" si="24"/>
        <v>#DIV/0!</v>
      </c>
      <c r="U226" s="52" t="str">
        <f t="shared" si="25"/>
        <v>#DIV/0!</v>
      </c>
      <c r="V226" s="190"/>
      <c r="W226" s="190"/>
      <c r="X226" s="190"/>
      <c r="Y226" s="56"/>
    </row>
    <row r="227">
      <c r="A227" s="220" t="s">
        <v>368</v>
      </c>
      <c r="B227" s="130"/>
      <c r="C227" s="130"/>
      <c r="D227" s="130"/>
      <c r="E227" s="199"/>
      <c r="F227" s="130"/>
      <c r="G227" s="130"/>
      <c r="H227" s="130"/>
      <c r="I227" s="130"/>
      <c r="J227" s="130"/>
      <c r="K227" s="130"/>
      <c r="L227" s="130" t="str">
        <f>IFERROR(__xludf.DUMMYFUNCTION("IF(OR(A227="""",D227=""""),"""",IFERROR(LET(data,GOOGLEFINANCE(""NSE:""&amp;UPPER(TRIM(A227)),""close"",D227-3,D227,""DAILY""),INDEX(data,ROWS(data),2)),""Not Available""))"),"")</f>
        <v/>
      </c>
      <c r="M227" s="131">
        <f>IFERROR(__xludf.DUMMYFUNCTION("IF(A227="""","""",IFERROR(GOOGLEFINANCE(""NSE:""&amp;UPPER(TRIM(A227)),""price""),""Not Available""))"),165.6)</f>
        <v>165.6</v>
      </c>
      <c r="N227" s="132" t="str">
        <f t="shared" si="21"/>
        <v>#DIV/0!</v>
      </c>
      <c r="O227" s="133" t="str">
        <f t="shared" si="22"/>
        <v>#DIV/0!</v>
      </c>
      <c r="P227" s="47" t="str">
        <f>IFERROR(__xludf.DUMMYFUNCTION("IF(OR(A227="""",E227=""""),"""",IFERROR(LET(data,GOOGLEFINANCE(""NSE:""&amp;UPPER(TRIM(A227)),""close"",E227-3,E227,""DAILY""),INDEX(data,ROWS(data),2)),""Not Available""))"),"")</f>
        <v/>
      </c>
      <c r="Q227" s="51"/>
      <c r="R227" s="188" t="str">
        <f t="shared" si="23"/>
        <v>#DIV/0!</v>
      </c>
      <c r="S227" s="51" t="str">
        <f>IFERROR(__xludf.DUMMYFUNCTION("IF(OR(A227="""",E227=""""),"""",IFERROR(LET(data,GOOGLEFINANCE(""NSE:""&amp;UPPER(TRIM(A227)),""close"",Q227-3,Q227,""DAILY""),INDEX(data,ROWS(data),2)),""Not Available""))"),"")</f>
        <v/>
      </c>
      <c r="T227" s="189" t="str">
        <f t="shared" si="24"/>
        <v>#DIV/0!</v>
      </c>
      <c r="U227" s="52" t="str">
        <f t="shared" si="25"/>
        <v>#DIV/0!</v>
      </c>
      <c r="V227" s="190"/>
      <c r="W227" s="190"/>
      <c r="X227" s="190"/>
      <c r="Y227" s="56"/>
    </row>
    <row r="228">
      <c r="A228" s="220" t="s">
        <v>369</v>
      </c>
      <c r="B228" s="130"/>
      <c r="C228" s="130"/>
      <c r="D228" s="130"/>
      <c r="E228" s="199"/>
      <c r="F228" s="130"/>
      <c r="G228" s="130"/>
      <c r="H228" s="130"/>
      <c r="I228" s="130"/>
      <c r="J228" s="130"/>
      <c r="K228" s="130"/>
      <c r="L228" s="130" t="str">
        <f>IFERROR(__xludf.DUMMYFUNCTION("IF(OR(A228="""",D228=""""),"""",IFERROR(LET(data,GOOGLEFINANCE(""NSE:""&amp;UPPER(TRIM(A228)),""close"",D228-3,D228,""DAILY""),INDEX(data,ROWS(data),2)),""Not Available""))"),"")</f>
        <v/>
      </c>
      <c r="M228" s="131">
        <f>IFERROR(__xludf.DUMMYFUNCTION("IF(A228="""","""",IFERROR(GOOGLEFINANCE(""NSE:""&amp;UPPER(TRIM(A228)),""price""),""Not Available""))"),534.05)</f>
        <v>534.05</v>
      </c>
      <c r="N228" s="132" t="str">
        <f t="shared" si="21"/>
        <v>#DIV/0!</v>
      </c>
      <c r="O228" s="133" t="str">
        <f t="shared" si="22"/>
        <v>#DIV/0!</v>
      </c>
      <c r="P228" s="47" t="str">
        <f>IFERROR(__xludf.DUMMYFUNCTION("IF(OR(A228="""",E228=""""),"""",IFERROR(LET(data,GOOGLEFINANCE(""NSE:""&amp;UPPER(TRIM(A228)),""close"",E228-3,E228,""DAILY""),INDEX(data,ROWS(data),2)),""Not Available""))"),"")</f>
        <v/>
      </c>
      <c r="Q228" s="51"/>
      <c r="R228" s="188" t="str">
        <f t="shared" si="23"/>
        <v>#DIV/0!</v>
      </c>
      <c r="S228" s="51" t="str">
        <f>IFERROR(__xludf.DUMMYFUNCTION("IF(OR(A228="""",E228=""""),"""",IFERROR(LET(data,GOOGLEFINANCE(""NSE:""&amp;UPPER(TRIM(A228)),""close"",Q228-3,Q228,""DAILY""),INDEX(data,ROWS(data),2)),""Not Available""))"),"")</f>
        <v/>
      </c>
      <c r="T228" s="189" t="str">
        <f t="shared" si="24"/>
        <v>#DIV/0!</v>
      </c>
      <c r="U228" s="52" t="str">
        <f t="shared" si="25"/>
        <v>#DIV/0!</v>
      </c>
      <c r="V228" s="190"/>
      <c r="W228" s="190"/>
      <c r="X228" s="190"/>
      <c r="Y228" s="56"/>
    </row>
    <row r="229">
      <c r="A229" s="220" t="s">
        <v>371</v>
      </c>
      <c r="B229" s="130"/>
      <c r="C229" s="130"/>
      <c r="D229" s="130"/>
      <c r="E229" s="199"/>
      <c r="F229" s="130"/>
      <c r="G229" s="130"/>
      <c r="H229" s="130"/>
      <c r="I229" s="130"/>
      <c r="J229" s="130"/>
      <c r="K229" s="130"/>
      <c r="L229" s="130" t="str">
        <f>IFERROR(__xludf.DUMMYFUNCTION("IF(OR(A229="""",D229=""""),"""",IFERROR(LET(data,GOOGLEFINANCE(""NSE:""&amp;UPPER(TRIM(A229)),""close"",D229-3,D229,""DAILY""),INDEX(data,ROWS(data),2)),""Not Available""))"),"")</f>
        <v/>
      </c>
      <c r="M229" s="131">
        <f>IFERROR(__xludf.DUMMYFUNCTION("IF(A229="""","""",IFERROR(GOOGLEFINANCE(""NSE:""&amp;UPPER(TRIM(A229)),""price""),""Not Available""))"),993.95)</f>
        <v>993.95</v>
      </c>
      <c r="N229" s="132" t="str">
        <f t="shared" si="21"/>
        <v>#DIV/0!</v>
      </c>
      <c r="O229" s="133" t="str">
        <f t="shared" si="22"/>
        <v>#DIV/0!</v>
      </c>
      <c r="P229" s="47" t="str">
        <f>IFERROR(__xludf.DUMMYFUNCTION("IF(OR(A229="""",E229=""""),"""",IFERROR(LET(data,GOOGLEFINANCE(""NSE:""&amp;UPPER(TRIM(A229)),""close"",E229-3,E229,""DAILY""),INDEX(data,ROWS(data),2)),""Not Available""))"),"")</f>
        <v/>
      </c>
      <c r="Q229" s="51"/>
      <c r="R229" s="188" t="str">
        <f t="shared" si="23"/>
        <v>#DIV/0!</v>
      </c>
      <c r="S229" s="51" t="str">
        <f>IFERROR(__xludf.DUMMYFUNCTION("IF(OR(A229="""",E229=""""),"""",IFERROR(LET(data,GOOGLEFINANCE(""NSE:""&amp;UPPER(TRIM(A229)),""close"",Q229-3,Q229,""DAILY""),INDEX(data,ROWS(data),2)),""Not Available""))"),"")</f>
        <v/>
      </c>
      <c r="T229" s="189" t="str">
        <f t="shared" si="24"/>
        <v>#DIV/0!</v>
      </c>
      <c r="U229" s="52" t="str">
        <f t="shared" si="25"/>
        <v>#DIV/0!</v>
      </c>
      <c r="V229" s="190"/>
      <c r="W229" s="190"/>
      <c r="X229" s="190"/>
      <c r="Y229" s="56"/>
    </row>
    <row r="230">
      <c r="A230" s="220" t="s">
        <v>373</v>
      </c>
      <c r="B230" s="130"/>
      <c r="C230" s="130"/>
      <c r="D230" s="130"/>
      <c r="E230" s="199"/>
      <c r="F230" s="130"/>
      <c r="G230" s="130"/>
      <c r="H230" s="130"/>
      <c r="I230" s="130"/>
      <c r="J230" s="130"/>
      <c r="K230" s="130"/>
      <c r="L230" s="130" t="str">
        <f>IFERROR(__xludf.DUMMYFUNCTION("IF(OR(A230="""",D230=""""),"""",IFERROR(LET(data,GOOGLEFINANCE(""NSE:""&amp;UPPER(TRIM(A230)),""close"",D230-3,D230,""DAILY""),INDEX(data,ROWS(data),2)),""Not Available""))"),"")</f>
        <v/>
      </c>
      <c r="M230" s="131">
        <f>IFERROR(__xludf.DUMMYFUNCTION("IF(A230="""","""",IFERROR(GOOGLEFINANCE(""NSE:""&amp;UPPER(TRIM(A230)),""price""),""Not Available""))"),448.3)</f>
        <v>448.3</v>
      </c>
      <c r="N230" s="132" t="str">
        <f t="shared" si="21"/>
        <v>#DIV/0!</v>
      </c>
      <c r="O230" s="133" t="str">
        <f t="shared" si="22"/>
        <v>#DIV/0!</v>
      </c>
      <c r="P230" s="47" t="str">
        <f>IFERROR(__xludf.DUMMYFUNCTION("IF(OR(A230="""",E230=""""),"""",IFERROR(LET(data,GOOGLEFINANCE(""NSE:""&amp;UPPER(TRIM(A230)),""close"",E230-3,E230,""DAILY""),INDEX(data,ROWS(data),2)),""Not Available""))"),"")</f>
        <v/>
      </c>
      <c r="Q230" s="51"/>
      <c r="R230" s="188" t="str">
        <f t="shared" si="23"/>
        <v>#DIV/0!</v>
      </c>
      <c r="S230" s="51" t="str">
        <f>IFERROR(__xludf.DUMMYFUNCTION("IF(OR(A230="""",E230=""""),"""",IFERROR(LET(data,GOOGLEFINANCE(""NSE:""&amp;UPPER(TRIM(A230)),""close"",Q230-3,Q230,""DAILY""),INDEX(data,ROWS(data),2)),""Not Available""))"),"")</f>
        <v/>
      </c>
      <c r="T230" s="189" t="str">
        <f t="shared" si="24"/>
        <v>#DIV/0!</v>
      </c>
      <c r="U230" s="52" t="str">
        <f t="shared" si="25"/>
        <v>#DIV/0!</v>
      </c>
      <c r="V230" s="190"/>
      <c r="W230" s="190"/>
      <c r="X230" s="190"/>
      <c r="Y230" s="56"/>
    </row>
    <row r="231">
      <c r="A231" s="220" t="s">
        <v>374</v>
      </c>
      <c r="B231" s="130"/>
      <c r="C231" s="130"/>
      <c r="D231" s="130"/>
      <c r="E231" s="199"/>
      <c r="F231" s="130"/>
      <c r="G231" s="130"/>
      <c r="H231" s="130"/>
      <c r="I231" s="130"/>
      <c r="J231" s="130"/>
      <c r="K231" s="130"/>
      <c r="L231" s="130" t="str">
        <f>IFERROR(__xludf.DUMMYFUNCTION("IF(OR(A231="""",D231=""""),"""",IFERROR(LET(data,GOOGLEFINANCE(""NSE:""&amp;UPPER(TRIM(A231)),""close"",D231-3,D231,""DAILY""),INDEX(data,ROWS(data),2)),""Not Available""))"),"")</f>
        <v/>
      </c>
      <c r="M231" s="131">
        <f>IFERROR(__xludf.DUMMYFUNCTION("IF(A231="""","""",IFERROR(GOOGLEFINANCE(""NSE:""&amp;UPPER(TRIM(A231)),""price""),""Not Available""))"),61.19)</f>
        <v>61.19</v>
      </c>
      <c r="N231" s="132" t="str">
        <f t="shared" si="21"/>
        <v>#DIV/0!</v>
      </c>
      <c r="O231" s="133" t="str">
        <f t="shared" si="22"/>
        <v>#DIV/0!</v>
      </c>
      <c r="P231" s="47" t="str">
        <f>IFERROR(__xludf.DUMMYFUNCTION("IF(OR(A231="""",E231=""""),"""",IFERROR(LET(data,GOOGLEFINANCE(""NSE:""&amp;UPPER(TRIM(A231)),""close"",E231-3,E231,""DAILY""),INDEX(data,ROWS(data),2)),""Not Available""))"),"")</f>
        <v/>
      </c>
      <c r="Q231" s="51"/>
      <c r="R231" s="188" t="str">
        <f t="shared" si="23"/>
        <v>#DIV/0!</v>
      </c>
      <c r="S231" s="51" t="str">
        <f>IFERROR(__xludf.DUMMYFUNCTION("IF(OR(A231="""",E231=""""),"""",IFERROR(LET(data,GOOGLEFINANCE(""NSE:""&amp;UPPER(TRIM(A231)),""close"",Q231-3,Q231,""DAILY""),INDEX(data,ROWS(data),2)),""Not Available""))"),"")</f>
        <v/>
      </c>
      <c r="T231" s="189" t="str">
        <f t="shared" si="24"/>
        <v>#DIV/0!</v>
      </c>
      <c r="U231" s="52" t="str">
        <f t="shared" si="25"/>
        <v>#DIV/0!</v>
      </c>
      <c r="V231" s="190"/>
      <c r="W231" s="190"/>
      <c r="X231" s="190"/>
      <c r="Y231" s="56"/>
    </row>
    <row r="232">
      <c r="A232" s="220" t="s">
        <v>376</v>
      </c>
      <c r="B232" s="130"/>
      <c r="C232" s="130"/>
      <c r="D232" s="130"/>
      <c r="E232" s="199"/>
      <c r="F232" s="130"/>
      <c r="G232" s="130"/>
      <c r="H232" s="130"/>
      <c r="I232" s="130"/>
      <c r="J232" s="130"/>
      <c r="K232" s="130"/>
      <c r="L232" s="130" t="str">
        <f>IFERROR(__xludf.DUMMYFUNCTION("IF(OR(A232="""",D232=""""),"""",IFERROR(LET(data,GOOGLEFINANCE(""NSE:""&amp;UPPER(TRIM(A232)),""close"",D232-3,D232,""DAILY""),INDEX(data,ROWS(data),2)),""Not Available""))"),"")</f>
        <v/>
      </c>
      <c r="M232" s="131">
        <f>IFERROR(__xludf.DUMMYFUNCTION("IF(A232="""","""",IFERROR(GOOGLEFINANCE(""NSE:""&amp;UPPER(TRIM(A232)),""price""),""Not Available""))"),71.75)</f>
        <v>71.75</v>
      </c>
      <c r="N232" s="132" t="str">
        <f t="shared" si="21"/>
        <v>#DIV/0!</v>
      </c>
      <c r="O232" s="133" t="str">
        <f t="shared" si="22"/>
        <v>#DIV/0!</v>
      </c>
      <c r="P232" s="47" t="str">
        <f>IFERROR(__xludf.DUMMYFUNCTION("IF(OR(A232="""",E232=""""),"""",IFERROR(LET(data,GOOGLEFINANCE(""NSE:""&amp;UPPER(TRIM(A232)),""close"",E232-3,E232,""DAILY""),INDEX(data,ROWS(data),2)),""Not Available""))"),"")</f>
        <v/>
      </c>
      <c r="Q232" s="51"/>
      <c r="R232" s="188" t="str">
        <f t="shared" si="23"/>
        <v>#DIV/0!</v>
      </c>
      <c r="S232" s="51" t="str">
        <f>IFERROR(__xludf.DUMMYFUNCTION("IF(OR(A232="""",E232=""""),"""",IFERROR(LET(data,GOOGLEFINANCE(""NSE:""&amp;UPPER(TRIM(A232)),""close"",Q232-3,Q232,""DAILY""),INDEX(data,ROWS(data),2)),""Not Available""))"),"")</f>
        <v/>
      </c>
      <c r="T232" s="189" t="str">
        <f t="shared" si="24"/>
        <v>#DIV/0!</v>
      </c>
      <c r="U232" s="52" t="str">
        <f t="shared" si="25"/>
        <v>#DIV/0!</v>
      </c>
      <c r="V232" s="190"/>
      <c r="W232" s="190"/>
      <c r="X232" s="190"/>
      <c r="Y232" s="56"/>
    </row>
    <row r="233">
      <c r="A233" s="223" t="s">
        <v>377</v>
      </c>
      <c r="B233" s="130"/>
      <c r="C233" s="130"/>
      <c r="D233" s="130"/>
      <c r="E233" s="199"/>
      <c r="F233" s="130"/>
      <c r="G233" s="130"/>
      <c r="H233" s="130"/>
      <c r="I233" s="130"/>
      <c r="J233" s="130"/>
      <c r="K233" s="130"/>
      <c r="L233" s="130" t="str">
        <f>IFERROR(__xludf.DUMMYFUNCTION("IF(OR(A233="""",D233=""""),"""",IFERROR(LET(data,GOOGLEFINANCE(""NSE:""&amp;UPPER(TRIM(A233)),""close"",D233-3,D233,""DAILY""),INDEX(data,ROWS(data),2)),""Not Available""))"),"")</f>
        <v/>
      </c>
      <c r="M233" s="131">
        <f>IFERROR(__xludf.DUMMYFUNCTION("IF(A233="""","""",IFERROR(GOOGLEFINANCE(""NSE:""&amp;UPPER(TRIM(A233)),""price""),""Not Available""))"),84.48)</f>
        <v>84.48</v>
      </c>
      <c r="N233" s="132" t="str">
        <f t="shared" si="21"/>
        <v>#DIV/0!</v>
      </c>
      <c r="O233" s="133" t="str">
        <f t="shared" si="22"/>
        <v>#DIV/0!</v>
      </c>
      <c r="P233" s="47" t="str">
        <f>IFERROR(__xludf.DUMMYFUNCTION("IF(OR(A233="""",E233=""""),"""",IFERROR(LET(data,GOOGLEFINANCE(""NSE:""&amp;UPPER(TRIM(A233)),""close"",E233-3,E233,""DAILY""),INDEX(data,ROWS(data),2)),""Not Available""))"),"")</f>
        <v/>
      </c>
      <c r="Q233" s="51"/>
      <c r="R233" s="188" t="str">
        <f t="shared" si="23"/>
        <v>#DIV/0!</v>
      </c>
      <c r="S233" s="51" t="str">
        <f>IFERROR(__xludf.DUMMYFUNCTION("IF(OR(A233="""",E233=""""),"""",IFERROR(LET(data,GOOGLEFINANCE(""NSE:""&amp;UPPER(TRIM(A233)),""close"",Q233-3,Q233,""DAILY""),INDEX(data,ROWS(data),2)),""Not Available""))"),"")</f>
        <v/>
      </c>
      <c r="T233" s="189" t="str">
        <f t="shared" si="24"/>
        <v>#DIV/0!</v>
      </c>
      <c r="U233" s="52" t="str">
        <f t="shared" si="25"/>
        <v>#DIV/0!</v>
      </c>
      <c r="V233" s="190"/>
      <c r="W233" s="190"/>
      <c r="X233" s="190"/>
      <c r="Y233" s="56"/>
    </row>
    <row r="234">
      <c r="A234" s="220" t="s">
        <v>379</v>
      </c>
      <c r="B234" s="130"/>
      <c r="C234" s="130"/>
      <c r="D234" s="130"/>
      <c r="E234" s="199"/>
      <c r="F234" s="130"/>
      <c r="G234" s="130"/>
      <c r="H234" s="130"/>
      <c r="I234" s="130"/>
      <c r="J234" s="130"/>
      <c r="K234" s="130"/>
      <c r="L234" s="130" t="str">
        <f>IFERROR(__xludf.DUMMYFUNCTION("IF(OR(A234="""",D234=""""),"""",IFERROR(LET(data,GOOGLEFINANCE(""NSE:""&amp;UPPER(TRIM(A234)),""close"",D234-3,D234,""DAILY""),INDEX(data,ROWS(data),2)),""Not Available""))"),"")</f>
        <v/>
      </c>
      <c r="M234" s="131">
        <f>IFERROR(__xludf.DUMMYFUNCTION("IF(A234="""","""",IFERROR(GOOGLEFINANCE(""NSE:""&amp;UPPER(TRIM(A234)),""price""),""Not Available""))"),70.85)</f>
        <v>70.85</v>
      </c>
      <c r="N234" s="132" t="str">
        <f t="shared" si="21"/>
        <v>#DIV/0!</v>
      </c>
      <c r="O234" s="133" t="str">
        <f t="shared" si="22"/>
        <v>#DIV/0!</v>
      </c>
      <c r="P234" s="47" t="str">
        <f>IFERROR(__xludf.DUMMYFUNCTION("IF(OR(A234="""",E234=""""),"""",IFERROR(LET(data,GOOGLEFINANCE(""NSE:""&amp;UPPER(TRIM(A234)),""close"",E234-3,E234,""DAILY""),INDEX(data,ROWS(data),2)),""Not Available""))"),"")</f>
        <v/>
      </c>
      <c r="Q234" s="51"/>
      <c r="R234" s="188" t="str">
        <f t="shared" si="23"/>
        <v>#DIV/0!</v>
      </c>
      <c r="S234" s="51" t="str">
        <f>IFERROR(__xludf.DUMMYFUNCTION("IF(OR(A234="""",E234=""""),"""",IFERROR(LET(data,GOOGLEFINANCE(""NSE:""&amp;UPPER(TRIM(A234)),""close"",Q234-3,Q234,""DAILY""),INDEX(data,ROWS(data),2)),""Not Available""))"),"")</f>
        <v/>
      </c>
      <c r="T234" s="189" t="str">
        <f t="shared" si="24"/>
        <v>#DIV/0!</v>
      </c>
      <c r="U234" s="52" t="str">
        <f t="shared" si="25"/>
        <v>#DIV/0!</v>
      </c>
      <c r="V234" s="190"/>
      <c r="W234" s="190"/>
      <c r="X234" s="190"/>
      <c r="Y234" s="56"/>
    </row>
    <row r="235">
      <c r="A235" s="220" t="s">
        <v>380</v>
      </c>
      <c r="B235" s="130"/>
      <c r="C235" s="130"/>
      <c r="D235" s="130"/>
      <c r="E235" s="199"/>
      <c r="F235" s="130"/>
      <c r="G235" s="130"/>
      <c r="H235" s="130"/>
      <c r="I235" s="130"/>
      <c r="J235" s="130"/>
      <c r="K235" s="130"/>
      <c r="L235" s="130" t="str">
        <f>IFERROR(__xludf.DUMMYFUNCTION("IF(OR(A235="""",D235=""""),"""",IFERROR(LET(data,GOOGLEFINANCE(""NSE:""&amp;UPPER(TRIM(A235)),""close"",D235-3,D235,""DAILY""),INDEX(data,ROWS(data),2)),""Not Available""))"),"")</f>
        <v/>
      </c>
      <c r="M235" s="131">
        <f>IFERROR(__xludf.DUMMYFUNCTION("IF(A235="""","""",IFERROR(GOOGLEFINANCE(""NSE:""&amp;UPPER(TRIM(A235)),""price""),""Not Available""))"),719.35)</f>
        <v>719.35</v>
      </c>
      <c r="N235" s="132" t="str">
        <f t="shared" si="21"/>
        <v>#DIV/0!</v>
      </c>
      <c r="O235" s="133" t="str">
        <f t="shared" si="22"/>
        <v>#DIV/0!</v>
      </c>
      <c r="P235" s="47" t="str">
        <f>IFERROR(__xludf.DUMMYFUNCTION("IF(OR(A235="""",E235=""""),"""",IFERROR(LET(data,GOOGLEFINANCE(""NSE:""&amp;UPPER(TRIM(A235)),""close"",E235-3,E235,""DAILY""),INDEX(data,ROWS(data),2)),""Not Available""))"),"")</f>
        <v/>
      </c>
      <c r="Q235" s="51"/>
      <c r="R235" s="188" t="str">
        <f t="shared" si="23"/>
        <v>#DIV/0!</v>
      </c>
      <c r="S235" s="51" t="str">
        <f>IFERROR(__xludf.DUMMYFUNCTION("IF(OR(A235="""",E235=""""),"""",IFERROR(LET(data,GOOGLEFINANCE(""NSE:""&amp;UPPER(TRIM(A235)),""close"",Q235-3,Q235,""DAILY""),INDEX(data,ROWS(data),2)),""Not Available""))"),"")</f>
        <v/>
      </c>
      <c r="T235" s="189" t="str">
        <f t="shared" si="24"/>
        <v>#DIV/0!</v>
      </c>
      <c r="U235" s="52" t="str">
        <f t="shared" si="25"/>
        <v>#DIV/0!</v>
      </c>
      <c r="V235" s="190"/>
      <c r="W235" s="190"/>
      <c r="X235" s="190"/>
      <c r="Y235" s="56"/>
    </row>
    <row r="236">
      <c r="A236" s="220" t="s">
        <v>382</v>
      </c>
      <c r="B236" s="130"/>
      <c r="C236" s="130"/>
      <c r="D236" s="130"/>
      <c r="E236" s="199"/>
      <c r="F236" s="130"/>
      <c r="G236" s="130"/>
      <c r="H236" s="130"/>
      <c r="I236" s="130"/>
      <c r="J236" s="130"/>
      <c r="K236" s="130"/>
      <c r="L236" s="130" t="str">
        <f>IFERROR(__xludf.DUMMYFUNCTION("IF(OR(A236="""",D236=""""),"""",IFERROR(LET(data,GOOGLEFINANCE(""NSE:""&amp;UPPER(TRIM(A236)),""close"",D236-3,D236,""DAILY""),INDEX(data,ROWS(data),2)),""Not Available""))"),"")</f>
        <v/>
      </c>
      <c r="M236" s="131">
        <f>IFERROR(__xludf.DUMMYFUNCTION("IF(A236="""","""",IFERROR(GOOGLEFINANCE(""NSE:""&amp;UPPER(TRIM(A236)),""price""),""Not Available""))"),591.0)</f>
        <v>591</v>
      </c>
      <c r="N236" s="132" t="str">
        <f t="shared" si="21"/>
        <v>#DIV/0!</v>
      </c>
      <c r="O236" s="133" t="str">
        <f t="shared" si="22"/>
        <v>#DIV/0!</v>
      </c>
      <c r="P236" s="47" t="str">
        <f>IFERROR(__xludf.DUMMYFUNCTION("IF(OR(A236="""",E236=""""),"""",IFERROR(LET(data,GOOGLEFINANCE(""NSE:""&amp;UPPER(TRIM(A236)),""close"",E236-3,E236,""DAILY""),INDEX(data,ROWS(data),2)),""Not Available""))"),"")</f>
        <v/>
      </c>
      <c r="Q236" s="51"/>
      <c r="R236" s="188" t="str">
        <f t="shared" si="23"/>
        <v>#DIV/0!</v>
      </c>
      <c r="S236" s="51" t="str">
        <f>IFERROR(__xludf.DUMMYFUNCTION("IF(OR(A236="""",E236=""""),"""",IFERROR(LET(data,GOOGLEFINANCE(""NSE:""&amp;UPPER(TRIM(A236)),""close"",Q236-3,Q236,""DAILY""),INDEX(data,ROWS(data),2)),""Not Available""))"),"")</f>
        <v/>
      </c>
      <c r="T236" s="189" t="str">
        <f t="shared" si="24"/>
        <v>#DIV/0!</v>
      </c>
      <c r="U236" s="52" t="str">
        <f t="shared" si="25"/>
        <v>#DIV/0!</v>
      </c>
      <c r="V236" s="190"/>
      <c r="W236" s="190"/>
      <c r="X236" s="190"/>
      <c r="Y236" s="56"/>
    </row>
    <row r="237">
      <c r="A237" s="220" t="s">
        <v>383</v>
      </c>
      <c r="B237" s="130"/>
      <c r="C237" s="130"/>
      <c r="D237" s="130"/>
      <c r="E237" s="199"/>
      <c r="F237" s="130"/>
      <c r="G237" s="130"/>
      <c r="H237" s="130"/>
      <c r="I237" s="130"/>
      <c r="J237" s="130"/>
      <c r="K237" s="130"/>
      <c r="L237" s="130" t="str">
        <f>IFERROR(__xludf.DUMMYFUNCTION("IF(OR(A237="""",D237=""""),"""",IFERROR(LET(data,GOOGLEFINANCE(""NSE:""&amp;UPPER(TRIM(A237)),""close"",D237-3,D237,""DAILY""),INDEX(data,ROWS(data),2)),""Not Available""))"),"")</f>
        <v/>
      </c>
      <c r="M237" s="131">
        <f>IFERROR(__xludf.DUMMYFUNCTION("IF(A237="""","""",IFERROR(GOOGLEFINANCE(""NSE:""&amp;UPPER(TRIM(A237)),""price""),""Not Available""))"),393.65)</f>
        <v>393.65</v>
      </c>
      <c r="N237" s="132" t="str">
        <f t="shared" si="21"/>
        <v>#DIV/0!</v>
      </c>
      <c r="O237" s="133" t="str">
        <f t="shared" si="22"/>
        <v>#DIV/0!</v>
      </c>
      <c r="P237" s="47" t="str">
        <f>IFERROR(__xludf.DUMMYFUNCTION("IF(OR(A237="""",E237=""""),"""",IFERROR(LET(data,GOOGLEFINANCE(""NSE:""&amp;UPPER(TRIM(A237)),""close"",E237-3,E237,""DAILY""),INDEX(data,ROWS(data),2)),""Not Available""))"),"")</f>
        <v/>
      </c>
      <c r="Q237" s="51"/>
      <c r="R237" s="188" t="str">
        <f t="shared" si="23"/>
        <v>#DIV/0!</v>
      </c>
      <c r="S237" s="51" t="str">
        <f>IFERROR(__xludf.DUMMYFUNCTION("IF(OR(A237="""",E237=""""),"""",IFERROR(LET(data,GOOGLEFINANCE(""NSE:""&amp;UPPER(TRIM(A237)),""close"",Q237-3,Q237,""DAILY""),INDEX(data,ROWS(data),2)),""Not Available""))"),"")</f>
        <v/>
      </c>
      <c r="T237" s="189" t="str">
        <f t="shared" si="24"/>
        <v>#DIV/0!</v>
      </c>
      <c r="U237" s="52" t="str">
        <f t="shared" si="25"/>
        <v>#DIV/0!</v>
      </c>
      <c r="V237" s="190"/>
      <c r="W237" s="190"/>
      <c r="X237" s="190"/>
      <c r="Y237" s="56"/>
    </row>
    <row r="238">
      <c r="A238" s="220" t="s">
        <v>385</v>
      </c>
      <c r="B238" s="130"/>
      <c r="C238" s="130"/>
      <c r="D238" s="130"/>
      <c r="E238" s="199"/>
      <c r="F238" s="130"/>
      <c r="G238" s="130"/>
      <c r="H238" s="130"/>
      <c r="I238" s="130"/>
      <c r="J238" s="130"/>
      <c r="K238" s="130"/>
      <c r="L238" s="130" t="str">
        <f>IFERROR(__xludf.DUMMYFUNCTION("IF(OR(A238="""",D238=""""),"""",IFERROR(LET(data,GOOGLEFINANCE(""NSE:""&amp;UPPER(TRIM(A238)),""close"",D238-3,D238,""DAILY""),INDEX(data,ROWS(data),2)),""Not Available""))"),"")</f>
        <v/>
      </c>
      <c r="M238" s="131">
        <f>IFERROR(__xludf.DUMMYFUNCTION("IF(A238="""","""",IFERROR(GOOGLEFINANCE(""NSE:""&amp;UPPER(TRIM(A238)),""price""),""Not Available""))"),70.13)</f>
        <v>70.13</v>
      </c>
      <c r="N238" s="132" t="str">
        <f t="shared" si="21"/>
        <v>#DIV/0!</v>
      </c>
      <c r="O238" s="133" t="str">
        <f t="shared" si="22"/>
        <v>#DIV/0!</v>
      </c>
      <c r="P238" s="47" t="str">
        <f>IFERROR(__xludf.DUMMYFUNCTION("IF(OR(A238="""",E238=""""),"""",IFERROR(LET(data,GOOGLEFINANCE(""NSE:""&amp;UPPER(TRIM(A238)),""close"",E238-3,E238,""DAILY""),INDEX(data,ROWS(data),2)),""Not Available""))"),"")</f>
        <v/>
      </c>
      <c r="Q238" s="51"/>
      <c r="R238" s="188" t="str">
        <f t="shared" si="23"/>
        <v>#DIV/0!</v>
      </c>
      <c r="S238" s="51" t="str">
        <f>IFERROR(__xludf.DUMMYFUNCTION("IF(OR(A238="""",E238=""""),"""",IFERROR(LET(data,GOOGLEFINANCE(""NSE:""&amp;UPPER(TRIM(A238)),""close"",Q238-3,Q238,""DAILY""),INDEX(data,ROWS(data),2)),""Not Available""))"),"")</f>
        <v/>
      </c>
      <c r="T238" s="189" t="str">
        <f t="shared" si="24"/>
        <v>#DIV/0!</v>
      </c>
      <c r="U238" s="52" t="str">
        <f t="shared" si="25"/>
        <v>#DIV/0!</v>
      </c>
      <c r="V238" s="190"/>
      <c r="W238" s="190"/>
      <c r="X238" s="190"/>
      <c r="Y238" s="56"/>
    </row>
    <row r="239">
      <c r="A239" s="220" t="s">
        <v>383</v>
      </c>
      <c r="B239" s="130"/>
      <c r="C239" s="130"/>
      <c r="D239" s="130"/>
      <c r="E239" s="199"/>
      <c r="F239" s="130"/>
      <c r="G239" s="130"/>
      <c r="H239" s="130"/>
      <c r="I239" s="130"/>
      <c r="J239" s="130"/>
      <c r="K239" s="130"/>
      <c r="L239" s="130" t="str">
        <f>IFERROR(__xludf.DUMMYFUNCTION("IF(OR(A239="""",D239=""""),"""",IFERROR(LET(data,GOOGLEFINANCE(""NSE:""&amp;UPPER(TRIM(A239)),""close"",D239-3,D239,""DAILY""),INDEX(data,ROWS(data),2)),""Not Available""))"),"")</f>
        <v/>
      </c>
      <c r="M239" s="131">
        <f>IFERROR(__xludf.DUMMYFUNCTION("IF(A239="""","""",IFERROR(GOOGLEFINANCE(""NSE:""&amp;UPPER(TRIM(A239)),""price""),""Not Available""))"),393.65)</f>
        <v>393.65</v>
      </c>
      <c r="N239" s="132" t="str">
        <f t="shared" si="21"/>
        <v>#DIV/0!</v>
      </c>
      <c r="O239" s="133" t="str">
        <f t="shared" si="22"/>
        <v>#DIV/0!</v>
      </c>
      <c r="P239" s="47" t="str">
        <f>IFERROR(__xludf.DUMMYFUNCTION("IF(OR(A239="""",E239=""""),"""",IFERROR(LET(data,GOOGLEFINANCE(""NSE:""&amp;UPPER(TRIM(A239)),""close"",E239-3,E239,""DAILY""),INDEX(data,ROWS(data),2)),""Not Available""))"),"")</f>
        <v/>
      </c>
      <c r="Q239" s="51"/>
      <c r="R239" s="188" t="str">
        <f t="shared" si="23"/>
        <v>#DIV/0!</v>
      </c>
      <c r="S239" s="51" t="str">
        <f>IFERROR(__xludf.DUMMYFUNCTION("IF(OR(A239="""",E239=""""),"""",IFERROR(LET(data,GOOGLEFINANCE(""NSE:""&amp;UPPER(TRIM(A239)),""close"",Q239-3,Q239,""DAILY""),INDEX(data,ROWS(data),2)),""Not Available""))"),"")</f>
        <v/>
      </c>
      <c r="T239" s="189" t="str">
        <f t="shared" si="24"/>
        <v>#DIV/0!</v>
      </c>
      <c r="U239" s="52" t="str">
        <f t="shared" si="25"/>
        <v>#DIV/0!</v>
      </c>
      <c r="V239" s="190"/>
      <c r="W239" s="190"/>
      <c r="X239" s="190"/>
      <c r="Y239" s="56"/>
    </row>
    <row r="240">
      <c r="A240" s="220" t="s">
        <v>386</v>
      </c>
      <c r="B240" s="130"/>
      <c r="C240" s="130"/>
      <c r="D240" s="130"/>
      <c r="E240" s="199"/>
      <c r="F240" s="130"/>
      <c r="G240" s="130"/>
      <c r="H240" s="130"/>
      <c r="I240" s="130"/>
      <c r="J240" s="130"/>
      <c r="K240" s="130"/>
      <c r="L240" s="130" t="str">
        <f>IFERROR(__xludf.DUMMYFUNCTION("IF(OR(A240="""",D240=""""),"""",IFERROR(LET(data,GOOGLEFINANCE(""NSE:""&amp;UPPER(TRIM(A240)),""close"",D240-3,D240,""DAILY""),INDEX(data,ROWS(data),2)),""Not Available""))"),"")</f>
        <v/>
      </c>
      <c r="M240" s="131">
        <f>IFERROR(__xludf.DUMMYFUNCTION("IF(A240="""","""",IFERROR(GOOGLEFINANCE(""NSE:""&amp;UPPER(TRIM(A240)),""price""),""Not Available""))"),1964.0)</f>
        <v>1964</v>
      </c>
      <c r="N240" s="132" t="str">
        <f t="shared" si="21"/>
        <v>#DIV/0!</v>
      </c>
      <c r="O240" s="133" t="str">
        <f t="shared" si="22"/>
        <v>#DIV/0!</v>
      </c>
      <c r="P240" s="47" t="str">
        <f>IFERROR(__xludf.DUMMYFUNCTION("IF(OR(A240="""",E240=""""),"""",IFERROR(LET(data,GOOGLEFINANCE(""NSE:""&amp;UPPER(TRIM(A240)),""close"",E240-3,E240,""DAILY""),INDEX(data,ROWS(data),2)),""Not Available""))"),"")</f>
        <v/>
      </c>
      <c r="Q240" s="51"/>
      <c r="R240" s="188" t="str">
        <f t="shared" si="23"/>
        <v>#DIV/0!</v>
      </c>
      <c r="S240" s="51" t="str">
        <f>IFERROR(__xludf.DUMMYFUNCTION("IF(OR(A240="""",E240=""""),"""",IFERROR(LET(data,GOOGLEFINANCE(""NSE:""&amp;UPPER(TRIM(A240)),""close"",Q240-3,Q240,""DAILY""),INDEX(data,ROWS(data),2)),""Not Available""))"),"")</f>
        <v/>
      </c>
      <c r="T240" s="189" t="str">
        <f t="shared" si="24"/>
        <v>#DIV/0!</v>
      </c>
      <c r="U240" s="52" t="str">
        <f t="shared" si="25"/>
        <v>#DIV/0!</v>
      </c>
      <c r="V240" s="190"/>
      <c r="W240" s="190"/>
      <c r="X240" s="190"/>
      <c r="Y240" s="56"/>
    </row>
    <row r="241">
      <c r="A241" s="220" t="s">
        <v>387</v>
      </c>
      <c r="B241" s="130"/>
      <c r="C241" s="130"/>
      <c r="D241" s="130"/>
      <c r="E241" s="199"/>
      <c r="F241" s="130"/>
      <c r="G241" s="130"/>
      <c r="H241" s="130"/>
      <c r="I241" s="130"/>
      <c r="J241" s="130"/>
      <c r="K241" s="130"/>
      <c r="L241" s="130" t="str">
        <f>IFERROR(__xludf.DUMMYFUNCTION("IF(OR(A241="""",D241=""""),"""",IFERROR(LET(data,GOOGLEFINANCE(""NSE:""&amp;UPPER(TRIM(A241)),""close"",D241-3,D241,""DAILY""),INDEX(data,ROWS(data),2)),""Not Available""))"),"")</f>
        <v/>
      </c>
      <c r="M241" s="131">
        <f>IFERROR(__xludf.DUMMYFUNCTION("IF(A241="""","""",IFERROR(GOOGLEFINANCE(""NSE:""&amp;UPPER(TRIM(A241)),""price""),""Not Available""))"),770.7)</f>
        <v>770.7</v>
      </c>
      <c r="N241" s="132" t="str">
        <f t="shared" si="21"/>
        <v>#DIV/0!</v>
      </c>
      <c r="O241" s="133" t="str">
        <f t="shared" si="22"/>
        <v>#DIV/0!</v>
      </c>
      <c r="P241" s="47" t="str">
        <f>IFERROR(__xludf.DUMMYFUNCTION("IF(OR(A241="""",E241=""""),"""",IFERROR(LET(data,GOOGLEFINANCE(""NSE:""&amp;UPPER(TRIM(A241)),""close"",E241-3,E241,""DAILY""),INDEX(data,ROWS(data),2)),""Not Available""))"),"")</f>
        <v/>
      </c>
      <c r="Q241" s="51"/>
      <c r="R241" s="188" t="str">
        <f t="shared" si="23"/>
        <v>#DIV/0!</v>
      </c>
      <c r="S241" s="51" t="str">
        <f>IFERROR(__xludf.DUMMYFUNCTION("IF(OR(A241="""",E241=""""),"""",IFERROR(LET(data,GOOGLEFINANCE(""NSE:""&amp;UPPER(TRIM(A241)),""close"",Q241-3,Q241,""DAILY""),INDEX(data,ROWS(data),2)),""Not Available""))"),"")</f>
        <v/>
      </c>
      <c r="T241" s="189" t="str">
        <f t="shared" si="24"/>
        <v>#DIV/0!</v>
      </c>
      <c r="U241" s="52" t="str">
        <f t="shared" si="25"/>
        <v>#DIV/0!</v>
      </c>
      <c r="V241" s="190"/>
      <c r="W241" s="190"/>
      <c r="X241" s="190"/>
      <c r="Y241" s="56"/>
    </row>
    <row r="242">
      <c r="A242" s="220" t="s">
        <v>388</v>
      </c>
      <c r="B242" s="130"/>
      <c r="C242" s="130"/>
      <c r="D242" s="130"/>
      <c r="E242" s="199"/>
      <c r="F242" s="130"/>
      <c r="G242" s="130"/>
      <c r="H242" s="130"/>
      <c r="I242" s="130"/>
      <c r="J242" s="130"/>
      <c r="K242" s="130"/>
      <c r="L242" s="130" t="str">
        <f>IFERROR(__xludf.DUMMYFUNCTION("IF(OR(A242="""",D242=""""),"""",IFERROR(LET(data,GOOGLEFINANCE(""NSE:""&amp;UPPER(TRIM(A242)),""close"",D242-3,D242,""DAILY""),INDEX(data,ROWS(data),2)),""Not Available""))"),"")</f>
        <v/>
      </c>
      <c r="M242" s="131">
        <f>IFERROR(__xludf.DUMMYFUNCTION("IF(A242="""","""",IFERROR(GOOGLEFINANCE(""NSE:""&amp;UPPER(TRIM(A242)),""price""),""Not Available""))"),1504.2)</f>
        <v>1504.2</v>
      </c>
      <c r="N242" s="132" t="str">
        <f t="shared" si="21"/>
        <v>#DIV/0!</v>
      </c>
      <c r="O242" s="133" t="str">
        <f t="shared" si="22"/>
        <v>#DIV/0!</v>
      </c>
      <c r="P242" s="47" t="str">
        <f>IFERROR(__xludf.DUMMYFUNCTION("IF(OR(A242="""",E242=""""),"""",IFERROR(LET(data,GOOGLEFINANCE(""NSE:""&amp;UPPER(TRIM(A242)),""close"",E242-3,E242,""DAILY""),INDEX(data,ROWS(data),2)),""Not Available""))"),"")</f>
        <v/>
      </c>
      <c r="Q242" s="51"/>
      <c r="R242" s="188" t="str">
        <f t="shared" si="23"/>
        <v>#DIV/0!</v>
      </c>
      <c r="S242" s="51" t="str">
        <f>IFERROR(__xludf.DUMMYFUNCTION("IF(OR(A242="""",E242=""""),"""",IFERROR(LET(data,GOOGLEFINANCE(""NSE:""&amp;UPPER(TRIM(A242)),""close"",Q242-3,Q242,""DAILY""),INDEX(data,ROWS(data),2)),""Not Available""))"),"")</f>
        <v/>
      </c>
      <c r="T242" s="189" t="str">
        <f t="shared" si="24"/>
        <v>#DIV/0!</v>
      </c>
      <c r="U242" s="52" t="str">
        <f t="shared" si="25"/>
        <v>#DIV/0!</v>
      </c>
      <c r="V242" s="190"/>
      <c r="W242" s="190"/>
      <c r="X242" s="190"/>
      <c r="Y242" s="56"/>
    </row>
    <row r="243">
      <c r="A243" s="220" t="s">
        <v>389</v>
      </c>
      <c r="B243" s="130"/>
      <c r="C243" s="130"/>
      <c r="D243" s="130"/>
      <c r="E243" s="199"/>
      <c r="F243" s="130"/>
      <c r="G243" s="130"/>
      <c r="H243" s="130"/>
      <c r="I243" s="130"/>
      <c r="J243" s="130"/>
      <c r="K243" s="130"/>
      <c r="L243" s="130" t="str">
        <f>IFERROR(__xludf.DUMMYFUNCTION("IF(OR(A243="""",D243=""""),"""",IFERROR(LET(data,GOOGLEFINANCE(""NSE:""&amp;UPPER(TRIM(A243)),""close"",D243-3,D243,""DAILY""),INDEX(data,ROWS(data),2)),""Not Available""))"),"")</f>
        <v/>
      </c>
      <c r="M243" s="131">
        <f>IFERROR(__xludf.DUMMYFUNCTION("IF(A243="""","""",IFERROR(GOOGLEFINANCE(""NSE:""&amp;UPPER(TRIM(A243)),""price""),""Not Available""))"),453.0)</f>
        <v>453</v>
      </c>
      <c r="N243" s="132" t="str">
        <f t="shared" si="21"/>
        <v>#DIV/0!</v>
      </c>
      <c r="O243" s="133" t="str">
        <f t="shared" si="22"/>
        <v>#DIV/0!</v>
      </c>
      <c r="P243" s="47" t="str">
        <f>IFERROR(__xludf.DUMMYFUNCTION("IF(OR(A243="""",E243=""""),"""",IFERROR(LET(data,GOOGLEFINANCE(""NSE:""&amp;UPPER(TRIM(A243)),""close"",E243-3,E243,""DAILY""),INDEX(data,ROWS(data),2)),""Not Available""))"),"")</f>
        <v/>
      </c>
      <c r="Q243" s="51"/>
      <c r="R243" s="188" t="str">
        <f t="shared" si="23"/>
        <v>#DIV/0!</v>
      </c>
      <c r="S243" s="51" t="str">
        <f>IFERROR(__xludf.DUMMYFUNCTION("IF(OR(A243="""",E243=""""),"""",IFERROR(LET(data,GOOGLEFINANCE(""NSE:""&amp;UPPER(TRIM(A243)),""close"",Q243-3,Q243,""DAILY""),INDEX(data,ROWS(data),2)),""Not Available""))"),"")</f>
        <v/>
      </c>
      <c r="T243" s="189" t="str">
        <f t="shared" si="24"/>
        <v>#DIV/0!</v>
      </c>
      <c r="U243" s="52" t="str">
        <f t="shared" si="25"/>
        <v>#DIV/0!</v>
      </c>
      <c r="V243" s="190"/>
      <c r="W243" s="190"/>
      <c r="X243" s="190"/>
      <c r="Y243" s="56"/>
    </row>
    <row r="244">
      <c r="A244" s="220" t="s">
        <v>390</v>
      </c>
      <c r="B244" s="130"/>
      <c r="C244" s="130"/>
      <c r="D244" s="130"/>
      <c r="E244" s="199"/>
      <c r="F244" s="130"/>
      <c r="G244" s="130"/>
      <c r="H244" s="130"/>
      <c r="I244" s="130"/>
      <c r="J244" s="130"/>
      <c r="K244" s="130"/>
      <c r="L244" s="130" t="str">
        <f>IFERROR(__xludf.DUMMYFUNCTION("IF(OR(A244="""",D244=""""),"""",IFERROR(LET(data,GOOGLEFINANCE(""NSE:""&amp;UPPER(TRIM(A244)),""close"",D244-3,D244,""DAILY""),INDEX(data,ROWS(data),2)),""Not Available""))"),"")</f>
        <v/>
      </c>
      <c r="M244" s="131">
        <f>IFERROR(__xludf.DUMMYFUNCTION("IF(A244="""","""",IFERROR(GOOGLEFINANCE(""NSE:""&amp;UPPER(TRIM(A244)),""price""),""Not Available""))"),1291.2)</f>
        <v>1291.2</v>
      </c>
      <c r="N244" s="132" t="str">
        <f t="shared" si="21"/>
        <v>#DIV/0!</v>
      </c>
      <c r="O244" s="133" t="str">
        <f t="shared" si="22"/>
        <v>#DIV/0!</v>
      </c>
      <c r="P244" s="47" t="str">
        <f>IFERROR(__xludf.DUMMYFUNCTION("IF(OR(A244="""",E244=""""),"""",IFERROR(LET(data,GOOGLEFINANCE(""NSE:""&amp;UPPER(TRIM(A244)),""close"",E244-3,E244,""DAILY""),INDEX(data,ROWS(data),2)),""Not Available""))"),"")</f>
        <v/>
      </c>
      <c r="Q244" s="51"/>
      <c r="R244" s="188" t="str">
        <f t="shared" si="23"/>
        <v>#DIV/0!</v>
      </c>
      <c r="S244" s="51" t="str">
        <f>IFERROR(__xludf.DUMMYFUNCTION("IF(OR(A244="""",E244=""""),"""",IFERROR(LET(data,GOOGLEFINANCE(""NSE:""&amp;UPPER(TRIM(A244)),""close"",Q244-3,Q244,""DAILY""),INDEX(data,ROWS(data),2)),""Not Available""))"),"")</f>
        <v/>
      </c>
      <c r="T244" s="189" t="str">
        <f t="shared" si="24"/>
        <v>#DIV/0!</v>
      </c>
      <c r="U244" s="52" t="str">
        <f t="shared" si="25"/>
        <v>#DIV/0!</v>
      </c>
      <c r="V244" s="190"/>
      <c r="W244" s="190"/>
      <c r="X244" s="190"/>
      <c r="Y244" s="56"/>
    </row>
    <row r="245">
      <c r="A245" s="220" t="s">
        <v>391</v>
      </c>
      <c r="B245" s="130"/>
      <c r="C245" s="130"/>
      <c r="D245" s="130"/>
      <c r="E245" s="199"/>
      <c r="F245" s="130"/>
      <c r="G245" s="130"/>
      <c r="H245" s="130"/>
      <c r="I245" s="130"/>
      <c r="J245" s="130"/>
      <c r="K245" s="130"/>
      <c r="L245" s="130" t="str">
        <f>IFERROR(__xludf.DUMMYFUNCTION("IF(OR(A245="""",D245=""""),"""",IFERROR(LET(data,GOOGLEFINANCE(""NSE:""&amp;UPPER(TRIM(A245)),""close"",D245-3,D245,""DAILY""),INDEX(data,ROWS(data),2)),""Not Available""))"),"")</f>
        <v/>
      </c>
      <c r="M245" s="131">
        <f>IFERROR(__xludf.DUMMYFUNCTION("IF(A245="""","""",IFERROR(GOOGLEFINANCE(""NSE:""&amp;UPPER(TRIM(A245)),""price""),""Not Available""))"),22.3)</f>
        <v>22.3</v>
      </c>
      <c r="N245" s="132" t="str">
        <f t="shared" si="21"/>
        <v>#DIV/0!</v>
      </c>
      <c r="O245" s="133" t="str">
        <f t="shared" si="22"/>
        <v>#DIV/0!</v>
      </c>
      <c r="P245" s="47" t="str">
        <f>IFERROR(__xludf.DUMMYFUNCTION("IF(OR(A245="""",E245=""""),"""",IFERROR(LET(data,GOOGLEFINANCE(""NSE:""&amp;UPPER(TRIM(A245)),""close"",E245-3,E245,""DAILY""),INDEX(data,ROWS(data),2)),""Not Available""))"),"")</f>
        <v/>
      </c>
      <c r="Q245" s="51"/>
      <c r="R245" s="188" t="str">
        <f t="shared" si="23"/>
        <v>#DIV/0!</v>
      </c>
      <c r="S245" s="51" t="str">
        <f>IFERROR(__xludf.DUMMYFUNCTION("IF(OR(A245="""",E245=""""),"""",IFERROR(LET(data,GOOGLEFINANCE(""NSE:""&amp;UPPER(TRIM(A245)),""close"",Q245-3,Q245,""DAILY""),INDEX(data,ROWS(data),2)),""Not Available""))"),"")</f>
        <v/>
      </c>
      <c r="T245" s="189" t="str">
        <f t="shared" si="24"/>
        <v>#DIV/0!</v>
      </c>
      <c r="U245" s="52" t="str">
        <f t="shared" si="25"/>
        <v>#DIV/0!</v>
      </c>
      <c r="V245" s="190"/>
      <c r="W245" s="190"/>
      <c r="X245" s="190"/>
      <c r="Y245" s="56"/>
    </row>
    <row r="246">
      <c r="A246" s="220" t="s">
        <v>392</v>
      </c>
      <c r="B246" s="130"/>
      <c r="C246" s="130"/>
      <c r="D246" s="130"/>
      <c r="E246" s="199"/>
      <c r="F246" s="130"/>
      <c r="G246" s="130"/>
      <c r="H246" s="130"/>
      <c r="I246" s="130"/>
      <c r="J246" s="130"/>
      <c r="K246" s="130"/>
      <c r="L246" s="130" t="str">
        <f>IFERROR(__xludf.DUMMYFUNCTION("IF(OR(A246="""",D246=""""),"""",IFERROR(LET(data,GOOGLEFINANCE(""NSE:""&amp;UPPER(TRIM(A246)),""close"",D246-3,D246,""DAILY""),INDEX(data,ROWS(data),2)),""Not Available""))"),"")</f>
        <v/>
      </c>
      <c r="M246" s="131">
        <f>IFERROR(__xludf.DUMMYFUNCTION("IF(A246="""","""",IFERROR(GOOGLEFINANCE(""NSE:""&amp;UPPER(TRIM(A246)),""price""),""Not Available""))"),854.8)</f>
        <v>854.8</v>
      </c>
      <c r="N246" s="132" t="str">
        <f t="shared" si="21"/>
        <v>#DIV/0!</v>
      </c>
      <c r="O246" s="133" t="str">
        <f t="shared" si="22"/>
        <v>#DIV/0!</v>
      </c>
      <c r="P246" s="47" t="str">
        <f>IFERROR(__xludf.DUMMYFUNCTION("IF(OR(A246="""",E246=""""),"""",IFERROR(LET(data,GOOGLEFINANCE(""NSE:""&amp;UPPER(TRIM(A246)),""close"",E246-3,E246,""DAILY""),INDEX(data,ROWS(data),2)),""Not Available""))"),"")</f>
        <v/>
      </c>
      <c r="Q246" s="51"/>
      <c r="R246" s="188" t="str">
        <f t="shared" si="23"/>
        <v>#DIV/0!</v>
      </c>
      <c r="S246" s="51" t="str">
        <f>IFERROR(__xludf.DUMMYFUNCTION("IF(OR(A246="""",E246=""""),"""",IFERROR(LET(data,GOOGLEFINANCE(""NSE:""&amp;UPPER(TRIM(A246)),""close"",Q246-3,Q246,""DAILY""),INDEX(data,ROWS(data),2)),""Not Available""))"),"")</f>
        <v/>
      </c>
      <c r="T246" s="189" t="str">
        <f t="shared" si="24"/>
        <v>#DIV/0!</v>
      </c>
      <c r="U246" s="52" t="str">
        <f t="shared" si="25"/>
        <v>#DIV/0!</v>
      </c>
      <c r="V246" s="190"/>
      <c r="W246" s="190"/>
      <c r="X246" s="190"/>
      <c r="Y246" s="56"/>
    </row>
    <row r="247">
      <c r="A247" s="220" t="s">
        <v>393</v>
      </c>
      <c r="B247" s="130"/>
      <c r="C247" s="130"/>
      <c r="D247" s="130"/>
      <c r="E247" s="199"/>
      <c r="F247" s="130"/>
      <c r="G247" s="130"/>
      <c r="H247" s="130"/>
      <c r="I247" s="130"/>
      <c r="J247" s="130"/>
      <c r="K247" s="130"/>
      <c r="L247" s="130" t="str">
        <f>IFERROR(__xludf.DUMMYFUNCTION("IF(OR(A247="""",D247=""""),"""",IFERROR(LET(data,GOOGLEFINANCE(""NSE:""&amp;UPPER(TRIM(A247)),""close"",D247-3,D247,""DAILY""),INDEX(data,ROWS(data),2)),""Not Available""))"),"")</f>
        <v/>
      </c>
      <c r="M247" s="131">
        <f>IFERROR(__xludf.DUMMYFUNCTION("IF(A247="""","""",IFERROR(GOOGLEFINANCE(""NSE:""&amp;UPPER(TRIM(A247)),""price""),""Not Available""))"),804.1)</f>
        <v>804.1</v>
      </c>
      <c r="N247" s="132" t="str">
        <f t="shared" si="21"/>
        <v>#DIV/0!</v>
      </c>
      <c r="O247" s="133" t="str">
        <f t="shared" si="22"/>
        <v>#DIV/0!</v>
      </c>
      <c r="P247" s="47" t="str">
        <f>IFERROR(__xludf.DUMMYFUNCTION("IF(OR(A247="""",E247=""""),"""",IFERROR(LET(data,GOOGLEFINANCE(""NSE:""&amp;UPPER(TRIM(A247)),""close"",E247-3,E247,""DAILY""),INDEX(data,ROWS(data),2)),""Not Available""))"),"")</f>
        <v/>
      </c>
      <c r="Q247" s="51"/>
      <c r="R247" s="188" t="str">
        <f t="shared" si="23"/>
        <v>#DIV/0!</v>
      </c>
      <c r="S247" s="51" t="str">
        <f>IFERROR(__xludf.DUMMYFUNCTION("IF(OR(A247="""",E247=""""),"""",IFERROR(LET(data,GOOGLEFINANCE(""NSE:""&amp;UPPER(TRIM(A247)),""close"",Q247-3,Q247,""DAILY""),INDEX(data,ROWS(data),2)),""Not Available""))"),"")</f>
        <v/>
      </c>
      <c r="T247" s="189" t="str">
        <f t="shared" si="24"/>
        <v>#DIV/0!</v>
      </c>
      <c r="U247" s="52" t="str">
        <f t="shared" si="25"/>
        <v>#DIV/0!</v>
      </c>
      <c r="V247" s="190"/>
      <c r="W247" s="190"/>
      <c r="X247" s="190"/>
      <c r="Y247" s="56"/>
    </row>
    <row r="248">
      <c r="A248" s="220" t="s">
        <v>394</v>
      </c>
      <c r="B248" s="130"/>
      <c r="C248" s="130"/>
      <c r="D248" s="130"/>
      <c r="E248" s="199"/>
      <c r="F248" s="130"/>
      <c r="G248" s="130"/>
      <c r="H248" s="130"/>
      <c r="I248" s="130"/>
      <c r="J248" s="130"/>
      <c r="K248" s="130"/>
      <c r="L248" s="130" t="str">
        <f>IFERROR(__xludf.DUMMYFUNCTION("IF(OR(A248="""",D248=""""),"""",IFERROR(LET(data,GOOGLEFINANCE(""NSE:""&amp;UPPER(TRIM(A248)),""close"",D248-3,D248,""DAILY""),INDEX(data,ROWS(data),2)),""Not Available""))"),"")</f>
        <v/>
      </c>
      <c r="M248" s="131">
        <f>IFERROR(__xludf.DUMMYFUNCTION("IF(A248="""","""",IFERROR(GOOGLEFINANCE(""NSE:""&amp;UPPER(TRIM(A248)),""price""),""Not Available""))"),156.45)</f>
        <v>156.45</v>
      </c>
      <c r="N248" s="132" t="str">
        <f t="shared" si="21"/>
        <v>#DIV/0!</v>
      </c>
      <c r="O248" s="133" t="str">
        <f t="shared" si="22"/>
        <v>#DIV/0!</v>
      </c>
      <c r="P248" s="47" t="str">
        <f>IFERROR(__xludf.DUMMYFUNCTION("IF(OR(A248="""",E248=""""),"""",IFERROR(LET(data,GOOGLEFINANCE(""NSE:""&amp;UPPER(TRIM(A248)),""close"",E248-3,E248,""DAILY""),INDEX(data,ROWS(data),2)),""Not Available""))"),"")</f>
        <v/>
      </c>
      <c r="Q248" s="51"/>
      <c r="R248" s="188" t="str">
        <f t="shared" si="23"/>
        <v>#DIV/0!</v>
      </c>
      <c r="S248" s="51" t="str">
        <f>IFERROR(__xludf.DUMMYFUNCTION("IF(OR(A248="""",E248=""""),"""",IFERROR(LET(data,GOOGLEFINANCE(""NSE:""&amp;UPPER(TRIM(A248)),""close"",Q248-3,Q248,""DAILY""),INDEX(data,ROWS(data),2)),""Not Available""))"),"")</f>
        <v/>
      </c>
      <c r="T248" s="189" t="str">
        <f t="shared" si="24"/>
        <v>#DIV/0!</v>
      </c>
      <c r="U248" s="52" t="str">
        <f t="shared" si="25"/>
        <v>#DIV/0!</v>
      </c>
      <c r="V248" s="190"/>
      <c r="W248" s="190"/>
      <c r="X248" s="190"/>
      <c r="Y248" s="56"/>
    </row>
    <row r="249">
      <c r="A249" s="220" t="s">
        <v>397</v>
      </c>
      <c r="B249" s="130"/>
      <c r="C249" s="130"/>
      <c r="D249" s="130"/>
      <c r="E249" s="199"/>
      <c r="F249" s="130"/>
      <c r="G249" s="130"/>
      <c r="H249" s="130"/>
      <c r="I249" s="130"/>
      <c r="J249" s="130"/>
      <c r="K249" s="130"/>
      <c r="L249" s="130" t="str">
        <f>IFERROR(__xludf.DUMMYFUNCTION("IF(OR(A249="""",D249=""""),"""",IFERROR(LET(data,GOOGLEFINANCE(""NSE:""&amp;UPPER(TRIM(A249)),""close"",D249-3,D249,""DAILY""),INDEX(data,ROWS(data),2)),""Not Available""))"),"")</f>
        <v/>
      </c>
      <c r="M249" s="131">
        <f>IFERROR(__xludf.DUMMYFUNCTION("IF(A249="""","""",IFERROR(GOOGLEFINANCE(""NSE:""&amp;UPPER(TRIM(A249)),""price""),""Not Available""))"),9628.5)</f>
        <v>9628.5</v>
      </c>
      <c r="N249" s="132" t="str">
        <f t="shared" si="21"/>
        <v>#DIV/0!</v>
      </c>
      <c r="O249" s="133" t="str">
        <f t="shared" si="22"/>
        <v>#DIV/0!</v>
      </c>
      <c r="P249" s="47" t="str">
        <f>IFERROR(__xludf.DUMMYFUNCTION("IF(OR(A249="""",E249=""""),"""",IFERROR(LET(data,GOOGLEFINANCE(""NSE:""&amp;UPPER(TRIM(A249)),""close"",E249-3,E249,""DAILY""),INDEX(data,ROWS(data),2)),""Not Available""))"),"")</f>
        <v/>
      </c>
      <c r="Q249" s="51"/>
      <c r="R249" s="188" t="str">
        <f t="shared" si="23"/>
        <v>#DIV/0!</v>
      </c>
      <c r="S249" s="51" t="str">
        <f>IFERROR(__xludf.DUMMYFUNCTION("IF(OR(A249="""",E249=""""),"""",IFERROR(LET(data,GOOGLEFINANCE(""NSE:""&amp;UPPER(TRIM(A249)),""close"",Q249-3,Q249,""DAILY""),INDEX(data,ROWS(data),2)),""Not Available""))"),"")</f>
        <v/>
      </c>
      <c r="T249" s="189" t="str">
        <f t="shared" si="24"/>
        <v>#DIV/0!</v>
      </c>
      <c r="U249" s="52" t="str">
        <f t="shared" si="25"/>
        <v>#DIV/0!</v>
      </c>
      <c r="V249" s="190"/>
      <c r="W249" s="190"/>
      <c r="X249" s="190"/>
      <c r="Y249" s="56"/>
    </row>
    <row r="250">
      <c r="A250" s="220" t="s">
        <v>398</v>
      </c>
      <c r="B250" s="130"/>
      <c r="C250" s="130"/>
      <c r="D250" s="130"/>
      <c r="E250" s="199"/>
      <c r="F250" s="130"/>
      <c r="G250" s="130"/>
      <c r="H250" s="130"/>
      <c r="I250" s="130"/>
      <c r="J250" s="130"/>
      <c r="K250" s="130"/>
      <c r="L250" s="130" t="str">
        <f>IFERROR(__xludf.DUMMYFUNCTION("IF(OR(A250="""",D250=""""),"""",IFERROR(LET(data,GOOGLEFINANCE(""NSE:""&amp;UPPER(TRIM(A250)),""close"",D250-3,D250,""DAILY""),INDEX(data,ROWS(data),2)),""Not Available""))"),"")</f>
        <v/>
      </c>
      <c r="M250" s="131">
        <f>IFERROR(__xludf.DUMMYFUNCTION("IF(A250="""","""",IFERROR(GOOGLEFINANCE(""NSE:""&amp;UPPER(TRIM(A250)),""price""),""Not Available""))"),2185.3)</f>
        <v>2185.3</v>
      </c>
      <c r="N250" s="132" t="str">
        <f t="shared" si="21"/>
        <v>#DIV/0!</v>
      </c>
      <c r="O250" s="133" t="str">
        <f t="shared" si="22"/>
        <v>#DIV/0!</v>
      </c>
      <c r="P250" s="47" t="str">
        <f>IFERROR(__xludf.DUMMYFUNCTION("IF(OR(A250="""",E250=""""),"""",IFERROR(LET(data,GOOGLEFINANCE(""NSE:""&amp;UPPER(TRIM(A250)),""close"",E250-3,E250,""DAILY""),INDEX(data,ROWS(data),2)),""Not Available""))"),"")</f>
        <v/>
      </c>
      <c r="Q250" s="51"/>
      <c r="R250" s="188" t="str">
        <f t="shared" si="23"/>
        <v>#DIV/0!</v>
      </c>
      <c r="S250" s="51" t="str">
        <f>IFERROR(__xludf.DUMMYFUNCTION("IF(OR(A250="""",E250=""""),"""",IFERROR(LET(data,GOOGLEFINANCE(""NSE:""&amp;UPPER(TRIM(A250)),""close"",Q250-3,Q250,""DAILY""),INDEX(data,ROWS(data),2)),""Not Available""))"),"")</f>
        <v/>
      </c>
      <c r="T250" s="189" t="str">
        <f t="shared" si="24"/>
        <v>#DIV/0!</v>
      </c>
      <c r="U250" s="52" t="str">
        <f t="shared" si="25"/>
        <v>#DIV/0!</v>
      </c>
      <c r="V250" s="190"/>
      <c r="W250" s="190"/>
      <c r="X250" s="190"/>
      <c r="Y250" s="56"/>
    </row>
    <row r="251">
      <c r="A251" s="220" t="s">
        <v>399</v>
      </c>
      <c r="B251" s="130"/>
      <c r="C251" s="130"/>
      <c r="D251" s="130"/>
      <c r="E251" s="199"/>
      <c r="F251" s="130"/>
      <c r="G251" s="130"/>
      <c r="H251" s="130"/>
      <c r="I251" s="130"/>
      <c r="J251" s="130"/>
      <c r="K251" s="130"/>
      <c r="L251" s="130" t="str">
        <f>IFERROR(__xludf.DUMMYFUNCTION("IF(OR(A251="""",D251=""""),"""",IFERROR(LET(data,GOOGLEFINANCE(""NSE:""&amp;UPPER(TRIM(A251)),""close"",D251-3,D251,""DAILY""),INDEX(data,ROWS(data),2)),""Not Available""))"),"")</f>
        <v/>
      </c>
      <c r="M251" s="131">
        <f>IFERROR(__xludf.DUMMYFUNCTION("IF(A251="""","""",IFERROR(GOOGLEFINANCE(""NSE:""&amp;UPPER(TRIM(A251)),""price""),""Not Available""))"),306.4)</f>
        <v>306.4</v>
      </c>
      <c r="N251" s="132" t="str">
        <f t="shared" si="21"/>
        <v>#DIV/0!</v>
      </c>
      <c r="O251" s="133" t="str">
        <f t="shared" si="22"/>
        <v>#DIV/0!</v>
      </c>
      <c r="P251" s="47" t="str">
        <f>IFERROR(__xludf.DUMMYFUNCTION("IF(OR(A251="""",E251=""""),"""",IFERROR(LET(data,GOOGLEFINANCE(""NSE:""&amp;UPPER(TRIM(A251)),""close"",E251-3,E251,""DAILY""),INDEX(data,ROWS(data),2)),""Not Available""))"),"")</f>
        <v/>
      </c>
      <c r="Q251" s="51"/>
      <c r="R251" s="188" t="str">
        <f t="shared" si="23"/>
        <v>#DIV/0!</v>
      </c>
      <c r="S251" s="51" t="str">
        <f>IFERROR(__xludf.DUMMYFUNCTION("IF(OR(A251="""",E251=""""),"""",IFERROR(LET(data,GOOGLEFINANCE(""NSE:""&amp;UPPER(TRIM(A251)),""close"",Q251-3,Q251,""DAILY""),INDEX(data,ROWS(data),2)),""Not Available""))"),"")</f>
        <v/>
      </c>
      <c r="T251" s="189" t="str">
        <f t="shared" si="24"/>
        <v>#DIV/0!</v>
      </c>
      <c r="U251" s="52" t="str">
        <f t="shared" si="25"/>
        <v>#DIV/0!</v>
      </c>
      <c r="V251" s="190"/>
      <c r="W251" s="190"/>
      <c r="X251" s="190"/>
      <c r="Y251" s="56"/>
    </row>
    <row r="252">
      <c r="A252" s="220" t="s">
        <v>400</v>
      </c>
      <c r="B252" s="130"/>
      <c r="C252" s="130"/>
      <c r="D252" s="130"/>
      <c r="E252" s="199"/>
      <c r="F252" s="130"/>
      <c r="G252" s="130"/>
      <c r="H252" s="130"/>
      <c r="I252" s="130"/>
      <c r="J252" s="130"/>
      <c r="K252" s="130"/>
      <c r="L252" s="130" t="str">
        <f>IFERROR(__xludf.DUMMYFUNCTION("IF(OR(A252="""",D252=""""),"""",IFERROR(LET(data,GOOGLEFINANCE(""NSE:""&amp;UPPER(TRIM(A252)),""close"",D252-3,D252,""DAILY""),INDEX(data,ROWS(data),2)),""Not Available""))"),"")</f>
        <v/>
      </c>
      <c r="M252" s="131">
        <f>IFERROR(__xludf.DUMMYFUNCTION("IF(A252="""","""",IFERROR(GOOGLEFINANCE(""NSE:""&amp;UPPER(TRIM(A252)),""price""),""Not Available""))"),144.35)</f>
        <v>144.35</v>
      </c>
      <c r="N252" s="132" t="str">
        <f t="shared" si="21"/>
        <v>#DIV/0!</v>
      </c>
      <c r="O252" s="133" t="str">
        <f t="shared" si="22"/>
        <v>#DIV/0!</v>
      </c>
      <c r="P252" s="47" t="str">
        <f>IFERROR(__xludf.DUMMYFUNCTION("IF(OR(A252="""",E252=""""),"""",IFERROR(LET(data,GOOGLEFINANCE(""NSE:""&amp;UPPER(TRIM(A252)),""close"",E252-3,E252,""DAILY""),INDEX(data,ROWS(data),2)),""Not Available""))"),"")</f>
        <v/>
      </c>
      <c r="Q252" s="51"/>
      <c r="R252" s="188" t="str">
        <f t="shared" si="23"/>
        <v>#DIV/0!</v>
      </c>
      <c r="S252" s="51" t="str">
        <f>IFERROR(__xludf.DUMMYFUNCTION("IF(OR(A252="""",E252=""""),"""",IFERROR(LET(data,GOOGLEFINANCE(""NSE:""&amp;UPPER(TRIM(A252)),""close"",Q252-3,Q252,""DAILY""),INDEX(data,ROWS(data),2)),""Not Available""))"),"")</f>
        <v/>
      </c>
      <c r="T252" s="189" t="str">
        <f t="shared" si="24"/>
        <v>#DIV/0!</v>
      </c>
      <c r="U252" s="52" t="str">
        <f t="shared" si="25"/>
        <v>#DIV/0!</v>
      </c>
      <c r="V252" s="190"/>
      <c r="W252" s="190"/>
      <c r="X252" s="190"/>
      <c r="Y252" s="56"/>
    </row>
    <row r="253">
      <c r="A253" s="220" t="s">
        <v>402</v>
      </c>
      <c r="B253" s="130"/>
      <c r="C253" s="130"/>
      <c r="D253" s="130"/>
      <c r="E253" s="199"/>
      <c r="F253" s="130"/>
      <c r="G253" s="130"/>
      <c r="H253" s="130"/>
      <c r="I253" s="130"/>
      <c r="J253" s="130"/>
      <c r="K253" s="130"/>
      <c r="L253" s="130" t="str">
        <f>IFERROR(__xludf.DUMMYFUNCTION("IF(OR(A253="""",D253=""""),"""",IFERROR(LET(data,GOOGLEFINANCE(""NSE:""&amp;UPPER(TRIM(A253)),""close"",D253-3,D253,""DAILY""),INDEX(data,ROWS(data),2)),""Not Available""))"),"")</f>
        <v/>
      </c>
      <c r="M253" s="131">
        <f>IFERROR(__xludf.DUMMYFUNCTION("IF(A253="""","""",IFERROR(GOOGLEFINANCE(""NSE:""&amp;UPPER(TRIM(A253)),""price""),""Not Available""))"),607.3)</f>
        <v>607.3</v>
      </c>
      <c r="N253" s="132" t="str">
        <f t="shared" si="21"/>
        <v>#DIV/0!</v>
      </c>
      <c r="O253" s="133" t="str">
        <f t="shared" si="22"/>
        <v>#DIV/0!</v>
      </c>
      <c r="P253" s="47" t="str">
        <f>IFERROR(__xludf.DUMMYFUNCTION("IF(OR(A253="""",E253=""""),"""",IFERROR(LET(data,GOOGLEFINANCE(""NSE:""&amp;UPPER(TRIM(A253)),""close"",E253-3,E253,""DAILY""),INDEX(data,ROWS(data),2)),""Not Available""))"),"")</f>
        <v/>
      </c>
      <c r="Q253" s="51"/>
      <c r="R253" s="188" t="str">
        <f t="shared" si="23"/>
        <v>#DIV/0!</v>
      </c>
      <c r="S253" s="51" t="str">
        <f>IFERROR(__xludf.DUMMYFUNCTION("IF(OR(A253="""",E253=""""),"""",IFERROR(LET(data,GOOGLEFINANCE(""NSE:""&amp;UPPER(TRIM(A253)),""close"",Q253-3,Q253,""DAILY""),INDEX(data,ROWS(data),2)),""Not Available""))"),"")</f>
        <v/>
      </c>
      <c r="T253" s="189" t="str">
        <f t="shared" si="24"/>
        <v>#DIV/0!</v>
      </c>
      <c r="U253" s="52" t="str">
        <f t="shared" si="25"/>
        <v>#DIV/0!</v>
      </c>
      <c r="V253" s="190"/>
      <c r="W253" s="190"/>
      <c r="X253" s="190"/>
      <c r="Y253" s="56"/>
    </row>
    <row r="254">
      <c r="A254" s="220" t="s">
        <v>403</v>
      </c>
      <c r="B254" s="130"/>
      <c r="C254" s="130"/>
      <c r="D254" s="130"/>
      <c r="E254" s="199"/>
      <c r="F254" s="130"/>
      <c r="G254" s="130"/>
      <c r="H254" s="130"/>
      <c r="I254" s="130"/>
      <c r="J254" s="130"/>
      <c r="K254" s="130"/>
      <c r="L254" s="130" t="str">
        <f>IFERROR(__xludf.DUMMYFUNCTION("IF(OR(A254="""",D254=""""),"""",IFERROR(LET(data,GOOGLEFINANCE(""NSE:""&amp;UPPER(TRIM(A254)),""close"",D254-3,D254,""DAILY""),INDEX(data,ROWS(data),2)),""Not Available""))"),"")</f>
        <v/>
      </c>
      <c r="M254" s="131">
        <f>IFERROR(__xludf.DUMMYFUNCTION("IF(A254="""","""",IFERROR(GOOGLEFINANCE(""NSE:""&amp;UPPER(TRIM(A254)),""price""),""Not Available""))"),89.59)</f>
        <v>89.59</v>
      </c>
      <c r="N254" s="132" t="str">
        <f t="shared" si="21"/>
        <v>#DIV/0!</v>
      </c>
      <c r="O254" s="133" t="str">
        <f t="shared" si="22"/>
        <v>#DIV/0!</v>
      </c>
      <c r="P254" s="47" t="str">
        <f>IFERROR(__xludf.DUMMYFUNCTION("IF(OR(A254="""",E254=""""),"""",IFERROR(LET(data,GOOGLEFINANCE(""NSE:""&amp;UPPER(TRIM(A254)),""close"",E254-3,E254,""DAILY""),INDEX(data,ROWS(data),2)),""Not Available""))"),"")</f>
        <v/>
      </c>
      <c r="Q254" s="51"/>
      <c r="R254" s="188" t="str">
        <f t="shared" si="23"/>
        <v>#DIV/0!</v>
      </c>
      <c r="S254" s="51" t="str">
        <f>IFERROR(__xludf.DUMMYFUNCTION("IF(OR(A254="""",E254=""""),"""",IFERROR(LET(data,GOOGLEFINANCE(""NSE:""&amp;UPPER(TRIM(A254)),""close"",Q254-3,Q254,""DAILY""),INDEX(data,ROWS(data),2)),""Not Available""))"),"")</f>
        <v/>
      </c>
      <c r="T254" s="189" t="str">
        <f t="shared" si="24"/>
        <v>#DIV/0!</v>
      </c>
      <c r="U254" s="52" t="str">
        <f t="shared" si="25"/>
        <v>#DIV/0!</v>
      </c>
      <c r="V254" s="190"/>
      <c r="W254" s="190"/>
      <c r="X254" s="190"/>
      <c r="Y254" s="56"/>
    </row>
    <row r="255">
      <c r="A255" s="220" t="s">
        <v>405</v>
      </c>
      <c r="B255" s="130"/>
      <c r="C255" s="130"/>
      <c r="D255" s="130"/>
      <c r="E255" s="199"/>
      <c r="F255" s="130"/>
      <c r="G255" s="130"/>
      <c r="H255" s="130"/>
      <c r="I255" s="130"/>
      <c r="J255" s="130"/>
      <c r="K255" s="130"/>
      <c r="L255" s="130" t="str">
        <f>IFERROR(__xludf.DUMMYFUNCTION("IF(OR(A255="""",D255=""""),"""",IFERROR(LET(data,GOOGLEFINANCE(""NSE:""&amp;UPPER(TRIM(A255)),""close"",D255-3,D255,""DAILY""),INDEX(data,ROWS(data),2)),""Not Available""))"),"")</f>
        <v/>
      </c>
      <c r="M255" s="131">
        <f>IFERROR(__xludf.DUMMYFUNCTION("IF(A255="""","""",IFERROR(GOOGLEFINANCE(""NSE:""&amp;UPPER(TRIM(A255)),""price""),""Not Available""))"),294.05)</f>
        <v>294.05</v>
      </c>
      <c r="N255" s="132" t="str">
        <f t="shared" si="21"/>
        <v>#DIV/0!</v>
      </c>
      <c r="O255" s="133" t="str">
        <f t="shared" si="22"/>
        <v>#DIV/0!</v>
      </c>
      <c r="P255" s="47" t="str">
        <f>IFERROR(__xludf.DUMMYFUNCTION("IF(OR(A255="""",E255=""""),"""",IFERROR(LET(data,GOOGLEFINANCE(""NSE:""&amp;UPPER(TRIM(A255)),""close"",E255-3,E255,""DAILY""),INDEX(data,ROWS(data),2)),""Not Available""))"),"")</f>
        <v/>
      </c>
      <c r="Q255" s="51"/>
      <c r="R255" s="188" t="str">
        <f t="shared" si="23"/>
        <v>#DIV/0!</v>
      </c>
      <c r="S255" s="51" t="str">
        <f>IFERROR(__xludf.DUMMYFUNCTION("IF(OR(A255="""",E255=""""),"""",IFERROR(LET(data,GOOGLEFINANCE(""NSE:""&amp;UPPER(TRIM(A255)),""close"",Q255-3,Q255,""DAILY""),INDEX(data,ROWS(data),2)),""Not Available""))"),"")</f>
        <v/>
      </c>
      <c r="T255" s="189" t="str">
        <f t="shared" si="24"/>
        <v>#DIV/0!</v>
      </c>
      <c r="U255" s="52" t="str">
        <f t="shared" si="25"/>
        <v>#DIV/0!</v>
      </c>
      <c r="V255" s="190"/>
      <c r="W255" s="190"/>
      <c r="X255" s="190"/>
      <c r="Y255" s="56"/>
    </row>
    <row r="256">
      <c r="A256" s="227" t="s">
        <v>242</v>
      </c>
      <c r="B256" s="130"/>
      <c r="C256" s="130"/>
      <c r="D256" s="130"/>
      <c r="E256" s="199"/>
      <c r="F256" s="130"/>
      <c r="G256" s="130"/>
      <c r="H256" s="130"/>
      <c r="I256" s="130"/>
      <c r="J256" s="130"/>
      <c r="K256" s="130"/>
      <c r="L256" s="130" t="str">
        <f>IFERROR(__xludf.DUMMYFUNCTION("IF(OR(A256="""",D256=""""),"""",IFERROR(LET(data,GOOGLEFINANCE(""NSE:""&amp;UPPER(TRIM(A256)),""close"",D256-3,D256,""DAILY""),INDEX(data,ROWS(data),2)),""Not Available""))"),"")</f>
        <v/>
      </c>
      <c r="M256" s="131">
        <f>IFERROR(__xludf.DUMMYFUNCTION("IF(A256="""","""",IFERROR(GOOGLEFINANCE(""NSE:""&amp;UPPER(TRIM(A256)),""price""),""Not Available""))"),966.25)</f>
        <v>966.25</v>
      </c>
      <c r="N256" s="132" t="str">
        <f t="shared" si="21"/>
        <v>#DIV/0!</v>
      </c>
      <c r="O256" s="133" t="str">
        <f t="shared" si="22"/>
        <v>#DIV/0!</v>
      </c>
      <c r="P256" s="47" t="str">
        <f>IFERROR(__xludf.DUMMYFUNCTION("IF(OR(A256="""",E256=""""),"""",IFERROR(LET(data,GOOGLEFINANCE(""NSE:""&amp;UPPER(TRIM(A256)),""close"",E256-3,E256,""DAILY""),INDEX(data,ROWS(data),2)),""Not Available""))"),"")</f>
        <v/>
      </c>
      <c r="Q256" s="51"/>
      <c r="R256" s="188" t="str">
        <f t="shared" si="23"/>
        <v>#DIV/0!</v>
      </c>
      <c r="S256" s="51" t="str">
        <f>IFERROR(__xludf.DUMMYFUNCTION("IF(OR(A256="""",E256=""""),"""",IFERROR(LET(data,GOOGLEFINANCE(""NSE:""&amp;UPPER(TRIM(A256)),""close"",Q256-3,Q256,""DAILY""),INDEX(data,ROWS(data),2)),""Not Available""))"),"")</f>
        <v/>
      </c>
      <c r="T256" s="189" t="str">
        <f t="shared" si="24"/>
        <v>#DIV/0!</v>
      </c>
      <c r="U256" s="52" t="str">
        <f t="shared" si="25"/>
        <v>#DIV/0!</v>
      </c>
      <c r="V256" s="190"/>
      <c r="W256" s="190"/>
      <c r="X256" s="190"/>
      <c r="Y256" s="56"/>
    </row>
    <row r="257">
      <c r="A257" s="220" t="s">
        <v>232</v>
      </c>
      <c r="B257" s="130"/>
      <c r="C257" s="130"/>
      <c r="D257" s="130"/>
      <c r="E257" s="199"/>
      <c r="F257" s="130"/>
      <c r="G257" s="130"/>
      <c r="H257" s="130"/>
      <c r="I257" s="130"/>
      <c r="J257" s="130"/>
      <c r="K257" s="130"/>
      <c r="L257" s="130" t="str">
        <f>IFERROR(__xludf.DUMMYFUNCTION("IF(OR(A257="""",D257=""""),"""",IFERROR(LET(data,GOOGLEFINANCE(""NSE:""&amp;UPPER(TRIM(A257)),""close"",D257-3,D257,""DAILY""),INDEX(data,ROWS(data),2)),""Not Available""))"),"")</f>
        <v/>
      </c>
      <c r="M257" s="131">
        <f>IFERROR(__xludf.DUMMYFUNCTION("IF(A257="""","""",IFERROR(GOOGLEFINANCE(""NSE:""&amp;UPPER(TRIM(A257)),""price""),""Not Available""))"),935.1)</f>
        <v>935.1</v>
      </c>
      <c r="N257" s="132" t="str">
        <f t="shared" si="21"/>
        <v>#DIV/0!</v>
      </c>
      <c r="O257" s="133" t="str">
        <f t="shared" si="22"/>
        <v>#DIV/0!</v>
      </c>
      <c r="P257" s="47" t="str">
        <f>IFERROR(__xludf.DUMMYFUNCTION("IF(OR(A257="""",E257=""""),"""",IFERROR(LET(data,GOOGLEFINANCE(""NSE:""&amp;UPPER(TRIM(A257)),""close"",E257-3,E257,""DAILY""),INDEX(data,ROWS(data),2)),""Not Available""))"),"")</f>
        <v/>
      </c>
      <c r="Q257" s="51"/>
      <c r="R257" s="188" t="str">
        <f t="shared" si="23"/>
        <v>#DIV/0!</v>
      </c>
      <c r="S257" s="51" t="str">
        <f>IFERROR(__xludf.DUMMYFUNCTION("IF(OR(A257="""",E257=""""),"""",IFERROR(LET(data,GOOGLEFINANCE(""NSE:""&amp;UPPER(TRIM(A257)),""close"",Q257-3,Q257,""DAILY""),INDEX(data,ROWS(data),2)),""Not Available""))"),"")</f>
        <v/>
      </c>
      <c r="T257" s="189" t="str">
        <f t="shared" si="24"/>
        <v>#DIV/0!</v>
      </c>
      <c r="U257" s="52" t="str">
        <f t="shared" si="25"/>
        <v>#DIV/0!</v>
      </c>
      <c r="V257" s="190"/>
      <c r="W257" s="190"/>
      <c r="X257" s="190"/>
      <c r="Y257" s="56"/>
    </row>
    <row r="258">
      <c r="A258" s="220" t="s">
        <v>407</v>
      </c>
      <c r="B258" s="130"/>
      <c r="C258" s="130"/>
      <c r="D258" s="130"/>
      <c r="E258" s="199"/>
      <c r="F258" s="130"/>
      <c r="G258" s="130"/>
      <c r="H258" s="130"/>
      <c r="I258" s="130"/>
      <c r="J258" s="130"/>
      <c r="K258" s="130"/>
      <c r="L258" s="130" t="str">
        <f>IFERROR(__xludf.DUMMYFUNCTION("IF(OR(A258="""",D258=""""),"""",IFERROR(LET(data,GOOGLEFINANCE(""NSE:""&amp;UPPER(TRIM(A258)),""close"",D258-3,D258,""DAILY""),INDEX(data,ROWS(data),2)),""Not Available""))"),"")</f>
        <v/>
      </c>
      <c r="M258" s="131">
        <f>IFERROR(__xludf.DUMMYFUNCTION("IF(A258="""","""",IFERROR(GOOGLEFINANCE(""NSE:""&amp;UPPER(TRIM(A258)),""price""),""Not Available""))"),267.65)</f>
        <v>267.65</v>
      </c>
      <c r="N258" s="132" t="str">
        <f t="shared" si="21"/>
        <v>#DIV/0!</v>
      </c>
      <c r="O258" s="133" t="str">
        <f t="shared" si="22"/>
        <v>#DIV/0!</v>
      </c>
      <c r="P258" s="47" t="str">
        <f>IFERROR(__xludf.DUMMYFUNCTION("IF(OR(A258="""",E258=""""),"""",IFERROR(LET(data,GOOGLEFINANCE(""NSE:""&amp;UPPER(TRIM(A258)),""close"",E258-3,E258,""DAILY""),INDEX(data,ROWS(data),2)),""Not Available""))"),"")</f>
        <v/>
      </c>
      <c r="Q258" s="51"/>
      <c r="R258" s="188" t="str">
        <f t="shared" si="23"/>
        <v>#DIV/0!</v>
      </c>
      <c r="S258" s="51" t="str">
        <f>IFERROR(__xludf.DUMMYFUNCTION("IF(OR(A258="""",E258=""""),"""",IFERROR(LET(data,GOOGLEFINANCE(""NSE:""&amp;UPPER(TRIM(A258)),""close"",Q258-3,Q258,""DAILY""),INDEX(data,ROWS(data),2)),""Not Available""))"),"")</f>
        <v/>
      </c>
      <c r="T258" s="189" t="str">
        <f t="shared" si="24"/>
        <v>#DIV/0!</v>
      </c>
      <c r="U258" s="52" t="str">
        <f t="shared" si="25"/>
        <v>#DIV/0!</v>
      </c>
      <c r="V258" s="190"/>
      <c r="W258" s="190"/>
      <c r="X258" s="190"/>
      <c r="Y258" s="56"/>
    </row>
    <row r="259">
      <c r="A259" s="220" t="s">
        <v>145</v>
      </c>
      <c r="B259" s="130"/>
      <c r="C259" s="130"/>
      <c r="D259" s="130"/>
      <c r="E259" s="199"/>
      <c r="F259" s="130"/>
      <c r="G259" s="130"/>
      <c r="H259" s="130"/>
      <c r="I259" s="130"/>
      <c r="J259" s="130"/>
      <c r="K259" s="130"/>
      <c r="L259" s="130" t="str">
        <f>IFERROR(__xludf.DUMMYFUNCTION("IF(OR(A259="""",D259=""""),"""",IFERROR(LET(data,GOOGLEFINANCE(""NSE:""&amp;UPPER(TRIM(A259)),""close"",D259-3,D259,""DAILY""),INDEX(data,ROWS(data),2)),""Not Available""))"),"")</f>
        <v/>
      </c>
      <c r="M259" s="131">
        <f>IFERROR(__xludf.DUMMYFUNCTION("IF(A259="""","""",IFERROR(GOOGLEFINANCE(""NSE:""&amp;UPPER(TRIM(A259)),""price""),""Not Available""))"),457.45)</f>
        <v>457.45</v>
      </c>
      <c r="N259" s="132" t="str">
        <f t="shared" si="21"/>
        <v>#DIV/0!</v>
      </c>
      <c r="O259" s="133" t="str">
        <f t="shared" si="22"/>
        <v>#DIV/0!</v>
      </c>
      <c r="P259" s="47" t="str">
        <f>IFERROR(__xludf.DUMMYFUNCTION("IF(OR(A259="""",E259=""""),"""",IFERROR(LET(data,GOOGLEFINANCE(""NSE:""&amp;UPPER(TRIM(A259)),""close"",E259-3,E259,""DAILY""),INDEX(data,ROWS(data),2)),""Not Available""))"),"")</f>
        <v/>
      </c>
      <c r="Q259" s="51"/>
      <c r="R259" s="188" t="str">
        <f t="shared" si="23"/>
        <v>#DIV/0!</v>
      </c>
      <c r="S259" s="51" t="str">
        <f>IFERROR(__xludf.DUMMYFUNCTION("IF(OR(A259="""",E259=""""),"""",IFERROR(LET(data,GOOGLEFINANCE(""NSE:""&amp;UPPER(TRIM(A259)),""close"",Q259-3,Q259,""DAILY""),INDEX(data,ROWS(data),2)),""Not Available""))"),"")</f>
        <v/>
      </c>
      <c r="T259" s="189" t="str">
        <f t="shared" si="24"/>
        <v>#DIV/0!</v>
      </c>
      <c r="U259" s="52" t="str">
        <f t="shared" si="25"/>
        <v>#DIV/0!</v>
      </c>
      <c r="V259" s="190"/>
      <c r="W259" s="190"/>
      <c r="X259" s="190"/>
      <c r="Y259" s="56"/>
    </row>
    <row r="260">
      <c r="A260" s="220" t="s">
        <v>408</v>
      </c>
      <c r="B260" s="130"/>
      <c r="C260" s="130"/>
      <c r="D260" s="130"/>
      <c r="E260" s="199"/>
      <c r="F260" s="130"/>
      <c r="G260" s="130"/>
      <c r="H260" s="130"/>
      <c r="I260" s="130"/>
      <c r="J260" s="130"/>
      <c r="K260" s="130"/>
      <c r="L260" s="130" t="str">
        <f>IFERROR(__xludf.DUMMYFUNCTION("IF(OR(A260="""",D260=""""),"""",IFERROR(LET(data,GOOGLEFINANCE(""NSE:""&amp;UPPER(TRIM(A260)),""close"",D260-3,D260,""DAILY""),INDEX(data,ROWS(data),2)),""Not Available""))"),"")</f>
        <v/>
      </c>
      <c r="M260" s="131">
        <f>IFERROR(__xludf.DUMMYFUNCTION("IF(A260="""","""",IFERROR(GOOGLEFINANCE(""NSE:""&amp;UPPER(TRIM(A260)),""price""),""Not Available""))"),2916.3)</f>
        <v>2916.3</v>
      </c>
      <c r="N260" s="132" t="str">
        <f t="shared" si="21"/>
        <v>#DIV/0!</v>
      </c>
      <c r="O260" s="133" t="str">
        <f t="shared" si="22"/>
        <v>#DIV/0!</v>
      </c>
      <c r="P260" s="47" t="str">
        <f>IFERROR(__xludf.DUMMYFUNCTION("IF(OR(A260="""",E260=""""),"""",IFERROR(LET(data,GOOGLEFINANCE(""NSE:""&amp;UPPER(TRIM(A260)),""close"",E260-3,E260,""DAILY""),INDEX(data,ROWS(data),2)),""Not Available""))"),"")</f>
        <v/>
      </c>
      <c r="Q260" s="51"/>
      <c r="R260" s="188" t="str">
        <f t="shared" si="23"/>
        <v>#DIV/0!</v>
      </c>
      <c r="S260" s="51" t="str">
        <f>IFERROR(__xludf.DUMMYFUNCTION("IF(OR(A260="""",E260=""""),"""",IFERROR(LET(data,GOOGLEFINANCE(""NSE:""&amp;UPPER(TRIM(A260)),""close"",Q260-3,Q260,""DAILY""),INDEX(data,ROWS(data),2)),""Not Available""))"),"")</f>
        <v/>
      </c>
      <c r="T260" s="189" t="str">
        <f t="shared" si="24"/>
        <v>#DIV/0!</v>
      </c>
      <c r="U260" s="52" t="str">
        <f t="shared" si="25"/>
        <v>#DIV/0!</v>
      </c>
      <c r="V260" s="190"/>
      <c r="W260" s="190"/>
      <c r="X260" s="190"/>
      <c r="Y260" s="56"/>
    </row>
    <row r="261">
      <c r="A261" s="220" t="s">
        <v>409</v>
      </c>
      <c r="B261" s="130"/>
      <c r="C261" s="130"/>
      <c r="D261" s="130"/>
      <c r="E261" s="199"/>
      <c r="F261" s="130"/>
      <c r="G261" s="130"/>
      <c r="H261" s="130"/>
      <c r="I261" s="130"/>
      <c r="J261" s="130"/>
      <c r="K261" s="130"/>
      <c r="L261" s="130" t="str">
        <f>IFERROR(__xludf.DUMMYFUNCTION("IF(OR(A261="""",D261=""""),"""",IFERROR(LET(data,GOOGLEFINANCE(""NSE:""&amp;UPPER(TRIM(A261)),""close"",D261-3,D261,""DAILY""),INDEX(data,ROWS(data),2)),""Not Available""))"),"")</f>
        <v/>
      </c>
      <c r="M261" s="131">
        <f>IFERROR(__xludf.DUMMYFUNCTION("IF(A261="""","""",IFERROR(GOOGLEFINANCE(""NSE:""&amp;UPPER(TRIM(A261)),""price""),""Not Available""))"),90.24)</f>
        <v>90.24</v>
      </c>
      <c r="N261" s="132" t="str">
        <f t="shared" si="21"/>
        <v>#DIV/0!</v>
      </c>
      <c r="O261" s="133" t="str">
        <f t="shared" si="22"/>
        <v>#DIV/0!</v>
      </c>
      <c r="P261" s="47" t="str">
        <f>IFERROR(__xludf.DUMMYFUNCTION("IF(OR(A261="""",E261=""""),"""",IFERROR(LET(data,GOOGLEFINANCE(""NSE:""&amp;UPPER(TRIM(A261)),""close"",E261-3,E261,""DAILY""),INDEX(data,ROWS(data),2)),""Not Available""))"),"")</f>
        <v/>
      </c>
      <c r="Q261" s="51"/>
      <c r="R261" s="188" t="str">
        <f t="shared" si="23"/>
        <v>#DIV/0!</v>
      </c>
      <c r="S261" s="51" t="str">
        <f>IFERROR(__xludf.DUMMYFUNCTION("IF(OR(A261="""",E261=""""),"""",IFERROR(LET(data,GOOGLEFINANCE(""NSE:""&amp;UPPER(TRIM(A261)),""close"",Q261-3,Q261,""DAILY""),INDEX(data,ROWS(data),2)),""Not Available""))"),"")</f>
        <v/>
      </c>
      <c r="T261" s="189" t="str">
        <f t="shared" si="24"/>
        <v>#DIV/0!</v>
      </c>
      <c r="U261" s="52" t="str">
        <f t="shared" si="25"/>
        <v>#DIV/0!</v>
      </c>
      <c r="V261" s="190"/>
      <c r="W261" s="190"/>
      <c r="X261" s="190"/>
      <c r="Y261" s="56"/>
    </row>
    <row r="262">
      <c r="A262" s="220" t="s">
        <v>411</v>
      </c>
      <c r="B262" s="130"/>
      <c r="C262" s="130"/>
      <c r="D262" s="130"/>
      <c r="E262" s="199"/>
      <c r="F262" s="130"/>
      <c r="G262" s="130"/>
      <c r="H262" s="130"/>
      <c r="I262" s="130"/>
      <c r="J262" s="130"/>
      <c r="K262" s="130"/>
      <c r="L262" s="130" t="str">
        <f>IFERROR(__xludf.DUMMYFUNCTION("IF(OR(A262="""",D262=""""),"""",IFERROR(LET(data,GOOGLEFINANCE(""NSE:""&amp;UPPER(TRIM(A262)),""close"",D262-3,D262,""DAILY""),INDEX(data,ROWS(data),2)),""Not Available""))"),"")</f>
        <v/>
      </c>
      <c r="M262" s="131">
        <f>IFERROR(__xludf.DUMMYFUNCTION("IF(A262="""","""",IFERROR(GOOGLEFINANCE(""NSE:""&amp;UPPER(TRIM(A262)),""price""),""Not Available""))"),86.89)</f>
        <v>86.89</v>
      </c>
      <c r="N262" s="132" t="str">
        <f t="shared" si="21"/>
        <v>#DIV/0!</v>
      </c>
      <c r="O262" s="133" t="str">
        <f t="shared" si="22"/>
        <v>#DIV/0!</v>
      </c>
      <c r="P262" s="47" t="str">
        <f>IFERROR(__xludf.DUMMYFUNCTION("IF(OR(A262="""",E262=""""),"""",IFERROR(LET(data,GOOGLEFINANCE(""NSE:""&amp;UPPER(TRIM(A262)),""close"",E262-3,E262,""DAILY""),INDEX(data,ROWS(data),2)),""Not Available""))"),"")</f>
        <v/>
      </c>
      <c r="Q262" s="51"/>
      <c r="R262" s="188" t="str">
        <f t="shared" si="23"/>
        <v>#DIV/0!</v>
      </c>
      <c r="S262" s="51" t="str">
        <f>IFERROR(__xludf.DUMMYFUNCTION("IF(OR(A262="""",E262=""""),"""",IFERROR(LET(data,GOOGLEFINANCE(""NSE:""&amp;UPPER(TRIM(A262)),""close"",Q262-3,Q262,""DAILY""),INDEX(data,ROWS(data),2)),""Not Available""))"),"")</f>
        <v/>
      </c>
      <c r="T262" s="189" t="str">
        <f t="shared" si="24"/>
        <v>#DIV/0!</v>
      </c>
      <c r="U262" s="52" t="str">
        <f t="shared" si="25"/>
        <v>#DIV/0!</v>
      </c>
      <c r="V262" s="190"/>
      <c r="W262" s="190"/>
      <c r="X262" s="190"/>
      <c r="Y262" s="56"/>
    </row>
    <row r="263">
      <c r="A263" s="220" t="s">
        <v>412</v>
      </c>
      <c r="B263" s="130"/>
      <c r="C263" s="130"/>
      <c r="D263" s="130"/>
      <c r="E263" s="199"/>
      <c r="F263" s="130"/>
      <c r="G263" s="130"/>
      <c r="H263" s="130"/>
      <c r="I263" s="130"/>
      <c r="J263" s="130"/>
      <c r="K263" s="130"/>
      <c r="L263" s="130" t="str">
        <f>IFERROR(__xludf.DUMMYFUNCTION("IF(OR(A263="""",D263=""""),"""",IFERROR(LET(data,GOOGLEFINANCE(""NSE:""&amp;UPPER(TRIM(A263)),""close"",D263-3,D263,""DAILY""),INDEX(data,ROWS(data),2)),""Not Available""))"),"")</f>
        <v/>
      </c>
      <c r="M263" s="131">
        <f>IFERROR(__xludf.DUMMYFUNCTION("IF(A263="""","""",IFERROR(GOOGLEFINANCE(""NSE:""&amp;UPPER(TRIM(A263)),""price""),""Not Available""))"),11.67)</f>
        <v>11.67</v>
      </c>
      <c r="N263" s="132" t="str">
        <f t="shared" si="21"/>
        <v>#DIV/0!</v>
      </c>
      <c r="O263" s="133" t="str">
        <f t="shared" si="22"/>
        <v>#DIV/0!</v>
      </c>
      <c r="P263" s="47" t="str">
        <f>IFERROR(__xludf.DUMMYFUNCTION("IF(OR(A263="""",E263=""""),"""",IFERROR(LET(data,GOOGLEFINANCE(""NSE:""&amp;UPPER(TRIM(A263)),""close"",E263-3,E263,""DAILY""),INDEX(data,ROWS(data),2)),""Not Available""))"),"")</f>
        <v/>
      </c>
      <c r="Q263" s="51"/>
      <c r="R263" s="188" t="str">
        <f t="shared" si="23"/>
        <v>#DIV/0!</v>
      </c>
      <c r="S263" s="51" t="str">
        <f>IFERROR(__xludf.DUMMYFUNCTION("IF(OR(A263="""",E263=""""),"""",IFERROR(LET(data,GOOGLEFINANCE(""NSE:""&amp;UPPER(TRIM(A263)),""close"",Q263-3,Q263,""DAILY""),INDEX(data,ROWS(data),2)),""Not Available""))"),"")</f>
        <v/>
      </c>
      <c r="T263" s="189" t="str">
        <f t="shared" si="24"/>
        <v>#DIV/0!</v>
      </c>
      <c r="U263" s="52" t="str">
        <f t="shared" si="25"/>
        <v>#DIV/0!</v>
      </c>
      <c r="V263" s="190"/>
      <c r="W263" s="190"/>
      <c r="X263" s="190"/>
      <c r="Y263" s="56"/>
    </row>
    <row r="264">
      <c r="A264" s="35" t="s">
        <v>413</v>
      </c>
      <c r="B264" s="130"/>
      <c r="C264" s="130"/>
      <c r="D264" s="130"/>
      <c r="E264" s="199"/>
      <c r="F264" s="130"/>
      <c r="G264" s="130"/>
      <c r="H264" s="130"/>
      <c r="I264" s="130"/>
      <c r="J264" s="130"/>
      <c r="K264" s="130"/>
      <c r="L264" s="130" t="str">
        <f>IFERROR(__xludf.DUMMYFUNCTION("IF(OR(A264="""",D264=""""),"""",IFERROR(LET(data,GOOGLEFINANCE(""NSE:""&amp;UPPER(TRIM(A264)),""close"",D264-3,D264,""DAILY""),INDEX(data,ROWS(data),2)),""Not Available""))"),"")</f>
        <v/>
      </c>
      <c r="M264" s="131">
        <f>IFERROR(__xludf.DUMMYFUNCTION("IF(A264="""","""",IFERROR(GOOGLEFINANCE(""NSE:""&amp;UPPER(TRIM(A264)),""price""),""Not Available""))"),1555.0)</f>
        <v>1555</v>
      </c>
      <c r="N264" s="132" t="str">
        <f t="shared" si="21"/>
        <v>#DIV/0!</v>
      </c>
      <c r="O264" s="133" t="str">
        <f t="shared" si="22"/>
        <v>#DIV/0!</v>
      </c>
      <c r="P264" s="47" t="str">
        <f>IFERROR(__xludf.DUMMYFUNCTION("IF(OR(A264="""",E264=""""),"""",IFERROR(LET(data,GOOGLEFINANCE(""NSE:""&amp;UPPER(TRIM(A264)),""close"",E264-3,E264,""DAILY""),INDEX(data,ROWS(data),2)),""Not Available""))"),"")</f>
        <v/>
      </c>
      <c r="Q264" s="51"/>
      <c r="R264" s="188" t="str">
        <f t="shared" si="23"/>
        <v>#DIV/0!</v>
      </c>
      <c r="S264" s="51" t="str">
        <f>IFERROR(__xludf.DUMMYFUNCTION("IF(OR(A264="""",E264=""""),"""",IFERROR(LET(data,GOOGLEFINANCE(""NSE:""&amp;UPPER(TRIM(A264)),""close"",Q264-3,Q264,""DAILY""),INDEX(data,ROWS(data),2)),""Not Available""))"),"")</f>
        <v/>
      </c>
      <c r="T264" s="189" t="str">
        <f t="shared" si="24"/>
        <v>#DIV/0!</v>
      </c>
      <c r="U264" s="52" t="str">
        <f t="shared" si="25"/>
        <v>#DIV/0!</v>
      </c>
      <c r="V264" s="190"/>
      <c r="W264" s="190"/>
      <c r="X264" s="190"/>
      <c r="Y264" s="56"/>
    </row>
    <row r="265">
      <c r="A265" s="220" t="s">
        <v>414</v>
      </c>
      <c r="B265" s="130"/>
      <c r="C265" s="130"/>
      <c r="D265" s="130"/>
      <c r="E265" s="199"/>
      <c r="F265" s="130"/>
      <c r="G265" s="130"/>
      <c r="H265" s="130"/>
      <c r="I265" s="130"/>
      <c r="J265" s="130"/>
      <c r="K265" s="130"/>
      <c r="L265" s="130" t="str">
        <f>IFERROR(__xludf.DUMMYFUNCTION("IF(OR(A265="""",D265=""""),"""",IFERROR(LET(data,GOOGLEFINANCE(""NSE:""&amp;UPPER(TRIM(A265)),""close"",D265-3,D265,""DAILY""),INDEX(data,ROWS(data),2)),""Not Available""))"),"")</f>
        <v/>
      </c>
      <c r="M265" s="131">
        <f>IFERROR(__xludf.DUMMYFUNCTION("IF(A265="""","""",IFERROR(GOOGLEFINANCE(""NSE:""&amp;UPPER(TRIM(A265)),""price""),""Not Available""))"),1674.4)</f>
        <v>1674.4</v>
      </c>
      <c r="N265" s="132" t="str">
        <f t="shared" si="21"/>
        <v>#DIV/0!</v>
      </c>
      <c r="O265" s="133" t="str">
        <f t="shared" si="22"/>
        <v>#DIV/0!</v>
      </c>
      <c r="P265" s="47" t="str">
        <f>IFERROR(__xludf.DUMMYFUNCTION("IF(OR(A265="""",E265=""""),"""",IFERROR(LET(data,GOOGLEFINANCE(""NSE:""&amp;UPPER(TRIM(A265)),""close"",E265-3,E265,""DAILY""),INDEX(data,ROWS(data),2)),""Not Available""))"),"")</f>
        <v/>
      </c>
      <c r="Q265" s="51"/>
      <c r="R265" s="188" t="str">
        <f t="shared" si="23"/>
        <v>#DIV/0!</v>
      </c>
      <c r="S265" s="51" t="str">
        <f>IFERROR(__xludf.DUMMYFUNCTION("IF(OR(A265="""",E265=""""),"""",IFERROR(LET(data,GOOGLEFINANCE(""NSE:""&amp;UPPER(TRIM(A265)),""close"",Q265-3,Q265,""DAILY""),INDEX(data,ROWS(data),2)),""Not Available""))"),"")</f>
        <v/>
      </c>
      <c r="T265" s="189" t="str">
        <f t="shared" si="24"/>
        <v>#DIV/0!</v>
      </c>
      <c r="U265" s="52" t="str">
        <f t="shared" si="25"/>
        <v>#DIV/0!</v>
      </c>
      <c r="V265" s="190"/>
      <c r="W265" s="190"/>
      <c r="X265" s="190"/>
      <c r="Y265" s="56"/>
    </row>
    <row r="266">
      <c r="A266" s="223" t="s">
        <v>415</v>
      </c>
      <c r="B266" s="130"/>
      <c r="C266" s="130"/>
      <c r="D266" s="130"/>
      <c r="E266" s="199"/>
      <c r="F266" s="130"/>
      <c r="G266" s="130"/>
      <c r="H266" s="130"/>
      <c r="I266" s="130"/>
      <c r="J266" s="130"/>
      <c r="K266" s="130"/>
      <c r="L266" s="130" t="str">
        <f>IFERROR(__xludf.DUMMYFUNCTION("IF(OR(A266="""",D266=""""),"""",IFERROR(LET(data,GOOGLEFINANCE(""NSE:""&amp;UPPER(TRIM(A266)),""close"",D266-3,D266,""DAILY""),INDEX(data,ROWS(data),2)),""Not Available""))"),"")</f>
        <v/>
      </c>
      <c r="M266" s="131">
        <f>IFERROR(__xludf.DUMMYFUNCTION("IF(A266="""","""",IFERROR(GOOGLEFINANCE(""NSE:""&amp;UPPER(TRIM(A266)),""price""),""Not Available""))"),1980.5)</f>
        <v>1980.5</v>
      </c>
      <c r="N266" s="132" t="str">
        <f t="shared" si="21"/>
        <v>#DIV/0!</v>
      </c>
      <c r="O266" s="133" t="str">
        <f t="shared" si="22"/>
        <v>#DIV/0!</v>
      </c>
      <c r="P266" s="47" t="str">
        <f>IFERROR(__xludf.DUMMYFUNCTION("IF(OR(A266="""",E266=""""),"""",IFERROR(LET(data,GOOGLEFINANCE(""NSE:""&amp;UPPER(TRIM(A266)),""close"",E266-3,E266,""DAILY""),INDEX(data,ROWS(data),2)),""Not Available""))"),"")</f>
        <v/>
      </c>
      <c r="Q266" s="51"/>
      <c r="R266" s="188" t="str">
        <f t="shared" si="23"/>
        <v>#DIV/0!</v>
      </c>
      <c r="S266" s="51" t="str">
        <f>IFERROR(__xludf.DUMMYFUNCTION("IF(OR(A266="""",E266=""""),"""",IFERROR(LET(data,GOOGLEFINANCE(""NSE:""&amp;UPPER(TRIM(A266)),""close"",Q266-3,Q266,""DAILY""),INDEX(data,ROWS(data),2)),""Not Available""))"),"")</f>
        <v/>
      </c>
      <c r="T266" s="189" t="str">
        <f t="shared" si="24"/>
        <v>#DIV/0!</v>
      </c>
      <c r="U266" s="52" t="str">
        <f t="shared" si="25"/>
        <v>#DIV/0!</v>
      </c>
      <c r="V266" s="190"/>
      <c r="W266" s="190"/>
      <c r="X266" s="190"/>
      <c r="Y266" s="56"/>
    </row>
    <row r="267">
      <c r="A267" s="223" t="s">
        <v>416</v>
      </c>
      <c r="B267" s="130"/>
      <c r="C267" s="130"/>
      <c r="D267" s="130"/>
      <c r="E267" s="199"/>
      <c r="F267" s="130"/>
      <c r="G267" s="130"/>
      <c r="H267" s="130"/>
      <c r="I267" s="130"/>
      <c r="J267" s="130"/>
      <c r="K267" s="130"/>
      <c r="L267" s="130" t="str">
        <f>IFERROR(__xludf.DUMMYFUNCTION("IF(OR(A267="""",D267=""""),"""",IFERROR(LET(data,GOOGLEFINANCE(""NSE:""&amp;UPPER(TRIM(A267)),""close"",D267-3,D267,""DAILY""),INDEX(data,ROWS(data),2)),""Not Available""))"),"")</f>
        <v/>
      </c>
      <c r="M267" s="131">
        <f>IFERROR(__xludf.DUMMYFUNCTION("IF(A267="""","""",IFERROR(GOOGLEFINANCE(""NSE:""&amp;UPPER(TRIM(A267)),""price""),""Not Available""))"),1713.1)</f>
        <v>1713.1</v>
      </c>
      <c r="N267" s="132" t="str">
        <f t="shared" si="21"/>
        <v>#DIV/0!</v>
      </c>
      <c r="O267" s="133" t="str">
        <f t="shared" si="22"/>
        <v>#DIV/0!</v>
      </c>
      <c r="P267" s="47" t="str">
        <f>IFERROR(__xludf.DUMMYFUNCTION("IF(OR(A267="""",E267=""""),"""",IFERROR(LET(data,GOOGLEFINANCE(""NSE:""&amp;UPPER(TRIM(A267)),""close"",E267-3,E267,""DAILY""),INDEX(data,ROWS(data),2)),""Not Available""))"),"")</f>
        <v/>
      </c>
      <c r="Q267" s="51"/>
      <c r="R267" s="188" t="str">
        <f t="shared" si="23"/>
        <v>#DIV/0!</v>
      </c>
      <c r="S267" s="51" t="str">
        <f>IFERROR(__xludf.DUMMYFUNCTION("IF(OR(A267="""",E267=""""),"""",IFERROR(LET(data,GOOGLEFINANCE(""NSE:""&amp;UPPER(TRIM(A267)),""close"",Q267-3,Q267,""DAILY""),INDEX(data,ROWS(data),2)),""Not Available""))"),"")</f>
        <v/>
      </c>
      <c r="T267" s="189" t="str">
        <f t="shared" si="24"/>
        <v>#DIV/0!</v>
      </c>
      <c r="U267" s="52" t="str">
        <f t="shared" si="25"/>
        <v>#DIV/0!</v>
      </c>
      <c r="V267" s="190"/>
      <c r="W267" s="190"/>
      <c r="X267" s="190"/>
      <c r="Y267" s="56"/>
    </row>
    <row r="268">
      <c r="A268" s="220" t="s">
        <v>417</v>
      </c>
      <c r="B268" s="130"/>
      <c r="C268" s="130"/>
      <c r="D268" s="130"/>
      <c r="E268" s="199"/>
      <c r="F268" s="130"/>
      <c r="G268" s="130"/>
      <c r="H268" s="130"/>
      <c r="I268" s="130"/>
      <c r="J268" s="130"/>
      <c r="K268" s="130"/>
      <c r="L268" s="130" t="str">
        <f>IFERROR(__xludf.DUMMYFUNCTION("IF(OR(A268="""",D268=""""),"""",IFERROR(LET(data,GOOGLEFINANCE(""NSE:""&amp;UPPER(TRIM(A268)),""close"",D268-3,D268,""DAILY""),INDEX(data,ROWS(data),2)),""Not Available""))"),"")</f>
        <v/>
      </c>
      <c r="M268" s="131">
        <f>IFERROR(__xludf.DUMMYFUNCTION("IF(A268="""","""",IFERROR(GOOGLEFINANCE(""NSE:""&amp;UPPER(TRIM(A268)),""price""),""Not Available""))"),181.63)</f>
        <v>181.63</v>
      </c>
      <c r="N268" s="132" t="str">
        <f t="shared" si="21"/>
        <v>#DIV/0!</v>
      </c>
      <c r="O268" s="133" t="str">
        <f t="shared" si="22"/>
        <v>#DIV/0!</v>
      </c>
      <c r="P268" s="47" t="str">
        <f>IFERROR(__xludf.DUMMYFUNCTION("IF(OR(A268="""",E268=""""),"""",IFERROR(LET(data,GOOGLEFINANCE(""NSE:""&amp;UPPER(TRIM(A268)),""close"",E268-3,E268,""DAILY""),INDEX(data,ROWS(data),2)),""Not Available""))"),"")</f>
        <v/>
      </c>
      <c r="Q268" s="51"/>
      <c r="R268" s="188" t="str">
        <f t="shared" si="23"/>
        <v>#DIV/0!</v>
      </c>
      <c r="S268" s="51" t="str">
        <f>IFERROR(__xludf.DUMMYFUNCTION("IF(OR(A268="""",E268=""""),"""",IFERROR(LET(data,GOOGLEFINANCE(""NSE:""&amp;UPPER(TRIM(A268)),""close"",Q268-3,Q268,""DAILY""),INDEX(data,ROWS(data),2)),""Not Available""))"),"")</f>
        <v/>
      </c>
      <c r="T268" s="189" t="str">
        <f t="shared" si="24"/>
        <v>#DIV/0!</v>
      </c>
      <c r="U268" s="52" t="str">
        <f t="shared" si="25"/>
        <v>#DIV/0!</v>
      </c>
      <c r="V268" s="190"/>
      <c r="W268" s="190"/>
      <c r="X268" s="190"/>
      <c r="Y268" s="56"/>
    </row>
    <row r="269">
      <c r="A269" s="220" t="s">
        <v>419</v>
      </c>
      <c r="B269" s="130"/>
      <c r="C269" s="130"/>
      <c r="D269" s="130"/>
      <c r="E269" s="199"/>
      <c r="F269" s="130"/>
      <c r="G269" s="130"/>
      <c r="H269" s="130"/>
      <c r="I269" s="130"/>
      <c r="J269" s="130"/>
      <c r="K269" s="130"/>
      <c r="L269" s="130" t="str">
        <f>IFERROR(__xludf.DUMMYFUNCTION("IF(OR(A269="""",D269=""""),"""",IFERROR(LET(data,GOOGLEFINANCE(""NSE:""&amp;UPPER(TRIM(A269)),""close"",D269-3,D269,""DAILY""),INDEX(data,ROWS(data),2)),""Not Available""))"),"")</f>
        <v/>
      </c>
      <c r="M269" s="131">
        <f>IFERROR(__xludf.DUMMYFUNCTION("IF(A269="""","""",IFERROR(GOOGLEFINANCE(""NSE:""&amp;UPPER(TRIM(A269)),""price""),""Not Available""))"),240.4)</f>
        <v>240.4</v>
      </c>
      <c r="N269" s="132" t="str">
        <f t="shared" si="21"/>
        <v>#DIV/0!</v>
      </c>
      <c r="O269" s="133" t="str">
        <f t="shared" si="22"/>
        <v>#DIV/0!</v>
      </c>
      <c r="P269" s="47" t="str">
        <f>IFERROR(__xludf.DUMMYFUNCTION("IF(OR(A269="""",E269=""""),"""",IFERROR(LET(data,GOOGLEFINANCE(""NSE:""&amp;UPPER(TRIM(A269)),""close"",E269-3,E269,""DAILY""),INDEX(data,ROWS(data),2)),""Not Available""))"),"")</f>
        <v/>
      </c>
      <c r="Q269" s="51"/>
      <c r="R269" s="188" t="str">
        <f t="shared" si="23"/>
        <v>#DIV/0!</v>
      </c>
      <c r="S269" s="51" t="str">
        <f>IFERROR(__xludf.DUMMYFUNCTION("IF(OR(A269="""",E269=""""),"""",IFERROR(LET(data,GOOGLEFINANCE(""NSE:""&amp;UPPER(TRIM(A269)),""close"",Q269-3,Q269,""DAILY""),INDEX(data,ROWS(data),2)),""Not Available""))"),"")</f>
        <v/>
      </c>
      <c r="T269" s="189" t="str">
        <f t="shared" si="24"/>
        <v>#DIV/0!</v>
      </c>
      <c r="U269" s="52" t="str">
        <f t="shared" si="25"/>
        <v>#DIV/0!</v>
      </c>
      <c r="V269" s="190"/>
      <c r="W269" s="190"/>
      <c r="X269" s="190"/>
      <c r="Y269" s="56"/>
    </row>
    <row r="270">
      <c r="A270" s="220" t="s">
        <v>420</v>
      </c>
      <c r="B270" s="130"/>
      <c r="C270" s="130"/>
      <c r="D270" s="130"/>
      <c r="E270" s="199"/>
      <c r="F270" s="130"/>
      <c r="G270" s="130"/>
      <c r="H270" s="130"/>
      <c r="I270" s="130"/>
      <c r="J270" s="130"/>
      <c r="K270" s="130"/>
      <c r="L270" s="130" t="str">
        <f>IFERROR(__xludf.DUMMYFUNCTION("IF(OR(A270="""",D270=""""),"""",IFERROR(LET(data,GOOGLEFINANCE(""NSE:""&amp;UPPER(TRIM(A270)),""close"",D270-3,D270,""DAILY""),INDEX(data,ROWS(data),2)),""Not Available""))"),"")</f>
        <v/>
      </c>
      <c r="M270" s="131">
        <f>IFERROR(__xludf.DUMMYFUNCTION("IF(A270="""","""",IFERROR(GOOGLEFINANCE(""NSE:""&amp;UPPER(TRIM(A270)),""price""),""Not Available""))"),3135.6)</f>
        <v>3135.6</v>
      </c>
      <c r="N270" s="132" t="str">
        <f t="shared" si="21"/>
        <v>#DIV/0!</v>
      </c>
      <c r="O270" s="133" t="str">
        <f t="shared" si="22"/>
        <v>#DIV/0!</v>
      </c>
      <c r="P270" s="47" t="str">
        <f>IFERROR(__xludf.DUMMYFUNCTION("IF(OR(A270="""",E270=""""),"""",IFERROR(LET(data,GOOGLEFINANCE(""NSE:""&amp;UPPER(TRIM(A270)),""close"",E270-3,E270,""DAILY""),INDEX(data,ROWS(data),2)),""Not Available""))"),"")</f>
        <v/>
      </c>
      <c r="Q270" s="51"/>
      <c r="R270" s="188" t="str">
        <f t="shared" si="23"/>
        <v>#DIV/0!</v>
      </c>
      <c r="S270" s="51" t="str">
        <f>IFERROR(__xludf.DUMMYFUNCTION("IF(OR(A270="""",E270=""""),"""",IFERROR(LET(data,GOOGLEFINANCE(""NSE:""&amp;UPPER(TRIM(A270)),""close"",Q270-3,Q270,""DAILY""),INDEX(data,ROWS(data),2)),""Not Available""))"),"")</f>
        <v/>
      </c>
      <c r="T270" s="189" t="str">
        <f t="shared" si="24"/>
        <v>#DIV/0!</v>
      </c>
      <c r="U270" s="52" t="str">
        <f t="shared" si="25"/>
        <v>#DIV/0!</v>
      </c>
      <c r="V270" s="190"/>
      <c r="W270" s="190"/>
      <c r="X270" s="190"/>
      <c r="Y270" s="56"/>
    </row>
    <row r="271">
      <c r="A271" s="223" t="s">
        <v>421</v>
      </c>
      <c r="B271" s="130"/>
      <c r="C271" s="130"/>
      <c r="D271" s="130"/>
      <c r="E271" s="199"/>
      <c r="F271" s="130"/>
      <c r="G271" s="130"/>
      <c r="H271" s="130"/>
      <c r="I271" s="130"/>
      <c r="J271" s="130"/>
      <c r="K271" s="130"/>
      <c r="L271" s="130" t="str">
        <f>IFERROR(__xludf.DUMMYFUNCTION("IF(OR(A271="""",D271=""""),"""",IFERROR(LET(data,GOOGLEFINANCE(""NSE:""&amp;UPPER(TRIM(A271)),""close"",D271-3,D271,""DAILY""),INDEX(data,ROWS(data),2)),""Not Available""))"),"")</f>
        <v/>
      </c>
      <c r="M271" s="131">
        <f>IFERROR(__xludf.DUMMYFUNCTION("IF(A271="""","""",IFERROR(GOOGLEFINANCE(""NSE:""&amp;UPPER(TRIM(A271)),""price""),""Not Available""))"),710.0)</f>
        <v>710</v>
      </c>
      <c r="N271" s="132" t="str">
        <f t="shared" si="21"/>
        <v>#DIV/0!</v>
      </c>
      <c r="O271" s="133" t="str">
        <f t="shared" si="22"/>
        <v>#DIV/0!</v>
      </c>
      <c r="P271" s="47" t="str">
        <f>IFERROR(__xludf.DUMMYFUNCTION("IF(OR(A271="""",E271=""""),"""",IFERROR(LET(data,GOOGLEFINANCE(""NSE:""&amp;UPPER(TRIM(A271)),""close"",E271-3,E271,""DAILY""),INDEX(data,ROWS(data),2)),""Not Available""))"),"")</f>
        <v/>
      </c>
      <c r="Q271" s="51"/>
      <c r="R271" s="188" t="str">
        <f t="shared" si="23"/>
        <v>#DIV/0!</v>
      </c>
      <c r="S271" s="51" t="str">
        <f>IFERROR(__xludf.DUMMYFUNCTION("IF(OR(A271="""",E271=""""),"""",IFERROR(LET(data,GOOGLEFINANCE(""NSE:""&amp;UPPER(TRIM(A271)),""close"",Q271-3,Q271,""DAILY""),INDEX(data,ROWS(data),2)),""Not Available""))"),"")</f>
        <v/>
      </c>
      <c r="T271" s="189" t="str">
        <f t="shared" si="24"/>
        <v>#DIV/0!</v>
      </c>
      <c r="U271" s="52" t="str">
        <f t="shared" si="25"/>
        <v>#DIV/0!</v>
      </c>
      <c r="V271" s="190"/>
      <c r="W271" s="190"/>
      <c r="X271" s="190"/>
      <c r="Y271" s="56"/>
    </row>
    <row r="272">
      <c r="A272" s="220" t="s">
        <v>423</v>
      </c>
      <c r="B272" s="130"/>
      <c r="C272" s="130"/>
      <c r="D272" s="130"/>
      <c r="E272" s="199"/>
      <c r="F272" s="130"/>
      <c r="G272" s="130"/>
      <c r="H272" s="130"/>
      <c r="I272" s="130"/>
      <c r="J272" s="130"/>
      <c r="K272" s="130"/>
      <c r="L272" s="130" t="str">
        <f>IFERROR(__xludf.DUMMYFUNCTION("IF(OR(A272="""",D272=""""),"""",IFERROR(LET(data,GOOGLEFINANCE(""NSE:""&amp;UPPER(TRIM(A272)),""close"",D272-3,D272,""DAILY""),INDEX(data,ROWS(data),2)),""Not Available""))"),"")</f>
        <v/>
      </c>
      <c r="M272" s="131">
        <f>IFERROR(__xludf.DUMMYFUNCTION("IF(A272="""","""",IFERROR(GOOGLEFINANCE(""NSE:""&amp;UPPER(TRIM(A272)),""price""),""Not Available""))"),135.65)</f>
        <v>135.65</v>
      </c>
      <c r="N272" s="132" t="str">
        <f t="shared" si="21"/>
        <v>#DIV/0!</v>
      </c>
      <c r="O272" s="133" t="str">
        <f t="shared" si="22"/>
        <v>#DIV/0!</v>
      </c>
      <c r="P272" s="47" t="str">
        <f>IFERROR(__xludf.DUMMYFUNCTION("IF(OR(A272="""",E272=""""),"""",IFERROR(LET(data,GOOGLEFINANCE(""NSE:""&amp;UPPER(TRIM(A272)),""close"",E272-3,E272,""DAILY""),INDEX(data,ROWS(data),2)),""Not Available""))"),"")</f>
        <v/>
      </c>
      <c r="Q272" s="51"/>
      <c r="R272" s="188" t="str">
        <f t="shared" si="23"/>
        <v>#DIV/0!</v>
      </c>
      <c r="S272" s="51" t="str">
        <f>IFERROR(__xludf.DUMMYFUNCTION("IF(OR(A272="""",E272=""""),"""",IFERROR(LET(data,GOOGLEFINANCE(""NSE:""&amp;UPPER(TRIM(A272)),""close"",Q272-3,Q272,""DAILY""),INDEX(data,ROWS(data),2)),""Not Available""))"),"")</f>
        <v/>
      </c>
      <c r="T272" s="189" t="str">
        <f t="shared" si="24"/>
        <v>#DIV/0!</v>
      </c>
      <c r="U272" s="52" t="str">
        <f t="shared" si="25"/>
        <v>#DIV/0!</v>
      </c>
      <c r="V272" s="190"/>
      <c r="W272" s="190"/>
      <c r="X272" s="190"/>
      <c r="Y272" s="56"/>
    </row>
    <row r="273">
      <c r="A273" s="220" t="s">
        <v>186</v>
      </c>
      <c r="B273" s="130"/>
      <c r="C273" s="130"/>
      <c r="D273" s="130"/>
      <c r="E273" s="199"/>
      <c r="F273" s="130"/>
      <c r="G273" s="130"/>
      <c r="H273" s="130"/>
      <c r="I273" s="130"/>
      <c r="J273" s="130"/>
      <c r="K273" s="130"/>
      <c r="L273" s="130" t="str">
        <f>IFERROR(__xludf.DUMMYFUNCTION("IF(OR(A273="""",D273=""""),"""",IFERROR(LET(data,GOOGLEFINANCE(""NSE:""&amp;UPPER(TRIM(A273)),""close"",D273-3,D273,""DAILY""),INDEX(data,ROWS(data),2)),""Not Available""))"),"")</f>
        <v/>
      </c>
      <c r="M273" s="131">
        <f>IFERROR(__xludf.DUMMYFUNCTION("IF(A273="""","""",IFERROR(GOOGLEFINANCE(""NSE:""&amp;UPPER(TRIM(A273)),""price""),""Not Available""))"),753.0)</f>
        <v>753</v>
      </c>
      <c r="N273" s="132" t="str">
        <f t="shared" si="21"/>
        <v>#DIV/0!</v>
      </c>
      <c r="O273" s="133" t="str">
        <f t="shared" si="22"/>
        <v>#DIV/0!</v>
      </c>
      <c r="P273" s="47" t="str">
        <f>IFERROR(__xludf.DUMMYFUNCTION("IF(OR(A273="""",E273=""""),"""",IFERROR(LET(data,GOOGLEFINANCE(""NSE:""&amp;UPPER(TRIM(A273)),""close"",E273-3,E273,""DAILY""),INDEX(data,ROWS(data),2)),""Not Available""))"),"")</f>
        <v/>
      </c>
      <c r="Q273" s="51"/>
      <c r="R273" s="188" t="str">
        <f t="shared" si="23"/>
        <v>#DIV/0!</v>
      </c>
      <c r="S273" s="51" t="str">
        <f>IFERROR(__xludf.DUMMYFUNCTION("IF(OR(A273="""",E273=""""),"""",IFERROR(LET(data,GOOGLEFINANCE(""NSE:""&amp;UPPER(TRIM(A273)),""close"",Q273-3,Q273,""DAILY""),INDEX(data,ROWS(data),2)),""Not Available""))"),"")</f>
        <v/>
      </c>
      <c r="T273" s="189" t="str">
        <f t="shared" si="24"/>
        <v>#DIV/0!</v>
      </c>
      <c r="U273" s="52" t="str">
        <f t="shared" si="25"/>
        <v>#DIV/0!</v>
      </c>
      <c r="V273" s="190"/>
      <c r="W273" s="190"/>
      <c r="X273" s="190"/>
      <c r="Y273" s="56"/>
    </row>
    <row r="274">
      <c r="A274" s="220" t="s">
        <v>425</v>
      </c>
      <c r="B274" s="130"/>
      <c r="C274" s="130"/>
      <c r="D274" s="130"/>
      <c r="E274" s="199"/>
      <c r="F274" s="130"/>
      <c r="G274" s="130"/>
      <c r="H274" s="130"/>
      <c r="I274" s="130"/>
      <c r="J274" s="130"/>
      <c r="K274" s="130"/>
      <c r="L274" s="130" t="str">
        <f>IFERROR(__xludf.DUMMYFUNCTION("IF(OR(A274="""",D274=""""),"""",IFERROR(LET(data,GOOGLEFINANCE(""NSE:""&amp;UPPER(TRIM(A274)),""close"",D274-3,D274,""DAILY""),INDEX(data,ROWS(data),2)),""Not Available""))"),"")</f>
        <v/>
      </c>
      <c r="M274" s="131">
        <f>IFERROR(__xludf.DUMMYFUNCTION("IF(A274="""","""",IFERROR(GOOGLEFINANCE(""NSE:""&amp;UPPER(TRIM(A274)),""price""),""Not Available""))"),244.0)</f>
        <v>244</v>
      </c>
      <c r="N274" s="132" t="str">
        <f t="shared" si="21"/>
        <v>#DIV/0!</v>
      </c>
      <c r="O274" s="133" t="str">
        <f t="shared" si="22"/>
        <v>#DIV/0!</v>
      </c>
      <c r="P274" s="47" t="str">
        <f>IFERROR(__xludf.DUMMYFUNCTION("IF(OR(A274="""",E274=""""),"""",IFERROR(LET(data,GOOGLEFINANCE(""NSE:""&amp;UPPER(TRIM(A274)),""close"",E274-3,E274,""DAILY""),INDEX(data,ROWS(data),2)),""Not Available""))"),"")</f>
        <v/>
      </c>
      <c r="Q274" s="51"/>
      <c r="R274" s="188" t="str">
        <f t="shared" si="23"/>
        <v>#DIV/0!</v>
      </c>
      <c r="S274" s="51" t="str">
        <f>IFERROR(__xludf.DUMMYFUNCTION("IF(OR(A274="""",E274=""""),"""",IFERROR(LET(data,GOOGLEFINANCE(""NSE:""&amp;UPPER(TRIM(A274)),""close"",Q274-3,Q274,""DAILY""),INDEX(data,ROWS(data),2)),""Not Available""))"),"")</f>
        <v/>
      </c>
      <c r="T274" s="189" t="str">
        <f t="shared" si="24"/>
        <v>#DIV/0!</v>
      </c>
      <c r="U274" s="52" t="str">
        <f t="shared" si="25"/>
        <v>#DIV/0!</v>
      </c>
      <c r="V274" s="190"/>
      <c r="W274" s="190"/>
      <c r="X274" s="190"/>
      <c r="Y274" s="56"/>
    </row>
    <row r="275">
      <c r="A275" s="228" t="s">
        <v>427</v>
      </c>
      <c r="B275" s="130"/>
      <c r="C275" s="130"/>
      <c r="D275" s="130"/>
      <c r="E275" s="199"/>
      <c r="F275" s="130"/>
      <c r="G275" s="130"/>
      <c r="H275" s="130"/>
      <c r="I275" s="130"/>
      <c r="J275" s="130"/>
      <c r="K275" s="130"/>
      <c r="L275" s="130" t="str">
        <f>IFERROR(__xludf.DUMMYFUNCTION("IF(OR(A275="""",D275=""""),"""",IFERROR(LET(data,GOOGLEFINANCE(""NSE:""&amp;UPPER(TRIM(A275)),""close"",D275-3,D275,""DAILY""),INDEX(data,ROWS(data),2)),""Not Available""))"),"")</f>
        <v/>
      </c>
      <c r="M275" s="131">
        <f>IFERROR(__xludf.DUMMYFUNCTION("IF(A275="""","""",IFERROR(GOOGLEFINANCE(""NSE:""&amp;UPPER(TRIM(A275)),""price""),""Not Available""))"),1726.1)</f>
        <v>1726.1</v>
      </c>
      <c r="N275" s="132" t="str">
        <f t="shared" si="21"/>
        <v>#DIV/0!</v>
      </c>
      <c r="O275" s="133" t="str">
        <f t="shared" si="22"/>
        <v>#DIV/0!</v>
      </c>
      <c r="P275" s="47" t="str">
        <f>IFERROR(__xludf.DUMMYFUNCTION("IF(OR(A275="""",E275=""""),"""",IFERROR(LET(data,GOOGLEFINANCE(""NSE:""&amp;UPPER(TRIM(A275)),""close"",E275-3,E275,""DAILY""),INDEX(data,ROWS(data),2)),""Not Available""))"),"")</f>
        <v/>
      </c>
      <c r="Q275" s="51"/>
      <c r="R275" s="188" t="str">
        <f t="shared" si="23"/>
        <v>#DIV/0!</v>
      </c>
      <c r="S275" s="51" t="str">
        <f>IFERROR(__xludf.DUMMYFUNCTION("IF(OR(A275="""",E275=""""),"""",IFERROR(LET(data,GOOGLEFINANCE(""NSE:""&amp;UPPER(TRIM(A275)),""close"",Q275-3,Q275,""DAILY""),INDEX(data,ROWS(data),2)),""Not Available""))"),"")</f>
        <v/>
      </c>
      <c r="T275" s="189" t="str">
        <f t="shared" si="24"/>
        <v>#DIV/0!</v>
      </c>
      <c r="U275" s="52" t="str">
        <f t="shared" si="25"/>
        <v>#DIV/0!</v>
      </c>
      <c r="V275" s="190"/>
      <c r="W275" s="190"/>
      <c r="X275" s="190"/>
      <c r="Y275" s="56"/>
    </row>
    <row r="276">
      <c r="A276" s="223" t="s">
        <v>429</v>
      </c>
      <c r="B276" s="130"/>
      <c r="C276" s="130"/>
      <c r="D276" s="130"/>
      <c r="E276" s="199"/>
      <c r="F276" s="130"/>
      <c r="G276" s="130"/>
      <c r="H276" s="130"/>
      <c r="I276" s="130"/>
      <c r="J276" s="130"/>
      <c r="K276" s="130"/>
      <c r="L276" s="130" t="str">
        <f>IFERROR(__xludf.DUMMYFUNCTION("IF(OR(A276="""",D276=""""),"""",IFERROR(LET(data,GOOGLEFINANCE(""NSE:""&amp;UPPER(TRIM(A276)),""close"",D276-3,D276,""DAILY""),INDEX(data,ROWS(data),2)),""Not Available""))"),"")</f>
        <v/>
      </c>
      <c r="M276" s="131">
        <f>IFERROR(__xludf.DUMMYFUNCTION("IF(A276="""","""",IFERROR(GOOGLEFINANCE(""NSE:""&amp;UPPER(TRIM(A276)),""price""),""Not Available""))"),1374.9)</f>
        <v>1374.9</v>
      </c>
      <c r="N276" s="132" t="str">
        <f t="shared" si="21"/>
        <v>#DIV/0!</v>
      </c>
      <c r="O276" s="133" t="str">
        <f t="shared" si="22"/>
        <v>#DIV/0!</v>
      </c>
      <c r="P276" s="47" t="str">
        <f>IFERROR(__xludf.DUMMYFUNCTION("IF(OR(A276="""",E276=""""),"""",IFERROR(LET(data,GOOGLEFINANCE(""NSE:""&amp;UPPER(TRIM(A276)),""close"",E276-3,E276,""DAILY""),INDEX(data,ROWS(data),2)),""Not Available""))"),"")</f>
        <v/>
      </c>
      <c r="Q276" s="51"/>
      <c r="R276" s="188" t="str">
        <f t="shared" si="23"/>
        <v>#DIV/0!</v>
      </c>
      <c r="S276" s="51" t="str">
        <f>IFERROR(__xludf.DUMMYFUNCTION("IF(OR(A276="""",E276=""""),"""",IFERROR(LET(data,GOOGLEFINANCE(""NSE:""&amp;UPPER(TRIM(A276)),""close"",Q276-3,Q276,""DAILY""),INDEX(data,ROWS(data),2)),""Not Available""))"),"")</f>
        <v/>
      </c>
      <c r="T276" s="189" t="str">
        <f t="shared" si="24"/>
        <v>#DIV/0!</v>
      </c>
      <c r="U276" s="52" t="str">
        <f t="shared" si="25"/>
        <v>#DIV/0!</v>
      </c>
      <c r="V276" s="190"/>
      <c r="W276" s="190"/>
      <c r="X276" s="190"/>
      <c r="Y276" s="56"/>
    </row>
    <row r="277">
      <c r="A277" s="220" t="s">
        <v>431</v>
      </c>
      <c r="B277" s="130"/>
      <c r="C277" s="130"/>
      <c r="D277" s="130"/>
      <c r="E277" s="199"/>
      <c r="F277" s="130"/>
      <c r="G277" s="130"/>
      <c r="H277" s="130"/>
      <c r="I277" s="130"/>
      <c r="J277" s="130"/>
      <c r="K277" s="130"/>
      <c r="L277" s="130" t="str">
        <f>IFERROR(__xludf.DUMMYFUNCTION("IF(OR(A277="""",D277=""""),"""",IFERROR(LET(data,GOOGLEFINANCE(""NSE:""&amp;UPPER(TRIM(A277)),""close"",D277-3,D277,""DAILY""),INDEX(data,ROWS(data),2)),""Not Available""))"),"")</f>
        <v/>
      </c>
      <c r="M277" s="131">
        <f>IFERROR(__xludf.DUMMYFUNCTION("IF(A277="""","""",IFERROR(GOOGLEFINANCE(""NSE:""&amp;UPPER(TRIM(A277)),""price""),""Not Available""))"),213.41)</f>
        <v>213.41</v>
      </c>
      <c r="N277" s="132" t="str">
        <f t="shared" si="21"/>
        <v>#DIV/0!</v>
      </c>
      <c r="O277" s="133" t="str">
        <f t="shared" si="22"/>
        <v>#DIV/0!</v>
      </c>
      <c r="P277" s="47" t="str">
        <f>IFERROR(__xludf.DUMMYFUNCTION("IF(OR(A277="""",E277=""""),"""",IFERROR(LET(data,GOOGLEFINANCE(""NSE:""&amp;UPPER(TRIM(A277)),""close"",E277-3,E277,""DAILY""),INDEX(data,ROWS(data),2)),""Not Available""))"),"")</f>
        <v/>
      </c>
      <c r="Q277" s="51"/>
      <c r="R277" s="188" t="str">
        <f t="shared" si="23"/>
        <v>#DIV/0!</v>
      </c>
      <c r="S277" s="51" t="str">
        <f>IFERROR(__xludf.DUMMYFUNCTION("IF(OR(A277="""",E277=""""),"""",IFERROR(LET(data,GOOGLEFINANCE(""NSE:""&amp;UPPER(TRIM(A277)),""close"",Q277-3,Q277,""DAILY""),INDEX(data,ROWS(data),2)),""Not Available""))"),"")</f>
        <v/>
      </c>
      <c r="T277" s="189" t="str">
        <f t="shared" si="24"/>
        <v>#DIV/0!</v>
      </c>
      <c r="U277" s="52" t="str">
        <f t="shared" si="25"/>
        <v>#DIV/0!</v>
      </c>
      <c r="V277" s="190"/>
      <c r="W277" s="190"/>
      <c r="X277" s="190"/>
      <c r="Y277" s="56"/>
    </row>
    <row r="278">
      <c r="A278" s="223" t="s">
        <v>419</v>
      </c>
      <c r="B278" s="130"/>
      <c r="C278" s="130"/>
      <c r="D278" s="130"/>
      <c r="E278" s="199"/>
      <c r="F278" s="130"/>
      <c r="G278" s="130"/>
      <c r="H278" s="130"/>
      <c r="I278" s="130"/>
      <c r="J278" s="130"/>
      <c r="K278" s="130"/>
      <c r="L278" s="130" t="str">
        <f>IFERROR(__xludf.DUMMYFUNCTION("IF(OR(A278="""",D278=""""),"""",IFERROR(LET(data,GOOGLEFINANCE(""NSE:""&amp;UPPER(TRIM(A278)),""close"",D278-3,D278,""DAILY""),INDEX(data,ROWS(data),2)),""Not Available""))"),"")</f>
        <v/>
      </c>
      <c r="M278" s="131">
        <f>IFERROR(__xludf.DUMMYFUNCTION("IF(A278="""","""",IFERROR(GOOGLEFINANCE(""NSE:""&amp;UPPER(TRIM(A278)),""price""),""Not Available""))"),240.4)</f>
        <v>240.4</v>
      </c>
      <c r="N278" s="132" t="str">
        <f t="shared" si="21"/>
        <v>#DIV/0!</v>
      </c>
      <c r="O278" s="133" t="str">
        <f t="shared" si="22"/>
        <v>#DIV/0!</v>
      </c>
      <c r="P278" s="47" t="str">
        <f>IFERROR(__xludf.DUMMYFUNCTION("IF(OR(A278="""",E278=""""),"""",IFERROR(LET(data,GOOGLEFINANCE(""NSE:""&amp;UPPER(TRIM(A278)),""close"",E278-3,E278,""DAILY""),INDEX(data,ROWS(data),2)),""Not Available""))"),"")</f>
        <v/>
      </c>
      <c r="Q278" s="51"/>
      <c r="R278" s="188" t="str">
        <f t="shared" si="23"/>
        <v>#DIV/0!</v>
      </c>
      <c r="S278" s="51" t="str">
        <f>IFERROR(__xludf.DUMMYFUNCTION("IF(OR(A278="""",E278=""""),"""",IFERROR(LET(data,GOOGLEFINANCE(""NSE:""&amp;UPPER(TRIM(A278)),""close"",Q278-3,Q278,""DAILY""),INDEX(data,ROWS(data),2)),""Not Available""))"),"")</f>
        <v/>
      </c>
      <c r="T278" s="189" t="str">
        <f t="shared" si="24"/>
        <v>#DIV/0!</v>
      </c>
      <c r="U278" s="52" t="str">
        <f t="shared" si="25"/>
        <v>#DIV/0!</v>
      </c>
      <c r="V278" s="190"/>
      <c r="W278" s="190"/>
      <c r="X278" s="190"/>
      <c r="Y278" s="56"/>
    </row>
    <row r="279">
      <c r="A279" s="223" t="s">
        <v>433</v>
      </c>
      <c r="B279" s="130"/>
      <c r="C279" s="130"/>
      <c r="D279" s="130"/>
      <c r="E279" s="199"/>
      <c r="F279" s="130"/>
      <c r="G279" s="130"/>
      <c r="H279" s="130"/>
      <c r="I279" s="130"/>
      <c r="J279" s="130"/>
      <c r="K279" s="130"/>
      <c r="L279" s="130" t="str">
        <f>IFERROR(__xludf.DUMMYFUNCTION("IF(OR(A279="""",D279=""""),"""",IFERROR(LET(data,GOOGLEFINANCE(""NSE:""&amp;UPPER(TRIM(A279)),""close"",D279-3,D279,""DAILY""),INDEX(data,ROWS(data),2)),""Not Available""))"),"")</f>
        <v/>
      </c>
      <c r="M279" s="131">
        <f>IFERROR(__xludf.DUMMYFUNCTION("IF(A279="""","""",IFERROR(GOOGLEFINANCE(""NSE:""&amp;UPPER(TRIM(A279)),""price""),""Not Available""))"),2684.1)</f>
        <v>2684.1</v>
      </c>
      <c r="N279" s="132" t="str">
        <f t="shared" si="21"/>
        <v>#DIV/0!</v>
      </c>
      <c r="O279" s="133" t="str">
        <f t="shared" si="22"/>
        <v>#DIV/0!</v>
      </c>
      <c r="P279" s="47" t="str">
        <f>IFERROR(__xludf.DUMMYFUNCTION("IF(OR(A279="""",E279=""""),"""",IFERROR(LET(data,GOOGLEFINANCE(""NSE:""&amp;UPPER(TRIM(A279)),""close"",E279-3,E279,""DAILY""),INDEX(data,ROWS(data),2)),""Not Available""))"),"")</f>
        <v/>
      </c>
      <c r="Q279" s="51"/>
      <c r="R279" s="188" t="str">
        <f t="shared" si="23"/>
        <v>#DIV/0!</v>
      </c>
      <c r="S279" s="51" t="str">
        <f>IFERROR(__xludf.DUMMYFUNCTION("IF(OR(A279="""",E279=""""),"""",IFERROR(LET(data,GOOGLEFINANCE(""NSE:""&amp;UPPER(TRIM(A279)),""close"",Q279-3,Q279,""DAILY""),INDEX(data,ROWS(data),2)),""Not Available""))"),"")</f>
        <v/>
      </c>
      <c r="T279" s="189" t="str">
        <f t="shared" si="24"/>
        <v>#DIV/0!</v>
      </c>
      <c r="U279" s="52" t="str">
        <f t="shared" si="25"/>
        <v>#DIV/0!</v>
      </c>
      <c r="V279" s="190"/>
      <c r="W279" s="190"/>
      <c r="X279" s="190"/>
      <c r="Y279" s="56"/>
    </row>
    <row r="280">
      <c r="A280" s="220" t="s">
        <v>434</v>
      </c>
      <c r="B280" s="130"/>
      <c r="C280" s="130"/>
      <c r="D280" s="130"/>
      <c r="E280" s="199"/>
      <c r="F280" s="130"/>
      <c r="G280" s="130"/>
      <c r="H280" s="130"/>
      <c r="I280" s="130"/>
      <c r="J280" s="130"/>
      <c r="K280" s="130"/>
      <c r="L280" s="130" t="str">
        <f>IFERROR(__xludf.DUMMYFUNCTION("IF(OR(A280="""",D280=""""),"""",IFERROR(LET(data,GOOGLEFINANCE(""NSE:""&amp;UPPER(TRIM(A280)),""close"",D280-3,D280,""DAILY""),INDEX(data,ROWS(data),2)),""Not Available""))"),"")</f>
        <v/>
      </c>
      <c r="M280" s="131">
        <f>IFERROR(__xludf.DUMMYFUNCTION("IF(A280="""","""",IFERROR(GOOGLEFINANCE(""NSE:""&amp;UPPER(TRIM(A280)),""price""),""Not Available""))"),1153.0)</f>
        <v>1153</v>
      </c>
      <c r="N280" s="132" t="str">
        <f t="shared" si="21"/>
        <v>#DIV/0!</v>
      </c>
      <c r="O280" s="133" t="str">
        <f t="shared" si="22"/>
        <v>#DIV/0!</v>
      </c>
      <c r="P280" s="47" t="str">
        <f>IFERROR(__xludf.DUMMYFUNCTION("IF(OR(A280="""",E280=""""),"""",IFERROR(LET(data,GOOGLEFINANCE(""NSE:""&amp;UPPER(TRIM(A280)),""close"",E280-3,E280,""DAILY""),INDEX(data,ROWS(data),2)),""Not Available""))"),"")</f>
        <v/>
      </c>
      <c r="Q280" s="51"/>
      <c r="R280" s="188" t="str">
        <f t="shared" si="23"/>
        <v>#DIV/0!</v>
      </c>
      <c r="S280" s="51" t="str">
        <f>IFERROR(__xludf.DUMMYFUNCTION("IF(OR(A280="""",E280=""""),"""",IFERROR(LET(data,GOOGLEFINANCE(""NSE:""&amp;UPPER(TRIM(A280)),""close"",Q280-3,Q280,""DAILY""),INDEX(data,ROWS(data),2)),""Not Available""))"),"")</f>
        <v/>
      </c>
      <c r="T280" s="189" t="str">
        <f t="shared" si="24"/>
        <v>#DIV/0!</v>
      </c>
      <c r="U280" s="52" t="str">
        <f t="shared" si="25"/>
        <v>#DIV/0!</v>
      </c>
      <c r="V280" s="190"/>
      <c r="W280" s="190"/>
      <c r="X280" s="190"/>
      <c r="Y280" s="56"/>
    </row>
    <row r="281">
      <c r="A281" s="220" t="s">
        <v>436</v>
      </c>
      <c r="B281" s="130"/>
      <c r="C281" s="130"/>
      <c r="D281" s="130"/>
      <c r="E281" s="199"/>
      <c r="F281" s="130"/>
      <c r="G281" s="130"/>
      <c r="H281" s="130"/>
      <c r="I281" s="130"/>
      <c r="J281" s="130"/>
      <c r="K281" s="130"/>
      <c r="L281" s="130" t="str">
        <f>IFERROR(__xludf.DUMMYFUNCTION("IF(OR(A281="""",D281=""""),"""",IFERROR(LET(data,GOOGLEFINANCE(""NSE:""&amp;UPPER(TRIM(A281)),""close"",D281-3,D281,""DAILY""),INDEX(data,ROWS(data),2)),""Not Available""))"),"")</f>
        <v/>
      </c>
      <c r="M281" s="131">
        <f>IFERROR(__xludf.DUMMYFUNCTION("IF(A281="""","""",IFERROR(GOOGLEFINANCE(""NSE:""&amp;UPPER(TRIM(A281)),""price""),""Not Available""))"),2089.6)</f>
        <v>2089.6</v>
      </c>
      <c r="N281" s="132" t="str">
        <f t="shared" si="21"/>
        <v>#DIV/0!</v>
      </c>
      <c r="O281" s="133" t="str">
        <f t="shared" si="22"/>
        <v>#DIV/0!</v>
      </c>
      <c r="P281" s="47" t="str">
        <f>IFERROR(__xludf.DUMMYFUNCTION("IF(OR(A281="""",E281=""""),"""",IFERROR(LET(data,GOOGLEFINANCE(""NSE:""&amp;UPPER(TRIM(A281)),""close"",E281-3,E281,""DAILY""),INDEX(data,ROWS(data),2)),""Not Available""))"),"")</f>
        <v/>
      </c>
      <c r="Q281" s="51"/>
      <c r="R281" s="188" t="str">
        <f t="shared" si="23"/>
        <v>#DIV/0!</v>
      </c>
      <c r="S281" s="51" t="str">
        <f>IFERROR(__xludf.DUMMYFUNCTION("IF(OR(A281="""",E281=""""),"""",IFERROR(LET(data,GOOGLEFINANCE(""NSE:""&amp;UPPER(TRIM(A281)),""close"",Q281-3,Q281,""DAILY""),INDEX(data,ROWS(data),2)),""Not Available""))"),"")</f>
        <v/>
      </c>
      <c r="T281" s="189" t="str">
        <f t="shared" si="24"/>
        <v>#DIV/0!</v>
      </c>
      <c r="U281" s="52" t="str">
        <f t="shared" si="25"/>
        <v>#DIV/0!</v>
      </c>
      <c r="V281" s="190"/>
      <c r="W281" s="190"/>
      <c r="X281" s="190"/>
      <c r="Y281" s="56"/>
    </row>
    <row r="282">
      <c r="A282" s="220" t="s">
        <v>439</v>
      </c>
      <c r="B282" s="130"/>
      <c r="C282" s="130"/>
      <c r="D282" s="130"/>
      <c r="E282" s="199"/>
      <c r="F282" s="130"/>
      <c r="G282" s="130"/>
      <c r="H282" s="130"/>
      <c r="I282" s="130"/>
      <c r="J282" s="130"/>
      <c r="K282" s="130"/>
      <c r="L282" s="130" t="str">
        <f>IFERROR(__xludf.DUMMYFUNCTION("IF(OR(A282="""",D282=""""),"""",IFERROR(LET(data,GOOGLEFINANCE(""NSE:""&amp;UPPER(TRIM(A282)),""close"",D282-3,D282,""DAILY""),INDEX(data,ROWS(data),2)),""Not Available""))"),"")</f>
        <v/>
      </c>
      <c r="M282" s="131">
        <f>IFERROR(__xludf.DUMMYFUNCTION("IF(A282="""","""",IFERROR(GOOGLEFINANCE(""NSE:""&amp;UPPER(TRIM(A282)),""price""),""Not Available""))"),1358.6)</f>
        <v>1358.6</v>
      </c>
      <c r="N282" s="132" t="str">
        <f t="shared" si="21"/>
        <v>#DIV/0!</v>
      </c>
      <c r="O282" s="133" t="str">
        <f t="shared" si="22"/>
        <v>#DIV/0!</v>
      </c>
      <c r="P282" s="47" t="str">
        <f>IFERROR(__xludf.DUMMYFUNCTION("IF(OR(A282="""",E282=""""),"""",IFERROR(LET(data,GOOGLEFINANCE(""NSE:""&amp;UPPER(TRIM(A282)),""close"",E282-3,E282,""DAILY""),INDEX(data,ROWS(data),2)),""Not Available""))"),"")</f>
        <v/>
      </c>
      <c r="Q282" s="51"/>
      <c r="R282" s="188" t="str">
        <f t="shared" si="23"/>
        <v>#DIV/0!</v>
      </c>
      <c r="S282" s="51" t="str">
        <f>IFERROR(__xludf.DUMMYFUNCTION("IF(OR(A282="""",E282=""""),"""",IFERROR(LET(data,GOOGLEFINANCE(""NSE:""&amp;UPPER(TRIM(A282)),""close"",Q282-3,Q282,""DAILY""),INDEX(data,ROWS(data),2)),""Not Available""))"),"")</f>
        <v/>
      </c>
      <c r="T282" s="189" t="str">
        <f t="shared" si="24"/>
        <v>#DIV/0!</v>
      </c>
      <c r="U282" s="52" t="str">
        <f t="shared" si="25"/>
        <v>#DIV/0!</v>
      </c>
      <c r="V282" s="190"/>
      <c r="W282" s="190"/>
      <c r="X282" s="190"/>
      <c r="Y282" s="56"/>
    </row>
    <row r="283">
      <c r="A283" s="220" t="s">
        <v>355</v>
      </c>
      <c r="B283" s="130"/>
      <c r="C283" s="130"/>
      <c r="D283" s="130"/>
      <c r="E283" s="199"/>
      <c r="F283" s="130"/>
      <c r="G283" s="130"/>
      <c r="H283" s="130"/>
      <c r="I283" s="130"/>
      <c r="J283" s="130"/>
      <c r="K283" s="130"/>
      <c r="L283" s="130" t="str">
        <f>IFERROR(__xludf.DUMMYFUNCTION("IF(OR(A283="""",D283=""""),"""",IFERROR(LET(data,GOOGLEFINANCE(""NSE:""&amp;UPPER(TRIM(A283)),""close"",D283-3,D283,""DAILY""),INDEX(data,ROWS(data),2)),""Not Available""))"),"")</f>
        <v/>
      </c>
      <c r="M283" s="131">
        <f>IFERROR(__xludf.DUMMYFUNCTION("IF(A283="""","""",IFERROR(GOOGLEFINANCE(""NSE:""&amp;UPPER(TRIM(A283)),""price""),""Not Available""))"),76.4)</f>
        <v>76.4</v>
      </c>
      <c r="N283" s="132" t="str">
        <f t="shared" si="21"/>
        <v>#DIV/0!</v>
      </c>
      <c r="O283" s="133" t="str">
        <f t="shared" si="22"/>
        <v>#DIV/0!</v>
      </c>
      <c r="P283" s="47" t="str">
        <f>IFERROR(__xludf.DUMMYFUNCTION("IF(OR(A283="""",E283=""""),"""",IFERROR(LET(data,GOOGLEFINANCE(""NSE:""&amp;UPPER(TRIM(A283)),""close"",E283-3,E283,""DAILY""),INDEX(data,ROWS(data),2)),""Not Available""))"),"")</f>
        <v/>
      </c>
      <c r="Q283" s="51"/>
      <c r="R283" s="188" t="str">
        <f t="shared" si="23"/>
        <v>#DIV/0!</v>
      </c>
      <c r="S283" s="51" t="str">
        <f>IFERROR(__xludf.DUMMYFUNCTION("IF(OR(A283="""",E283=""""),"""",IFERROR(LET(data,GOOGLEFINANCE(""NSE:""&amp;UPPER(TRIM(A283)),""close"",Q283-3,Q283,""DAILY""),INDEX(data,ROWS(data),2)),""Not Available""))"),"")</f>
        <v/>
      </c>
      <c r="T283" s="189" t="str">
        <f t="shared" si="24"/>
        <v>#DIV/0!</v>
      </c>
      <c r="U283" s="52" t="str">
        <f t="shared" si="25"/>
        <v>#DIV/0!</v>
      </c>
      <c r="V283" s="190"/>
      <c r="W283" s="190"/>
      <c r="X283" s="190"/>
      <c r="Y283" s="56"/>
    </row>
    <row r="284">
      <c r="A284" s="35" t="s">
        <v>442</v>
      </c>
      <c r="B284" s="130"/>
      <c r="C284" s="130"/>
      <c r="D284" s="130"/>
      <c r="E284" s="199"/>
      <c r="F284" s="130"/>
      <c r="G284" s="130"/>
      <c r="H284" s="130"/>
      <c r="I284" s="130"/>
      <c r="J284" s="130"/>
      <c r="K284" s="130"/>
      <c r="L284" s="130" t="str">
        <f>IFERROR(__xludf.DUMMYFUNCTION("IF(OR(A284="""",D284=""""),"""",IFERROR(LET(data,GOOGLEFINANCE(""NSE:""&amp;UPPER(TRIM(A284)),""close"",D284-3,D284,""DAILY""),INDEX(data,ROWS(data),2)),""Not Available""))"),"")</f>
        <v/>
      </c>
      <c r="M284" s="131">
        <f>IFERROR(__xludf.DUMMYFUNCTION("IF(A284="""","""",IFERROR(GOOGLEFINANCE(""NSE:""&amp;UPPER(TRIM(A284)),""price""),""Not Available""))"),227.5)</f>
        <v>227.5</v>
      </c>
      <c r="N284" s="132" t="str">
        <f t="shared" si="21"/>
        <v>#DIV/0!</v>
      </c>
      <c r="O284" s="133" t="str">
        <f t="shared" si="22"/>
        <v>#DIV/0!</v>
      </c>
      <c r="P284" s="47" t="str">
        <f>IFERROR(__xludf.DUMMYFUNCTION("IF(OR(A284="""",E284=""""),"""",IFERROR(LET(data,GOOGLEFINANCE(""NSE:""&amp;UPPER(TRIM(A284)),""close"",E284-3,E284,""DAILY""),INDEX(data,ROWS(data),2)),""Not Available""))"),"")</f>
        <v/>
      </c>
      <c r="Q284" s="51"/>
      <c r="R284" s="188" t="str">
        <f t="shared" si="23"/>
        <v>#DIV/0!</v>
      </c>
      <c r="S284" s="51" t="str">
        <f>IFERROR(__xludf.DUMMYFUNCTION("IF(OR(A284="""",E284=""""),"""",IFERROR(LET(data,GOOGLEFINANCE(""NSE:""&amp;UPPER(TRIM(A284)),""close"",Q284-3,Q284,""DAILY""),INDEX(data,ROWS(data),2)),""Not Available""))"),"")</f>
        <v/>
      </c>
      <c r="T284" s="189" t="str">
        <f t="shared" si="24"/>
        <v>#DIV/0!</v>
      </c>
      <c r="U284" s="52" t="str">
        <f t="shared" si="25"/>
        <v>#DIV/0!</v>
      </c>
      <c r="V284" s="190"/>
      <c r="W284" s="190"/>
      <c r="X284" s="190"/>
      <c r="Y284" s="56"/>
    </row>
    <row r="285">
      <c r="A285" s="206" t="s">
        <v>450</v>
      </c>
      <c r="B285" s="130"/>
      <c r="C285" s="130"/>
      <c r="D285" s="130"/>
      <c r="E285" s="199"/>
      <c r="F285" s="130"/>
      <c r="G285" s="130"/>
      <c r="H285" s="130"/>
      <c r="I285" s="130"/>
      <c r="J285" s="130"/>
      <c r="K285" s="130"/>
      <c r="L285" s="130" t="str">
        <f>IFERROR(__xludf.DUMMYFUNCTION("IF(OR(A285="""",D285=""""),"""",IFERROR(LET(data,GOOGLEFINANCE(""NSE:""&amp;UPPER(TRIM(A285)),""close"",D285-3,D285,""DAILY""),INDEX(data,ROWS(data),2)),""Not Available""))"),"")</f>
        <v/>
      </c>
      <c r="M285" s="131">
        <f>IFERROR(__xludf.DUMMYFUNCTION("IF(A285="""","""",IFERROR(GOOGLEFINANCE(""NSE:""&amp;UPPER(TRIM(A285)),""price""),""Not Available""))"),2335.1)</f>
        <v>2335.1</v>
      </c>
      <c r="N285" s="132" t="str">
        <f t="shared" si="21"/>
        <v>#DIV/0!</v>
      </c>
      <c r="O285" s="133" t="str">
        <f t="shared" si="22"/>
        <v>#DIV/0!</v>
      </c>
      <c r="P285" s="47" t="str">
        <f>IFERROR(__xludf.DUMMYFUNCTION("IF(OR(A285="""",E285=""""),"""",IFERROR(LET(data,GOOGLEFINANCE(""NSE:""&amp;UPPER(TRIM(A285)),""close"",E285-3,E285,""DAILY""),INDEX(data,ROWS(data),2)),""Not Available""))"),"")</f>
        <v/>
      </c>
      <c r="Q285" s="51"/>
      <c r="R285" s="188" t="str">
        <f t="shared" si="23"/>
        <v>#DIV/0!</v>
      </c>
      <c r="S285" s="51" t="str">
        <f>IFERROR(__xludf.DUMMYFUNCTION("IF(OR(A285="""",E285=""""),"""",IFERROR(LET(data,GOOGLEFINANCE(""NSE:""&amp;UPPER(TRIM(A285)),""close"",Q285-3,Q285,""DAILY""),INDEX(data,ROWS(data),2)),""Not Available""))"),"")</f>
        <v/>
      </c>
      <c r="T285" s="189" t="str">
        <f t="shared" si="24"/>
        <v>#DIV/0!</v>
      </c>
      <c r="U285" s="52" t="str">
        <f t="shared" si="25"/>
        <v>#DIV/0!</v>
      </c>
      <c r="V285" s="190"/>
      <c r="W285" s="190"/>
      <c r="X285" s="190"/>
      <c r="Y285" s="56"/>
    </row>
    <row r="286">
      <c r="A286" s="35" t="s">
        <v>117</v>
      </c>
      <c r="B286" s="130"/>
      <c r="C286" s="130"/>
      <c r="D286" s="130"/>
      <c r="E286" s="199"/>
      <c r="F286" s="130"/>
      <c r="G286" s="130"/>
      <c r="H286" s="130"/>
      <c r="I286" s="130"/>
      <c r="J286" s="130"/>
      <c r="K286" s="130"/>
      <c r="L286" s="130" t="str">
        <f>IFERROR(__xludf.DUMMYFUNCTION("IF(OR(A286="""",D286=""""),"""",IFERROR(LET(data,GOOGLEFINANCE(""NSE:""&amp;UPPER(TRIM(A286)),""close"",D286-3,D286,""DAILY""),INDEX(data,ROWS(data),2)),""Not Available""))"),"")</f>
        <v/>
      </c>
      <c r="M286" s="131">
        <f>IFERROR(__xludf.DUMMYFUNCTION("IF(A286="""","""",IFERROR(GOOGLEFINANCE(""NSE:""&amp;UPPER(TRIM(A286)),""price""),""Not Available""))"),4666.0)</f>
        <v>4666</v>
      </c>
      <c r="N286" s="132" t="str">
        <f t="shared" si="21"/>
        <v>#DIV/0!</v>
      </c>
      <c r="O286" s="133" t="str">
        <f t="shared" si="22"/>
        <v>#DIV/0!</v>
      </c>
      <c r="P286" s="47" t="str">
        <f>IFERROR(__xludf.DUMMYFUNCTION("IF(OR(A286="""",E286=""""),"""",IFERROR(LET(data,GOOGLEFINANCE(""NSE:""&amp;UPPER(TRIM(A286)),""close"",E286-3,E286,""DAILY""),INDEX(data,ROWS(data),2)),""Not Available""))"),"")</f>
        <v/>
      </c>
      <c r="Q286" s="51"/>
      <c r="R286" s="188" t="str">
        <f t="shared" si="23"/>
        <v>#DIV/0!</v>
      </c>
      <c r="S286" s="51" t="str">
        <f>IFERROR(__xludf.DUMMYFUNCTION("IF(OR(A286="""",E286=""""),"""",IFERROR(LET(data,GOOGLEFINANCE(""NSE:""&amp;UPPER(TRIM(A286)),""close"",Q286-3,Q286,""DAILY""),INDEX(data,ROWS(data),2)),""Not Available""))"),"")</f>
        <v/>
      </c>
      <c r="T286" s="189" t="str">
        <f t="shared" si="24"/>
        <v>#DIV/0!</v>
      </c>
      <c r="U286" s="52" t="str">
        <f t="shared" si="25"/>
        <v>#DIV/0!</v>
      </c>
      <c r="V286" s="190"/>
      <c r="W286" s="190"/>
      <c r="X286" s="190"/>
      <c r="Y286" s="56"/>
    </row>
    <row r="287">
      <c r="A287" s="35" t="s">
        <v>465</v>
      </c>
      <c r="B287" s="130"/>
      <c r="C287" s="130"/>
      <c r="D287" s="130"/>
      <c r="E287" s="199"/>
      <c r="F287" s="130"/>
      <c r="G287" s="130"/>
      <c r="H287" s="130"/>
      <c r="I287" s="130"/>
      <c r="J287" s="130"/>
      <c r="K287" s="130"/>
      <c r="L287" s="130" t="str">
        <f>IFERROR(__xludf.DUMMYFUNCTION("IF(OR(A287="""",D287=""""),"""",IFERROR(LET(data,GOOGLEFINANCE(""NSE:""&amp;UPPER(TRIM(A287)),""close"",D287-3,D287,""DAILY""),INDEX(data,ROWS(data),2)),""Not Available""))"),"")</f>
        <v/>
      </c>
      <c r="M287" s="131">
        <f>IFERROR(__xludf.DUMMYFUNCTION("IF(A287="""","""",IFERROR(GOOGLEFINANCE(""NSE:""&amp;UPPER(TRIM(A287)),""price""),""Not Available""))"),778.0)</f>
        <v>778</v>
      </c>
      <c r="N287" s="132" t="str">
        <f t="shared" si="21"/>
        <v>#DIV/0!</v>
      </c>
      <c r="O287" s="133" t="str">
        <f t="shared" si="22"/>
        <v>#DIV/0!</v>
      </c>
      <c r="P287" s="47" t="str">
        <f>IFERROR(__xludf.DUMMYFUNCTION("IF(OR(A287="""",E287=""""),"""",IFERROR(LET(data,GOOGLEFINANCE(""NSE:""&amp;UPPER(TRIM(A287)),""close"",E287-3,E287,""DAILY""),INDEX(data,ROWS(data),2)),""Not Available""))"),"")</f>
        <v/>
      </c>
      <c r="Q287" s="51"/>
      <c r="R287" s="188" t="str">
        <f t="shared" si="23"/>
        <v>#DIV/0!</v>
      </c>
      <c r="S287" s="51" t="str">
        <f>IFERROR(__xludf.DUMMYFUNCTION("IF(OR(A287="""",E287=""""),"""",IFERROR(LET(data,GOOGLEFINANCE(""NSE:""&amp;UPPER(TRIM(A287)),""close"",Q287-3,Q287,""DAILY""),INDEX(data,ROWS(data),2)),""Not Available""))"),"")</f>
        <v/>
      </c>
      <c r="T287" s="189" t="str">
        <f t="shared" si="24"/>
        <v>#DIV/0!</v>
      </c>
      <c r="U287" s="52" t="str">
        <f t="shared" si="25"/>
        <v>#DIV/0!</v>
      </c>
      <c r="V287" s="190"/>
      <c r="W287" s="190"/>
      <c r="X287" s="190"/>
      <c r="Y287" s="56"/>
    </row>
    <row r="288">
      <c r="A288" s="35" t="s">
        <v>468</v>
      </c>
      <c r="B288" s="130"/>
      <c r="C288" s="130"/>
      <c r="D288" s="130"/>
      <c r="E288" s="199"/>
      <c r="F288" s="130"/>
      <c r="G288" s="130"/>
      <c r="H288" s="130"/>
      <c r="I288" s="130"/>
      <c r="J288" s="130"/>
      <c r="K288" s="130"/>
      <c r="L288" s="130" t="str">
        <f>IFERROR(__xludf.DUMMYFUNCTION("IF(OR(A288="""",D288=""""),"""",IFERROR(LET(data,GOOGLEFINANCE(""NSE:""&amp;UPPER(TRIM(A288)),""close"",D288-3,D288,""DAILY""),INDEX(data,ROWS(data),2)),""Not Available""))"),"")</f>
        <v/>
      </c>
      <c r="M288" s="131">
        <f>IFERROR(__xludf.DUMMYFUNCTION("IF(A288="""","""",IFERROR(GOOGLEFINANCE(""NSE:""&amp;UPPER(TRIM(A288)),""price""),""Not Available""))"),278.25)</f>
        <v>278.25</v>
      </c>
      <c r="N288" s="132" t="str">
        <f t="shared" si="21"/>
        <v>#DIV/0!</v>
      </c>
      <c r="O288" s="133" t="str">
        <f t="shared" si="22"/>
        <v>#DIV/0!</v>
      </c>
      <c r="P288" s="47" t="str">
        <f>IFERROR(__xludf.DUMMYFUNCTION("IF(OR(A288="""",E288=""""),"""",IFERROR(LET(data,GOOGLEFINANCE(""NSE:""&amp;UPPER(TRIM(A288)),""close"",E288-3,E288,""DAILY""),INDEX(data,ROWS(data),2)),""Not Available""))"),"")</f>
        <v/>
      </c>
      <c r="Q288" s="51"/>
      <c r="R288" s="188" t="str">
        <f t="shared" si="23"/>
        <v>#DIV/0!</v>
      </c>
      <c r="S288" s="51" t="str">
        <f>IFERROR(__xludf.DUMMYFUNCTION("IF(OR(A288="""",E288=""""),"""",IFERROR(LET(data,GOOGLEFINANCE(""NSE:""&amp;UPPER(TRIM(A288)),""close"",Q288-3,Q288,""DAILY""),INDEX(data,ROWS(data),2)),""Not Available""))"),"")</f>
        <v/>
      </c>
      <c r="T288" s="189" t="str">
        <f t="shared" si="24"/>
        <v>#DIV/0!</v>
      </c>
      <c r="U288" s="52" t="str">
        <f t="shared" si="25"/>
        <v>#DIV/0!</v>
      </c>
      <c r="V288" s="190"/>
      <c r="W288" s="190"/>
      <c r="X288" s="190"/>
      <c r="Y288" s="56"/>
    </row>
    <row r="289">
      <c r="A289" s="35" t="s">
        <v>471</v>
      </c>
      <c r="B289" s="130"/>
      <c r="C289" s="130"/>
      <c r="D289" s="130"/>
      <c r="E289" s="199"/>
      <c r="F289" s="130"/>
      <c r="G289" s="130"/>
      <c r="H289" s="130"/>
      <c r="I289" s="130"/>
      <c r="J289" s="130"/>
      <c r="K289" s="130"/>
      <c r="L289" s="130" t="str">
        <f>IFERROR(__xludf.DUMMYFUNCTION("IF(OR(A289="""",D289=""""),"""",IFERROR(LET(data,GOOGLEFINANCE(""NSE:""&amp;UPPER(TRIM(A289)),""close"",D289-3,D289,""DAILY""),INDEX(data,ROWS(data),2)),""Not Available""))"),"")</f>
        <v/>
      </c>
      <c r="M289" s="131">
        <f>IFERROR(__xludf.DUMMYFUNCTION("IF(A289="""","""",IFERROR(GOOGLEFINANCE(""NSE:""&amp;UPPER(TRIM(A289)),""price""),""Not Available""))"),1243.1)</f>
        <v>1243.1</v>
      </c>
      <c r="N289" s="132" t="str">
        <f t="shared" si="21"/>
        <v>#DIV/0!</v>
      </c>
      <c r="O289" s="133" t="str">
        <f t="shared" si="22"/>
        <v>#DIV/0!</v>
      </c>
      <c r="P289" s="47" t="str">
        <f>IFERROR(__xludf.DUMMYFUNCTION("IF(OR(A289="""",E289=""""),"""",IFERROR(LET(data,GOOGLEFINANCE(""NSE:""&amp;UPPER(TRIM(A289)),""close"",E289-3,E289,""DAILY""),INDEX(data,ROWS(data),2)),""Not Available""))"),"")</f>
        <v/>
      </c>
      <c r="Q289" s="51"/>
      <c r="R289" s="188" t="str">
        <f t="shared" si="23"/>
        <v>#DIV/0!</v>
      </c>
      <c r="S289" s="51" t="str">
        <f>IFERROR(__xludf.DUMMYFUNCTION("IF(OR(A289="""",E289=""""),"""",IFERROR(LET(data,GOOGLEFINANCE(""NSE:""&amp;UPPER(TRIM(A289)),""close"",Q289-3,Q289,""DAILY""),INDEX(data,ROWS(data),2)),""Not Available""))"),"")</f>
        <v/>
      </c>
      <c r="T289" s="189" t="str">
        <f t="shared" si="24"/>
        <v>#DIV/0!</v>
      </c>
      <c r="U289" s="52" t="str">
        <f t="shared" si="25"/>
        <v>#DIV/0!</v>
      </c>
      <c r="V289" s="190"/>
      <c r="W289" s="190"/>
      <c r="X289" s="190"/>
      <c r="Y289" s="56"/>
    </row>
    <row r="290">
      <c r="A290" s="236" t="s">
        <v>473</v>
      </c>
      <c r="B290" s="130"/>
      <c r="C290" s="130"/>
      <c r="D290" s="130"/>
      <c r="E290" s="199"/>
      <c r="F290" s="130"/>
      <c r="G290" s="130"/>
      <c r="H290" s="130"/>
      <c r="I290" s="130"/>
      <c r="J290" s="130"/>
      <c r="K290" s="130"/>
      <c r="L290" s="130" t="str">
        <f>IFERROR(__xludf.DUMMYFUNCTION("IF(OR(A290="""",D290=""""),"""",IFERROR(LET(data,GOOGLEFINANCE(""NSE:""&amp;UPPER(TRIM(A290)),""close"",D290-3,D290,""DAILY""),INDEX(data,ROWS(data),2)),""Not Available""))"),"")</f>
        <v/>
      </c>
      <c r="M290" s="131">
        <f>IFERROR(__xludf.DUMMYFUNCTION("IF(A290="""","""",IFERROR(GOOGLEFINANCE(""NSE:""&amp;UPPER(TRIM(A290)),""price""),""Not Available""))"),853.45)</f>
        <v>853.45</v>
      </c>
      <c r="N290" s="132" t="str">
        <f t="shared" si="21"/>
        <v>#DIV/0!</v>
      </c>
      <c r="O290" s="133" t="str">
        <f t="shared" si="22"/>
        <v>#DIV/0!</v>
      </c>
      <c r="P290" s="47" t="str">
        <f>IFERROR(__xludf.DUMMYFUNCTION("IF(OR(A290="""",E290=""""),"""",IFERROR(LET(data,GOOGLEFINANCE(""NSE:""&amp;UPPER(TRIM(A290)),""close"",E290-3,E290,""DAILY""),INDEX(data,ROWS(data),2)),""Not Available""))"),"")</f>
        <v/>
      </c>
      <c r="Q290" s="51"/>
      <c r="R290" s="188" t="str">
        <f t="shared" si="23"/>
        <v>#DIV/0!</v>
      </c>
      <c r="S290" s="51" t="str">
        <f>IFERROR(__xludf.DUMMYFUNCTION("IF(OR(A290="""",E290=""""),"""",IFERROR(LET(data,GOOGLEFINANCE(""NSE:""&amp;UPPER(TRIM(A290)),""close"",Q290-3,Q290,""DAILY""),INDEX(data,ROWS(data),2)),""Not Available""))"),"")</f>
        <v/>
      </c>
      <c r="T290" s="189" t="str">
        <f t="shared" si="24"/>
        <v>#DIV/0!</v>
      </c>
      <c r="U290" s="52" t="str">
        <f t="shared" si="25"/>
        <v>#DIV/0!</v>
      </c>
      <c r="V290" s="190"/>
      <c r="W290" s="190"/>
      <c r="X290" s="190"/>
      <c r="Y290" s="56"/>
    </row>
    <row r="291">
      <c r="A291" s="35" t="s">
        <v>476</v>
      </c>
      <c r="B291" s="130"/>
      <c r="C291" s="130"/>
      <c r="D291" s="130"/>
      <c r="E291" s="199"/>
      <c r="F291" s="130"/>
      <c r="G291" s="130"/>
      <c r="H291" s="130"/>
      <c r="I291" s="130"/>
      <c r="J291" s="130"/>
      <c r="K291" s="130"/>
      <c r="L291" s="130" t="str">
        <f>IFERROR(__xludf.DUMMYFUNCTION("IF(OR(A291="""",D291=""""),"""",IFERROR(LET(data,GOOGLEFINANCE(""NSE:""&amp;UPPER(TRIM(A291)),""close"",D291-3,D291,""DAILY""),INDEX(data,ROWS(data),2)),""Not Available""))"),"")</f>
        <v/>
      </c>
      <c r="M291" s="131">
        <f>IFERROR(__xludf.DUMMYFUNCTION("IF(A291="""","""",IFERROR(GOOGLEFINANCE(""NSE:""&amp;UPPER(TRIM(A291)),""price""),""Not Available""))"),1847.7)</f>
        <v>1847.7</v>
      </c>
      <c r="N291" s="132" t="str">
        <f t="shared" si="21"/>
        <v>#DIV/0!</v>
      </c>
      <c r="O291" s="133" t="str">
        <f t="shared" si="22"/>
        <v>#DIV/0!</v>
      </c>
      <c r="P291" s="47" t="str">
        <f>IFERROR(__xludf.DUMMYFUNCTION("IF(OR(A291="""",E291=""""),"""",IFERROR(LET(data,GOOGLEFINANCE(""NSE:""&amp;UPPER(TRIM(A291)),""close"",E291-3,E291,""DAILY""),INDEX(data,ROWS(data),2)),""Not Available""))"),"")</f>
        <v/>
      </c>
      <c r="Q291" s="51"/>
      <c r="R291" s="188" t="str">
        <f t="shared" si="23"/>
        <v>#DIV/0!</v>
      </c>
      <c r="S291" s="51" t="str">
        <f>IFERROR(__xludf.DUMMYFUNCTION("IF(OR(A291="""",E291=""""),"""",IFERROR(LET(data,GOOGLEFINANCE(""NSE:""&amp;UPPER(TRIM(A291)),""close"",Q291-3,Q291,""DAILY""),INDEX(data,ROWS(data),2)),""Not Available""))"),"")</f>
        <v/>
      </c>
      <c r="T291" s="189" t="str">
        <f t="shared" si="24"/>
        <v>#DIV/0!</v>
      </c>
      <c r="U291" s="52" t="str">
        <f t="shared" si="25"/>
        <v>#DIV/0!</v>
      </c>
      <c r="V291" s="190"/>
      <c r="W291" s="190"/>
      <c r="X291" s="190"/>
      <c r="Y291" s="56"/>
    </row>
    <row r="292">
      <c r="A292" s="237"/>
      <c r="B292" s="130"/>
      <c r="C292" s="130"/>
      <c r="D292" s="130"/>
      <c r="E292" s="199"/>
      <c r="F292" s="130"/>
      <c r="G292" s="130"/>
      <c r="H292" s="130"/>
      <c r="I292" s="130"/>
      <c r="J292" s="130"/>
      <c r="K292" s="130"/>
      <c r="L292" s="130"/>
      <c r="M292" s="131"/>
      <c r="N292" s="132"/>
      <c r="O292" s="133"/>
      <c r="P292" s="238"/>
      <c r="Q292" s="190"/>
      <c r="R292" s="239"/>
      <c r="S292" s="190"/>
      <c r="T292" s="240"/>
      <c r="U292" s="241"/>
      <c r="V292" s="190"/>
      <c r="W292" s="190"/>
      <c r="X292" s="190"/>
      <c r="Y292" s="56"/>
    </row>
    <row r="293">
      <c r="A293" s="237"/>
      <c r="B293" s="130"/>
      <c r="C293" s="130"/>
      <c r="D293" s="130"/>
      <c r="E293" s="199"/>
      <c r="F293" s="130"/>
      <c r="G293" s="130"/>
      <c r="H293" s="130"/>
      <c r="I293" s="130"/>
      <c r="J293" s="130"/>
      <c r="K293" s="130"/>
      <c r="L293" s="130"/>
      <c r="M293" s="131"/>
      <c r="N293" s="132"/>
      <c r="O293" s="133"/>
      <c r="P293" s="238"/>
      <c r="Q293" s="190"/>
      <c r="R293" s="239"/>
      <c r="S293" s="190"/>
      <c r="T293" s="240"/>
      <c r="U293" s="241"/>
      <c r="V293" s="190"/>
      <c r="W293" s="190"/>
      <c r="X293" s="190"/>
      <c r="Y293" s="56"/>
    </row>
    <row r="294">
      <c r="A294" s="237"/>
      <c r="B294" s="130"/>
      <c r="C294" s="130"/>
      <c r="D294" s="130"/>
      <c r="E294" s="199"/>
      <c r="F294" s="130"/>
      <c r="G294" s="130"/>
      <c r="H294" s="130"/>
      <c r="I294" s="130"/>
      <c r="J294" s="130"/>
      <c r="K294" s="130"/>
      <c r="L294" s="130"/>
      <c r="M294" s="131"/>
      <c r="N294" s="132"/>
      <c r="O294" s="133"/>
      <c r="P294" s="238"/>
      <c r="Q294" s="190"/>
      <c r="R294" s="239"/>
      <c r="S294" s="190"/>
      <c r="T294" s="240"/>
      <c r="U294" s="241"/>
      <c r="V294" s="190"/>
      <c r="W294" s="190"/>
      <c r="X294" s="190"/>
      <c r="Y294" s="56"/>
    </row>
    <row r="295">
      <c r="A295" s="237"/>
      <c r="B295" s="130"/>
      <c r="C295" s="130"/>
      <c r="D295" s="130"/>
      <c r="E295" s="199"/>
      <c r="F295" s="130"/>
      <c r="G295" s="130"/>
      <c r="H295" s="130"/>
      <c r="I295" s="130"/>
      <c r="J295" s="130"/>
      <c r="K295" s="130"/>
      <c r="L295" s="130"/>
      <c r="M295" s="131"/>
      <c r="N295" s="132"/>
      <c r="O295" s="133"/>
      <c r="P295" s="238"/>
      <c r="Q295" s="190"/>
      <c r="R295" s="239"/>
      <c r="S295" s="190"/>
      <c r="T295" s="240"/>
      <c r="U295" s="241"/>
      <c r="V295" s="190"/>
      <c r="W295" s="190"/>
      <c r="X295" s="190"/>
      <c r="Y295" s="56"/>
    </row>
    <row r="296">
      <c r="A296" s="237"/>
      <c r="B296" s="130"/>
      <c r="C296" s="130"/>
      <c r="D296" s="130"/>
      <c r="E296" s="199"/>
      <c r="F296" s="130"/>
      <c r="G296" s="130"/>
      <c r="H296" s="130"/>
      <c r="I296" s="130"/>
      <c r="J296" s="130"/>
      <c r="K296" s="130"/>
      <c r="L296" s="130"/>
      <c r="M296" s="131"/>
      <c r="N296" s="132"/>
      <c r="O296" s="133"/>
      <c r="P296" s="238"/>
      <c r="Q296" s="190"/>
      <c r="R296" s="239"/>
      <c r="S296" s="190"/>
      <c r="T296" s="240"/>
      <c r="U296" s="241"/>
      <c r="V296" s="190"/>
      <c r="W296" s="190"/>
      <c r="X296" s="190"/>
      <c r="Y296" s="56"/>
    </row>
    <row r="297">
      <c r="A297" s="237"/>
      <c r="B297" s="130"/>
      <c r="C297" s="130"/>
      <c r="D297" s="130"/>
      <c r="E297" s="199"/>
      <c r="F297" s="130"/>
      <c r="G297" s="130"/>
      <c r="H297" s="130"/>
      <c r="I297" s="130"/>
      <c r="J297" s="130"/>
      <c r="K297" s="130"/>
      <c r="L297" s="130"/>
      <c r="M297" s="131"/>
      <c r="N297" s="132"/>
      <c r="O297" s="133"/>
      <c r="P297" s="238"/>
      <c r="Q297" s="190"/>
      <c r="R297" s="239"/>
      <c r="S297" s="190"/>
      <c r="T297" s="240"/>
      <c r="U297" s="241"/>
      <c r="V297" s="190"/>
      <c r="W297" s="190"/>
      <c r="X297" s="190"/>
      <c r="Y297" s="56"/>
    </row>
    <row r="298">
      <c r="A298" s="237"/>
      <c r="B298" s="130"/>
      <c r="C298" s="130"/>
      <c r="D298" s="130"/>
      <c r="E298" s="199"/>
      <c r="F298" s="130"/>
      <c r="G298" s="130"/>
      <c r="H298" s="130"/>
      <c r="I298" s="130"/>
      <c r="J298" s="130"/>
      <c r="K298" s="130"/>
      <c r="L298" s="130"/>
      <c r="M298" s="131"/>
      <c r="N298" s="132"/>
      <c r="O298" s="133"/>
      <c r="P298" s="238"/>
      <c r="Q298" s="190"/>
      <c r="R298" s="239"/>
      <c r="S298" s="190"/>
      <c r="T298" s="240"/>
      <c r="U298" s="241"/>
      <c r="V298" s="190"/>
      <c r="W298" s="190"/>
      <c r="X298" s="190"/>
      <c r="Y298" s="56"/>
    </row>
    <row r="299">
      <c r="A299" s="237"/>
      <c r="B299" s="130"/>
      <c r="C299" s="130"/>
      <c r="D299" s="130"/>
      <c r="E299" s="199"/>
      <c r="F299" s="130"/>
      <c r="G299" s="130"/>
      <c r="H299" s="130"/>
      <c r="I299" s="130"/>
      <c r="J299" s="130"/>
      <c r="K299" s="130"/>
      <c r="L299" s="130"/>
      <c r="M299" s="131"/>
      <c r="N299" s="132"/>
      <c r="O299" s="133"/>
      <c r="P299" s="238"/>
      <c r="Q299" s="190"/>
      <c r="R299" s="239"/>
      <c r="S299" s="190"/>
      <c r="T299" s="240"/>
      <c r="U299" s="241"/>
      <c r="V299" s="190"/>
      <c r="W299" s="190"/>
      <c r="X299" s="190"/>
      <c r="Y299" s="56"/>
    </row>
    <row r="300">
      <c r="A300" s="237"/>
      <c r="B300" s="130"/>
      <c r="C300" s="130"/>
      <c r="D300" s="130"/>
      <c r="E300" s="199"/>
      <c r="F300" s="130"/>
      <c r="G300" s="130"/>
      <c r="H300" s="130"/>
      <c r="I300" s="130"/>
      <c r="J300" s="130"/>
      <c r="K300" s="130"/>
      <c r="L300" s="130"/>
      <c r="M300" s="131"/>
      <c r="N300" s="132"/>
      <c r="O300" s="133"/>
      <c r="P300" s="238"/>
      <c r="Q300" s="190"/>
      <c r="R300" s="239"/>
      <c r="S300" s="190"/>
      <c r="T300" s="240"/>
      <c r="U300" s="241"/>
      <c r="V300" s="190"/>
      <c r="W300" s="190"/>
      <c r="X300" s="190"/>
      <c r="Y300" s="56"/>
    </row>
    <row r="301">
      <c r="A301" s="237"/>
      <c r="B301" s="130"/>
      <c r="C301" s="130"/>
      <c r="D301" s="130"/>
      <c r="E301" s="199"/>
      <c r="F301" s="130"/>
      <c r="G301" s="130"/>
      <c r="H301" s="130"/>
      <c r="I301" s="130"/>
      <c r="J301" s="130"/>
      <c r="K301" s="130"/>
      <c r="L301" s="130"/>
      <c r="M301" s="131"/>
      <c r="N301" s="132"/>
      <c r="O301" s="133"/>
      <c r="P301" s="238"/>
      <c r="Q301" s="190"/>
      <c r="R301" s="239"/>
      <c r="S301" s="190"/>
      <c r="T301" s="240"/>
      <c r="U301" s="241"/>
      <c r="V301" s="190"/>
      <c r="W301" s="190"/>
      <c r="X301" s="190"/>
      <c r="Y301" s="56"/>
    </row>
    <row r="302">
      <c r="A302" s="237"/>
      <c r="B302" s="130"/>
      <c r="C302" s="130"/>
      <c r="D302" s="130"/>
      <c r="E302" s="199"/>
      <c r="F302" s="130"/>
      <c r="G302" s="130"/>
      <c r="H302" s="130"/>
      <c r="I302" s="130"/>
      <c r="J302" s="130"/>
      <c r="K302" s="130"/>
      <c r="L302" s="130"/>
      <c r="M302" s="131"/>
      <c r="N302" s="132"/>
      <c r="O302" s="133"/>
      <c r="P302" s="238"/>
      <c r="Q302" s="190"/>
      <c r="R302" s="239"/>
      <c r="S302" s="190"/>
      <c r="T302" s="240"/>
      <c r="U302" s="241"/>
      <c r="V302" s="190"/>
      <c r="W302" s="190"/>
      <c r="X302" s="190"/>
      <c r="Y302" s="56"/>
    </row>
    <row r="303">
      <c r="A303" s="237"/>
      <c r="B303" s="130"/>
      <c r="C303" s="130"/>
      <c r="D303" s="130"/>
      <c r="E303" s="199"/>
      <c r="F303" s="130"/>
      <c r="G303" s="130"/>
      <c r="H303" s="130"/>
      <c r="I303" s="130"/>
      <c r="J303" s="130"/>
      <c r="K303" s="130"/>
      <c r="L303" s="130"/>
      <c r="M303" s="131"/>
      <c r="N303" s="132"/>
      <c r="O303" s="133"/>
      <c r="P303" s="238"/>
      <c r="Q303" s="190"/>
      <c r="R303" s="239"/>
      <c r="S303" s="190"/>
      <c r="T303" s="240"/>
      <c r="U303" s="241"/>
      <c r="V303" s="190"/>
      <c r="W303" s="190"/>
      <c r="X303" s="190"/>
      <c r="Y303" s="56"/>
    </row>
    <row r="304">
      <c r="A304" s="237"/>
      <c r="B304" s="130"/>
      <c r="C304" s="130"/>
      <c r="D304" s="130"/>
      <c r="E304" s="199"/>
      <c r="F304" s="130"/>
      <c r="G304" s="130"/>
      <c r="H304" s="130"/>
      <c r="I304" s="130"/>
      <c r="J304" s="130"/>
      <c r="K304" s="130"/>
      <c r="L304" s="130"/>
      <c r="M304" s="131"/>
      <c r="N304" s="132"/>
      <c r="O304" s="133"/>
      <c r="P304" s="238"/>
      <c r="Q304" s="190"/>
      <c r="R304" s="239"/>
      <c r="S304" s="190"/>
      <c r="T304" s="240"/>
      <c r="U304" s="241"/>
      <c r="V304" s="190"/>
      <c r="W304" s="190"/>
      <c r="X304" s="190"/>
      <c r="Y304" s="56"/>
    </row>
    <row r="305">
      <c r="A305" s="237"/>
      <c r="B305" s="130"/>
      <c r="C305" s="130"/>
      <c r="D305" s="130"/>
      <c r="E305" s="199"/>
      <c r="F305" s="130"/>
      <c r="G305" s="130"/>
      <c r="H305" s="130"/>
      <c r="I305" s="130"/>
      <c r="J305" s="130"/>
      <c r="K305" s="130"/>
      <c r="L305" s="130"/>
      <c r="M305" s="131"/>
      <c r="N305" s="132"/>
      <c r="O305" s="133"/>
      <c r="P305" s="238"/>
      <c r="Q305" s="190"/>
      <c r="R305" s="239"/>
      <c r="S305" s="190"/>
      <c r="T305" s="240"/>
      <c r="U305" s="241"/>
      <c r="V305" s="190"/>
      <c r="W305" s="190"/>
      <c r="X305" s="190"/>
      <c r="Y305" s="56"/>
    </row>
    <row r="306">
      <c r="A306" s="237"/>
      <c r="B306" s="130"/>
      <c r="C306" s="130"/>
      <c r="D306" s="130"/>
      <c r="E306" s="199"/>
      <c r="F306" s="130"/>
      <c r="G306" s="130"/>
      <c r="H306" s="130"/>
      <c r="I306" s="130"/>
      <c r="J306" s="130"/>
      <c r="K306" s="130"/>
      <c r="L306" s="130"/>
      <c r="M306" s="131"/>
      <c r="N306" s="132"/>
      <c r="O306" s="133"/>
      <c r="P306" s="238"/>
      <c r="Q306" s="190"/>
      <c r="R306" s="239"/>
      <c r="S306" s="190"/>
      <c r="T306" s="240"/>
      <c r="U306" s="241"/>
      <c r="V306" s="190"/>
      <c r="W306" s="190"/>
      <c r="X306" s="190"/>
      <c r="Y306" s="56"/>
    </row>
    <row r="307">
      <c r="A307" s="237"/>
      <c r="B307" s="130"/>
      <c r="C307" s="130"/>
      <c r="D307" s="130"/>
      <c r="E307" s="199"/>
      <c r="F307" s="130"/>
      <c r="G307" s="130"/>
      <c r="H307" s="130"/>
      <c r="I307" s="130"/>
      <c r="J307" s="130"/>
      <c r="K307" s="130"/>
      <c r="L307" s="130"/>
      <c r="M307" s="131"/>
      <c r="N307" s="132"/>
      <c r="O307" s="133"/>
      <c r="P307" s="238"/>
      <c r="Q307" s="190"/>
      <c r="R307" s="239"/>
      <c r="S307" s="190"/>
      <c r="T307" s="240"/>
      <c r="U307" s="241"/>
      <c r="V307" s="190"/>
      <c r="W307" s="190"/>
      <c r="X307" s="190"/>
      <c r="Y307" s="56"/>
    </row>
    <row r="308">
      <c r="A308" s="237"/>
      <c r="B308" s="130"/>
      <c r="C308" s="130"/>
      <c r="D308" s="130"/>
      <c r="E308" s="199"/>
      <c r="F308" s="130"/>
      <c r="G308" s="130"/>
      <c r="H308" s="130"/>
      <c r="I308" s="130"/>
      <c r="J308" s="130"/>
      <c r="K308" s="130"/>
      <c r="L308" s="130"/>
      <c r="M308" s="131"/>
      <c r="N308" s="132"/>
      <c r="O308" s="133"/>
      <c r="P308" s="238"/>
      <c r="Q308" s="190"/>
      <c r="R308" s="239"/>
      <c r="S308" s="190"/>
      <c r="T308" s="240"/>
      <c r="U308" s="241"/>
      <c r="V308" s="190"/>
      <c r="W308" s="190"/>
      <c r="X308" s="190"/>
      <c r="Y308" s="56"/>
    </row>
    <row r="309">
      <c r="A309" s="237"/>
      <c r="B309" s="130"/>
      <c r="C309" s="130"/>
      <c r="D309" s="130"/>
      <c r="E309" s="199"/>
      <c r="F309" s="130"/>
      <c r="G309" s="130"/>
      <c r="H309" s="130"/>
      <c r="I309" s="130"/>
      <c r="J309" s="130"/>
      <c r="K309" s="130"/>
      <c r="L309" s="130"/>
      <c r="M309" s="131"/>
      <c r="N309" s="132"/>
      <c r="O309" s="133"/>
      <c r="P309" s="238"/>
      <c r="Q309" s="190"/>
      <c r="R309" s="239"/>
      <c r="S309" s="190"/>
      <c r="T309" s="240"/>
      <c r="U309" s="241"/>
      <c r="V309" s="190"/>
      <c r="W309" s="190"/>
      <c r="X309" s="190"/>
      <c r="Y309" s="56"/>
    </row>
    <row r="310">
      <c r="A310" s="237"/>
      <c r="B310" s="130"/>
      <c r="C310" s="130"/>
      <c r="D310" s="130"/>
      <c r="E310" s="199"/>
      <c r="F310" s="130"/>
      <c r="G310" s="130"/>
      <c r="H310" s="130"/>
      <c r="I310" s="130"/>
      <c r="J310" s="130"/>
      <c r="K310" s="130"/>
      <c r="L310" s="130"/>
      <c r="M310" s="131"/>
      <c r="N310" s="132"/>
      <c r="O310" s="133"/>
      <c r="P310" s="238"/>
      <c r="Q310" s="190"/>
      <c r="R310" s="239"/>
      <c r="S310" s="190"/>
      <c r="T310" s="240"/>
      <c r="U310" s="241"/>
      <c r="V310" s="190"/>
      <c r="W310" s="190"/>
      <c r="X310" s="190"/>
      <c r="Y310" s="56"/>
    </row>
    <row r="311">
      <c r="A311" s="237"/>
      <c r="B311" s="130"/>
      <c r="C311" s="130"/>
      <c r="D311" s="130"/>
      <c r="E311" s="199"/>
      <c r="F311" s="130"/>
      <c r="G311" s="130"/>
      <c r="H311" s="130"/>
      <c r="I311" s="130"/>
      <c r="J311" s="130"/>
      <c r="K311" s="130"/>
      <c r="L311" s="130"/>
      <c r="M311" s="131"/>
      <c r="N311" s="132"/>
      <c r="O311" s="133"/>
      <c r="P311" s="238"/>
      <c r="Q311" s="190"/>
      <c r="R311" s="239"/>
      <c r="S311" s="190"/>
      <c r="T311" s="240"/>
      <c r="U311" s="241"/>
      <c r="V311" s="190"/>
      <c r="W311" s="190"/>
      <c r="X311" s="190"/>
      <c r="Y311" s="56"/>
    </row>
    <row r="312">
      <c r="A312" s="237"/>
      <c r="B312" s="130"/>
      <c r="C312" s="130"/>
      <c r="D312" s="130"/>
      <c r="E312" s="199"/>
      <c r="F312" s="130"/>
      <c r="G312" s="130"/>
      <c r="H312" s="130"/>
      <c r="I312" s="130"/>
      <c r="J312" s="130"/>
      <c r="K312" s="130"/>
      <c r="L312" s="130"/>
      <c r="M312" s="131"/>
      <c r="N312" s="132"/>
      <c r="O312" s="133"/>
      <c r="P312" s="238"/>
      <c r="Q312" s="190"/>
      <c r="R312" s="239"/>
      <c r="S312" s="190"/>
      <c r="T312" s="240"/>
      <c r="U312" s="241"/>
      <c r="V312" s="190"/>
      <c r="W312" s="190"/>
      <c r="X312" s="190"/>
      <c r="Y312" s="56"/>
    </row>
    <row r="313">
      <c r="A313" s="237"/>
      <c r="B313" s="130"/>
      <c r="C313" s="130"/>
      <c r="D313" s="130"/>
      <c r="E313" s="199"/>
      <c r="F313" s="130"/>
      <c r="G313" s="130"/>
      <c r="H313" s="130"/>
      <c r="I313" s="130"/>
      <c r="J313" s="130"/>
      <c r="K313" s="130"/>
      <c r="L313" s="130"/>
      <c r="M313" s="131"/>
      <c r="N313" s="132"/>
      <c r="O313" s="133"/>
      <c r="P313" s="238"/>
      <c r="Q313" s="190"/>
      <c r="R313" s="239"/>
      <c r="S313" s="190"/>
      <c r="T313" s="240"/>
      <c r="U313" s="241"/>
      <c r="V313" s="190"/>
      <c r="W313" s="190"/>
      <c r="X313" s="190"/>
      <c r="Y313" s="56"/>
    </row>
    <row r="314">
      <c r="A314" s="237"/>
      <c r="B314" s="130"/>
      <c r="C314" s="130"/>
      <c r="D314" s="130"/>
      <c r="E314" s="199"/>
      <c r="F314" s="130"/>
      <c r="G314" s="130"/>
      <c r="H314" s="130"/>
      <c r="I314" s="130"/>
      <c r="J314" s="130"/>
      <c r="K314" s="130"/>
      <c r="L314" s="130"/>
      <c r="M314" s="131"/>
      <c r="N314" s="132"/>
      <c r="O314" s="133"/>
      <c r="P314" s="238"/>
      <c r="Q314" s="190"/>
      <c r="R314" s="239"/>
      <c r="S314" s="190"/>
      <c r="T314" s="240"/>
      <c r="U314" s="241"/>
      <c r="V314" s="190"/>
      <c r="W314" s="190"/>
      <c r="X314" s="190"/>
      <c r="Y314" s="56"/>
    </row>
    <row r="315">
      <c r="A315" s="237"/>
      <c r="B315" s="130"/>
      <c r="C315" s="130"/>
      <c r="D315" s="130"/>
      <c r="E315" s="199"/>
      <c r="F315" s="130"/>
      <c r="G315" s="130"/>
      <c r="H315" s="130"/>
      <c r="I315" s="130"/>
      <c r="J315" s="130"/>
      <c r="K315" s="130"/>
      <c r="L315" s="130"/>
      <c r="M315" s="131"/>
      <c r="N315" s="132"/>
      <c r="O315" s="133"/>
      <c r="P315" s="238"/>
      <c r="Q315" s="190"/>
      <c r="R315" s="239"/>
      <c r="S315" s="190"/>
      <c r="T315" s="240"/>
      <c r="U315" s="241"/>
      <c r="V315" s="190"/>
      <c r="W315" s="190"/>
      <c r="X315" s="190"/>
      <c r="Y315" s="56"/>
    </row>
    <row r="316">
      <c r="A316" s="237"/>
      <c r="B316" s="130"/>
      <c r="C316" s="130"/>
      <c r="D316" s="130"/>
      <c r="E316" s="199"/>
      <c r="F316" s="130"/>
      <c r="G316" s="130"/>
      <c r="H316" s="130"/>
      <c r="I316" s="130"/>
      <c r="J316" s="130"/>
      <c r="K316" s="130"/>
      <c r="L316" s="130"/>
      <c r="M316" s="131"/>
      <c r="N316" s="132"/>
      <c r="O316" s="133"/>
      <c r="P316" s="238"/>
      <c r="Q316" s="190"/>
      <c r="R316" s="239"/>
      <c r="S316" s="190"/>
      <c r="T316" s="240"/>
      <c r="U316" s="241"/>
      <c r="V316" s="190"/>
      <c r="W316" s="190"/>
      <c r="X316" s="190"/>
      <c r="Y316" s="56"/>
    </row>
    <row r="317">
      <c r="A317" s="237"/>
      <c r="B317" s="130"/>
      <c r="C317" s="130"/>
      <c r="D317" s="130"/>
      <c r="E317" s="199"/>
      <c r="F317" s="130"/>
      <c r="G317" s="130"/>
      <c r="H317" s="130"/>
      <c r="I317" s="130"/>
      <c r="J317" s="130"/>
      <c r="K317" s="130"/>
      <c r="L317" s="130"/>
      <c r="M317" s="131"/>
      <c r="N317" s="132"/>
      <c r="O317" s="133"/>
      <c r="P317" s="238"/>
      <c r="Q317" s="190"/>
      <c r="R317" s="239"/>
      <c r="S317" s="190"/>
      <c r="T317" s="240"/>
      <c r="U317" s="241"/>
      <c r="V317" s="190"/>
      <c r="W317" s="190"/>
      <c r="X317" s="190"/>
      <c r="Y317" s="56"/>
    </row>
    <row r="318">
      <c r="A318" s="237"/>
      <c r="B318" s="130"/>
      <c r="C318" s="130"/>
      <c r="D318" s="130"/>
      <c r="E318" s="199"/>
      <c r="F318" s="130"/>
      <c r="G318" s="130"/>
      <c r="H318" s="130"/>
      <c r="I318" s="130"/>
      <c r="J318" s="130"/>
      <c r="K318" s="130"/>
      <c r="L318" s="130"/>
      <c r="M318" s="131"/>
      <c r="N318" s="132"/>
      <c r="O318" s="133"/>
      <c r="P318" s="238"/>
      <c r="Q318" s="190"/>
      <c r="R318" s="239"/>
      <c r="S318" s="190"/>
      <c r="T318" s="240"/>
      <c r="U318" s="241"/>
      <c r="V318" s="190"/>
      <c r="W318" s="190"/>
      <c r="X318" s="190"/>
      <c r="Y318" s="56"/>
    </row>
    <row r="319">
      <c r="A319" s="237"/>
      <c r="B319" s="130"/>
      <c r="C319" s="130"/>
      <c r="D319" s="130"/>
      <c r="E319" s="199"/>
      <c r="F319" s="130"/>
      <c r="G319" s="130"/>
      <c r="H319" s="130"/>
      <c r="I319" s="130"/>
      <c r="J319" s="130"/>
      <c r="K319" s="130"/>
      <c r="L319" s="130"/>
      <c r="M319" s="131"/>
      <c r="N319" s="132"/>
      <c r="O319" s="133"/>
      <c r="P319" s="238"/>
      <c r="Q319" s="190"/>
      <c r="R319" s="239"/>
      <c r="S319" s="190"/>
      <c r="T319" s="240"/>
      <c r="U319" s="241"/>
      <c r="V319" s="190"/>
      <c r="W319" s="190"/>
      <c r="X319" s="190"/>
      <c r="Y319" s="56"/>
    </row>
    <row r="320">
      <c r="A320" s="237"/>
      <c r="B320" s="130"/>
      <c r="C320" s="130"/>
      <c r="D320" s="130"/>
      <c r="E320" s="199"/>
      <c r="F320" s="130"/>
      <c r="G320" s="130"/>
      <c r="H320" s="130"/>
      <c r="I320" s="130"/>
      <c r="J320" s="130"/>
      <c r="K320" s="130"/>
      <c r="L320" s="130"/>
      <c r="M320" s="131"/>
      <c r="N320" s="132"/>
      <c r="O320" s="133"/>
      <c r="P320" s="238"/>
      <c r="Q320" s="190"/>
      <c r="R320" s="239"/>
      <c r="S320" s="190"/>
      <c r="T320" s="240"/>
      <c r="U320" s="241"/>
      <c r="V320" s="190"/>
      <c r="W320" s="190"/>
      <c r="X320" s="190"/>
      <c r="Y320" s="56"/>
    </row>
    <row r="321">
      <c r="A321" s="237"/>
      <c r="B321" s="130"/>
      <c r="C321" s="130"/>
      <c r="D321" s="130"/>
      <c r="E321" s="199"/>
      <c r="F321" s="130"/>
      <c r="G321" s="130"/>
      <c r="H321" s="130"/>
      <c r="I321" s="130"/>
      <c r="J321" s="130"/>
      <c r="K321" s="130"/>
      <c r="L321" s="130"/>
      <c r="M321" s="131"/>
      <c r="N321" s="132"/>
      <c r="O321" s="133"/>
      <c r="P321" s="238"/>
      <c r="Q321" s="190"/>
      <c r="R321" s="239"/>
      <c r="S321" s="190"/>
      <c r="T321" s="240"/>
      <c r="U321" s="241"/>
      <c r="V321" s="190"/>
      <c r="W321" s="190"/>
      <c r="X321" s="190"/>
      <c r="Y321" s="56"/>
    </row>
    <row r="322">
      <c r="A322" s="237"/>
      <c r="B322" s="130"/>
      <c r="C322" s="130"/>
      <c r="D322" s="130"/>
      <c r="E322" s="199"/>
      <c r="F322" s="130"/>
      <c r="G322" s="130"/>
      <c r="H322" s="130"/>
      <c r="I322" s="130"/>
      <c r="J322" s="130"/>
      <c r="K322" s="130"/>
      <c r="L322" s="130"/>
      <c r="M322" s="131"/>
      <c r="N322" s="132"/>
      <c r="O322" s="133"/>
      <c r="P322" s="238"/>
      <c r="Q322" s="190"/>
      <c r="R322" s="239"/>
      <c r="S322" s="190"/>
      <c r="T322" s="240"/>
      <c r="U322" s="241"/>
      <c r="V322" s="190"/>
      <c r="W322" s="190"/>
      <c r="X322" s="190"/>
      <c r="Y322" s="56"/>
    </row>
    <row r="323">
      <c r="A323" s="237"/>
      <c r="B323" s="130"/>
      <c r="C323" s="130"/>
      <c r="D323" s="130"/>
      <c r="E323" s="199"/>
      <c r="F323" s="130"/>
      <c r="G323" s="130"/>
      <c r="H323" s="130"/>
      <c r="I323" s="130"/>
      <c r="J323" s="130"/>
      <c r="K323" s="130"/>
      <c r="L323" s="130"/>
      <c r="M323" s="131"/>
      <c r="N323" s="132"/>
      <c r="O323" s="133"/>
      <c r="P323" s="238"/>
      <c r="Q323" s="190"/>
      <c r="R323" s="239"/>
      <c r="S323" s="190"/>
      <c r="T323" s="240"/>
      <c r="U323" s="241"/>
      <c r="V323" s="190"/>
      <c r="W323" s="190"/>
      <c r="X323" s="190"/>
      <c r="Y323" s="56"/>
    </row>
    <row r="324">
      <c r="A324" s="237"/>
      <c r="B324" s="130"/>
      <c r="C324" s="130"/>
      <c r="D324" s="130"/>
      <c r="E324" s="199"/>
      <c r="F324" s="130"/>
      <c r="G324" s="130"/>
      <c r="H324" s="130"/>
      <c r="I324" s="130"/>
      <c r="J324" s="130"/>
      <c r="K324" s="130"/>
      <c r="L324" s="130"/>
      <c r="M324" s="131"/>
      <c r="N324" s="132"/>
      <c r="O324" s="133"/>
      <c r="P324" s="238"/>
      <c r="Q324" s="190"/>
      <c r="R324" s="239"/>
      <c r="S324" s="190"/>
      <c r="T324" s="240"/>
      <c r="U324" s="241"/>
      <c r="V324" s="190"/>
      <c r="W324" s="190"/>
      <c r="X324" s="190"/>
      <c r="Y324" s="56"/>
    </row>
    <row r="325">
      <c r="A325" s="237"/>
      <c r="B325" s="130"/>
      <c r="C325" s="130"/>
      <c r="D325" s="130"/>
      <c r="E325" s="199"/>
      <c r="F325" s="130"/>
      <c r="G325" s="130"/>
      <c r="H325" s="130"/>
      <c r="I325" s="130"/>
      <c r="J325" s="130"/>
      <c r="K325" s="130"/>
      <c r="L325" s="130"/>
      <c r="M325" s="131"/>
      <c r="N325" s="132"/>
      <c r="O325" s="133"/>
      <c r="P325" s="238"/>
      <c r="Q325" s="190"/>
      <c r="R325" s="239"/>
      <c r="S325" s="190"/>
      <c r="T325" s="240"/>
      <c r="U325" s="241"/>
      <c r="V325" s="190"/>
      <c r="W325" s="190"/>
      <c r="X325" s="190"/>
      <c r="Y325" s="56"/>
    </row>
    <row r="326">
      <c r="A326" s="237"/>
      <c r="B326" s="130"/>
      <c r="C326" s="130"/>
      <c r="D326" s="130"/>
      <c r="E326" s="199"/>
      <c r="F326" s="130"/>
      <c r="G326" s="130"/>
      <c r="H326" s="130"/>
      <c r="I326" s="130"/>
      <c r="J326" s="130"/>
      <c r="K326" s="130"/>
      <c r="L326" s="130"/>
      <c r="M326" s="131"/>
      <c r="N326" s="132"/>
      <c r="O326" s="133"/>
      <c r="P326" s="238"/>
      <c r="Q326" s="190"/>
      <c r="R326" s="239"/>
      <c r="S326" s="190"/>
      <c r="T326" s="240"/>
      <c r="U326" s="241"/>
      <c r="V326" s="190"/>
      <c r="W326" s="190"/>
      <c r="X326" s="190"/>
      <c r="Y326" s="56"/>
    </row>
    <row r="327">
      <c r="A327" s="237"/>
      <c r="B327" s="130"/>
      <c r="C327" s="130"/>
      <c r="D327" s="130"/>
      <c r="E327" s="199"/>
      <c r="F327" s="130"/>
      <c r="G327" s="130"/>
      <c r="H327" s="130"/>
      <c r="I327" s="130"/>
      <c r="J327" s="130"/>
      <c r="K327" s="130"/>
      <c r="L327" s="130"/>
      <c r="M327" s="131"/>
      <c r="N327" s="132"/>
      <c r="O327" s="133"/>
      <c r="P327" s="238"/>
      <c r="Q327" s="190"/>
      <c r="R327" s="239"/>
      <c r="S327" s="190"/>
      <c r="T327" s="240"/>
      <c r="U327" s="241"/>
      <c r="V327" s="190"/>
      <c r="W327" s="190"/>
      <c r="X327" s="190"/>
      <c r="Y327" s="56"/>
    </row>
    <row r="328">
      <c r="A328" s="237"/>
      <c r="B328" s="130"/>
      <c r="C328" s="130"/>
      <c r="D328" s="130"/>
      <c r="E328" s="199"/>
      <c r="F328" s="130"/>
      <c r="G328" s="130"/>
      <c r="H328" s="130"/>
      <c r="I328" s="130"/>
      <c r="J328" s="130"/>
      <c r="K328" s="130"/>
      <c r="L328" s="130"/>
      <c r="M328" s="131"/>
      <c r="N328" s="132"/>
      <c r="O328" s="133"/>
      <c r="P328" s="238"/>
      <c r="Q328" s="190"/>
      <c r="R328" s="239"/>
      <c r="S328" s="190"/>
      <c r="T328" s="240"/>
      <c r="U328" s="241"/>
      <c r="V328" s="190"/>
      <c r="W328" s="190"/>
      <c r="X328" s="190"/>
      <c r="Y328" s="56"/>
    </row>
    <row r="329">
      <c r="A329" s="237"/>
      <c r="B329" s="130"/>
      <c r="C329" s="130"/>
      <c r="D329" s="130"/>
      <c r="E329" s="199"/>
      <c r="F329" s="130"/>
      <c r="G329" s="130"/>
      <c r="H329" s="130"/>
      <c r="I329" s="130"/>
      <c r="J329" s="130"/>
      <c r="K329" s="130"/>
      <c r="L329" s="130"/>
      <c r="M329" s="131"/>
      <c r="N329" s="132"/>
      <c r="O329" s="133"/>
      <c r="P329" s="238"/>
      <c r="Q329" s="190"/>
      <c r="R329" s="239"/>
      <c r="S329" s="190"/>
      <c r="T329" s="240"/>
      <c r="U329" s="241"/>
      <c r="V329" s="190"/>
      <c r="W329" s="190"/>
      <c r="X329" s="190"/>
      <c r="Y329" s="56"/>
    </row>
    <row r="330">
      <c r="A330" s="237"/>
      <c r="B330" s="130"/>
      <c r="C330" s="130"/>
      <c r="D330" s="130"/>
      <c r="E330" s="199"/>
      <c r="F330" s="130"/>
      <c r="G330" s="130"/>
      <c r="H330" s="130"/>
      <c r="I330" s="130"/>
      <c r="J330" s="130"/>
      <c r="K330" s="130"/>
      <c r="L330" s="130"/>
      <c r="M330" s="131"/>
      <c r="N330" s="132"/>
      <c r="O330" s="133"/>
      <c r="P330" s="238"/>
      <c r="Q330" s="190"/>
      <c r="R330" s="239"/>
      <c r="S330" s="190"/>
      <c r="T330" s="240"/>
      <c r="U330" s="241"/>
      <c r="V330" s="190"/>
      <c r="W330" s="190"/>
      <c r="X330" s="190"/>
      <c r="Y330" s="56"/>
    </row>
    <row r="331">
      <c r="A331" s="237"/>
      <c r="B331" s="130"/>
      <c r="C331" s="130"/>
      <c r="D331" s="130"/>
      <c r="E331" s="199"/>
      <c r="F331" s="130"/>
      <c r="G331" s="130"/>
      <c r="H331" s="130"/>
      <c r="I331" s="130"/>
      <c r="J331" s="130"/>
      <c r="K331" s="130"/>
      <c r="L331" s="130"/>
      <c r="M331" s="131"/>
      <c r="N331" s="132"/>
      <c r="O331" s="133"/>
      <c r="P331" s="238"/>
      <c r="Q331" s="190"/>
      <c r="R331" s="239"/>
      <c r="S331" s="190"/>
      <c r="T331" s="240"/>
      <c r="U331" s="241"/>
      <c r="V331" s="190"/>
      <c r="W331" s="190"/>
      <c r="X331" s="190"/>
      <c r="Y331" s="56"/>
    </row>
    <row r="332">
      <c r="A332" s="237"/>
      <c r="B332" s="130"/>
      <c r="C332" s="130"/>
      <c r="D332" s="130"/>
      <c r="E332" s="199"/>
      <c r="F332" s="130"/>
      <c r="G332" s="130"/>
      <c r="H332" s="130"/>
      <c r="I332" s="130"/>
      <c r="J332" s="130"/>
      <c r="K332" s="130"/>
      <c r="L332" s="130"/>
      <c r="M332" s="131"/>
      <c r="N332" s="132"/>
      <c r="O332" s="133"/>
      <c r="P332" s="238"/>
      <c r="Q332" s="190"/>
      <c r="R332" s="239"/>
      <c r="S332" s="190"/>
      <c r="T332" s="240"/>
      <c r="U332" s="241"/>
      <c r="V332" s="190"/>
      <c r="W332" s="190"/>
      <c r="X332" s="190"/>
      <c r="Y332" s="56"/>
    </row>
    <row r="333">
      <c r="A333" s="237"/>
      <c r="B333" s="130"/>
      <c r="C333" s="130"/>
      <c r="D333" s="130"/>
      <c r="E333" s="199"/>
      <c r="F333" s="130"/>
      <c r="G333" s="130"/>
      <c r="H333" s="130"/>
      <c r="I333" s="130"/>
      <c r="J333" s="130"/>
      <c r="K333" s="130"/>
      <c r="L333" s="130"/>
      <c r="M333" s="131"/>
      <c r="N333" s="132"/>
      <c r="O333" s="133"/>
      <c r="P333" s="238"/>
      <c r="Q333" s="190"/>
      <c r="R333" s="239"/>
      <c r="S333" s="190"/>
      <c r="T333" s="240"/>
      <c r="U333" s="241"/>
      <c r="V333" s="190"/>
      <c r="W333" s="190"/>
      <c r="X333" s="190"/>
      <c r="Y333" s="56"/>
    </row>
    <row r="334">
      <c r="A334" s="237"/>
      <c r="B334" s="130"/>
      <c r="C334" s="130"/>
      <c r="D334" s="130"/>
      <c r="E334" s="199"/>
      <c r="F334" s="130"/>
      <c r="G334" s="130"/>
      <c r="H334" s="130"/>
      <c r="I334" s="130"/>
      <c r="J334" s="130"/>
      <c r="K334" s="130"/>
      <c r="L334" s="130"/>
      <c r="M334" s="131"/>
      <c r="N334" s="132"/>
      <c r="O334" s="133"/>
      <c r="P334" s="238"/>
      <c r="Q334" s="190"/>
      <c r="R334" s="239"/>
      <c r="S334" s="190"/>
      <c r="T334" s="240"/>
      <c r="U334" s="241"/>
      <c r="V334" s="190"/>
      <c r="W334" s="190"/>
      <c r="X334" s="190"/>
      <c r="Y334" s="56"/>
    </row>
    <row r="335">
      <c r="A335" s="237"/>
      <c r="B335" s="130"/>
      <c r="C335" s="130"/>
      <c r="D335" s="130"/>
      <c r="E335" s="199"/>
      <c r="F335" s="130"/>
      <c r="G335" s="130"/>
      <c r="H335" s="130"/>
      <c r="I335" s="130"/>
      <c r="J335" s="130"/>
      <c r="K335" s="130"/>
      <c r="L335" s="130"/>
      <c r="M335" s="131"/>
      <c r="N335" s="132"/>
      <c r="O335" s="133"/>
      <c r="P335" s="238"/>
      <c r="Q335" s="190"/>
      <c r="R335" s="239"/>
      <c r="S335" s="190"/>
      <c r="T335" s="240"/>
      <c r="U335" s="241"/>
      <c r="V335" s="190"/>
      <c r="W335" s="190"/>
      <c r="X335" s="190"/>
      <c r="Y335" s="56"/>
    </row>
    <row r="336">
      <c r="A336" s="237"/>
      <c r="B336" s="130"/>
      <c r="C336" s="130"/>
      <c r="D336" s="130"/>
      <c r="E336" s="199"/>
      <c r="F336" s="130"/>
      <c r="G336" s="130"/>
      <c r="H336" s="130"/>
      <c r="I336" s="130"/>
      <c r="J336" s="130"/>
      <c r="K336" s="130"/>
      <c r="L336" s="130"/>
      <c r="M336" s="131"/>
      <c r="N336" s="132"/>
      <c r="O336" s="133"/>
      <c r="P336" s="238"/>
      <c r="Q336" s="190"/>
      <c r="R336" s="239"/>
      <c r="S336" s="190"/>
      <c r="T336" s="240"/>
      <c r="U336" s="241"/>
      <c r="V336" s="190"/>
      <c r="W336" s="190"/>
      <c r="X336" s="190"/>
      <c r="Y336" s="56"/>
    </row>
    <row r="337">
      <c r="A337" s="237"/>
      <c r="B337" s="130"/>
      <c r="C337" s="130"/>
      <c r="D337" s="130"/>
      <c r="E337" s="199"/>
      <c r="F337" s="130"/>
      <c r="G337" s="130"/>
      <c r="H337" s="130"/>
      <c r="I337" s="130"/>
      <c r="J337" s="130"/>
      <c r="K337" s="130"/>
      <c r="L337" s="130"/>
      <c r="M337" s="131"/>
      <c r="N337" s="132"/>
      <c r="O337" s="133"/>
      <c r="P337" s="238"/>
      <c r="Q337" s="190"/>
      <c r="R337" s="239"/>
      <c r="S337" s="190"/>
      <c r="T337" s="240"/>
      <c r="U337" s="241"/>
      <c r="V337" s="190"/>
      <c r="W337" s="190"/>
      <c r="X337" s="190"/>
      <c r="Y337" s="56"/>
    </row>
    <row r="338">
      <c r="A338" s="237"/>
      <c r="B338" s="130"/>
      <c r="C338" s="130"/>
      <c r="D338" s="130"/>
      <c r="E338" s="199"/>
      <c r="F338" s="130"/>
      <c r="G338" s="130"/>
      <c r="H338" s="130"/>
      <c r="I338" s="130"/>
      <c r="J338" s="130"/>
      <c r="K338" s="130"/>
      <c r="L338" s="130"/>
      <c r="M338" s="131"/>
      <c r="N338" s="132"/>
      <c r="O338" s="133"/>
      <c r="P338" s="238"/>
      <c r="Q338" s="190"/>
      <c r="R338" s="239"/>
      <c r="S338" s="190"/>
      <c r="T338" s="240"/>
      <c r="U338" s="241"/>
      <c r="V338" s="190"/>
      <c r="W338" s="190"/>
      <c r="X338" s="190"/>
      <c r="Y338" s="56"/>
    </row>
    <row r="339">
      <c r="A339" s="237"/>
      <c r="B339" s="130"/>
      <c r="C339" s="130"/>
      <c r="D339" s="130"/>
      <c r="E339" s="199"/>
      <c r="F339" s="130"/>
      <c r="G339" s="130"/>
      <c r="H339" s="130"/>
      <c r="I339" s="130"/>
      <c r="J339" s="130"/>
      <c r="K339" s="130"/>
      <c r="L339" s="130"/>
      <c r="M339" s="131"/>
      <c r="N339" s="132"/>
      <c r="O339" s="133"/>
      <c r="P339" s="238"/>
      <c r="Q339" s="190"/>
      <c r="R339" s="239"/>
      <c r="S339" s="190"/>
      <c r="T339" s="240"/>
      <c r="U339" s="241"/>
      <c r="V339" s="190"/>
      <c r="W339" s="190"/>
      <c r="X339" s="190"/>
      <c r="Y339" s="56"/>
    </row>
    <row r="340">
      <c r="A340" s="237"/>
      <c r="B340" s="130"/>
      <c r="C340" s="130"/>
      <c r="D340" s="130"/>
      <c r="E340" s="199"/>
      <c r="F340" s="130"/>
      <c r="G340" s="130"/>
      <c r="H340" s="130"/>
      <c r="I340" s="130"/>
      <c r="J340" s="130"/>
      <c r="K340" s="130"/>
      <c r="L340" s="130"/>
      <c r="M340" s="131"/>
      <c r="N340" s="132"/>
      <c r="O340" s="133"/>
      <c r="P340" s="238"/>
      <c r="Q340" s="190"/>
      <c r="R340" s="239"/>
      <c r="S340" s="190"/>
      <c r="T340" s="240"/>
      <c r="U340" s="241"/>
      <c r="V340" s="190"/>
      <c r="W340" s="190"/>
      <c r="X340" s="190"/>
      <c r="Y340" s="56"/>
    </row>
    <row r="341">
      <c r="A341" s="237"/>
      <c r="B341" s="130"/>
      <c r="C341" s="130"/>
      <c r="D341" s="130"/>
      <c r="E341" s="199"/>
      <c r="F341" s="130"/>
      <c r="G341" s="130"/>
      <c r="H341" s="130"/>
      <c r="I341" s="130"/>
      <c r="J341" s="130"/>
      <c r="K341" s="130"/>
      <c r="L341" s="130"/>
      <c r="M341" s="131"/>
      <c r="N341" s="132"/>
      <c r="O341" s="133"/>
      <c r="P341" s="238"/>
      <c r="Q341" s="190"/>
      <c r="R341" s="239"/>
      <c r="S341" s="190"/>
      <c r="T341" s="240"/>
      <c r="U341" s="241"/>
      <c r="V341" s="190"/>
      <c r="W341" s="190"/>
      <c r="X341" s="190"/>
      <c r="Y341" s="56"/>
    </row>
    <row r="342">
      <c r="A342" s="237"/>
      <c r="B342" s="130"/>
      <c r="C342" s="130"/>
      <c r="D342" s="130"/>
      <c r="E342" s="199"/>
      <c r="F342" s="130"/>
      <c r="G342" s="130"/>
      <c r="H342" s="130"/>
      <c r="I342" s="130"/>
      <c r="J342" s="130"/>
      <c r="K342" s="130"/>
      <c r="L342" s="130"/>
      <c r="M342" s="131"/>
      <c r="N342" s="132"/>
      <c r="O342" s="133"/>
      <c r="P342" s="238"/>
      <c r="Q342" s="190"/>
      <c r="R342" s="239"/>
      <c r="S342" s="190"/>
      <c r="T342" s="240"/>
      <c r="U342" s="241"/>
      <c r="V342" s="190"/>
      <c r="W342" s="190"/>
      <c r="X342" s="190"/>
      <c r="Y342" s="56"/>
    </row>
    <row r="343">
      <c r="A343" s="237"/>
      <c r="B343" s="130"/>
      <c r="C343" s="130"/>
      <c r="D343" s="130"/>
      <c r="E343" s="199"/>
      <c r="F343" s="130"/>
      <c r="G343" s="130"/>
      <c r="H343" s="130"/>
      <c r="I343" s="130"/>
      <c r="J343" s="130"/>
      <c r="K343" s="130"/>
      <c r="L343" s="130"/>
      <c r="M343" s="131"/>
      <c r="N343" s="132"/>
      <c r="O343" s="133"/>
      <c r="P343" s="238"/>
      <c r="Q343" s="190"/>
      <c r="R343" s="239"/>
      <c r="S343" s="190"/>
      <c r="T343" s="240"/>
      <c r="U343" s="241"/>
      <c r="V343" s="190"/>
      <c r="W343" s="190"/>
      <c r="X343" s="190"/>
      <c r="Y343" s="56"/>
    </row>
    <row r="344">
      <c r="A344" s="237"/>
      <c r="B344" s="130"/>
      <c r="C344" s="130"/>
      <c r="D344" s="130"/>
      <c r="E344" s="199"/>
      <c r="F344" s="130"/>
      <c r="G344" s="130"/>
      <c r="H344" s="130"/>
      <c r="I344" s="130"/>
      <c r="J344" s="130"/>
      <c r="K344" s="130"/>
      <c r="L344" s="130"/>
      <c r="M344" s="131"/>
      <c r="N344" s="132"/>
      <c r="O344" s="133"/>
      <c r="P344" s="238"/>
      <c r="Q344" s="190"/>
      <c r="R344" s="239"/>
      <c r="S344" s="190"/>
      <c r="T344" s="240"/>
      <c r="U344" s="241"/>
      <c r="V344" s="190"/>
      <c r="W344" s="190"/>
      <c r="X344" s="190"/>
      <c r="Y344" s="56"/>
    </row>
    <row r="345">
      <c r="A345" s="237"/>
      <c r="B345" s="130"/>
      <c r="C345" s="130"/>
      <c r="D345" s="130"/>
      <c r="E345" s="199"/>
      <c r="F345" s="130"/>
      <c r="G345" s="130"/>
      <c r="H345" s="130"/>
      <c r="I345" s="130"/>
      <c r="J345" s="130"/>
      <c r="K345" s="130"/>
      <c r="L345" s="130"/>
      <c r="M345" s="131"/>
      <c r="N345" s="132"/>
      <c r="O345" s="133"/>
      <c r="P345" s="238"/>
      <c r="Q345" s="190"/>
      <c r="R345" s="239"/>
      <c r="S345" s="190"/>
      <c r="T345" s="240"/>
      <c r="U345" s="241"/>
      <c r="V345" s="190"/>
      <c r="W345" s="190"/>
      <c r="X345" s="190"/>
      <c r="Y345" s="56"/>
    </row>
    <row r="346">
      <c r="A346" s="237"/>
      <c r="B346" s="130"/>
      <c r="C346" s="130"/>
      <c r="D346" s="130"/>
      <c r="E346" s="199"/>
      <c r="F346" s="130"/>
      <c r="G346" s="130"/>
      <c r="H346" s="130"/>
      <c r="I346" s="130"/>
      <c r="J346" s="130"/>
      <c r="K346" s="130"/>
      <c r="L346" s="130"/>
      <c r="M346" s="131"/>
      <c r="N346" s="132"/>
      <c r="O346" s="133"/>
      <c r="P346" s="238"/>
      <c r="Q346" s="190"/>
      <c r="R346" s="239"/>
      <c r="S346" s="190"/>
      <c r="T346" s="240"/>
      <c r="U346" s="241"/>
      <c r="V346" s="190"/>
      <c r="W346" s="190"/>
      <c r="X346" s="190"/>
      <c r="Y346" s="56"/>
    </row>
    <row r="347">
      <c r="A347" s="237"/>
      <c r="B347" s="130"/>
      <c r="C347" s="130"/>
      <c r="D347" s="130"/>
      <c r="E347" s="199"/>
      <c r="F347" s="130"/>
      <c r="G347" s="130"/>
      <c r="H347" s="130"/>
      <c r="I347" s="130"/>
      <c r="J347" s="130"/>
      <c r="K347" s="130"/>
      <c r="L347" s="130"/>
      <c r="M347" s="131"/>
      <c r="N347" s="132"/>
      <c r="O347" s="133"/>
      <c r="P347" s="238"/>
      <c r="Q347" s="190"/>
      <c r="R347" s="239"/>
      <c r="S347" s="190"/>
      <c r="T347" s="240"/>
      <c r="U347" s="241"/>
      <c r="V347" s="190"/>
      <c r="W347" s="190"/>
      <c r="X347" s="190"/>
      <c r="Y347" s="56"/>
    </row>
    <row r="348">
      <c r="A348" s="237"/>
      <c r="B348" s="130"/>
      <c r="C348" s="130"/>
      <c r="D348" s="130"/>
      <c r="E348" s="199"/>
      <c r="F348" s="130"/>
      <c r="G348" s="130"/>
      <c r="H348" s="130"/>
      <c r="I348" s="130"/>
      <c r="J348" s="130"/>
      <c r="K348" s="130"/>
      <c r="L348" s="130"/>
      <c r="M348" s="131"/>
      <c r="N348" s="132"/>
      <c r="O348" s="133"/>
      <c r="P348" s="238"/>
      <c r="Q348" s="190"/>
      <c r="R348" s="239"/>
      <c r="S348" s="190"/>
      <c r="T348" s="240"/>
      <c r="U348" s="241"/>
      <c r="V348" s="190"/>
      <c r="W348" s="190"/>
      <c r="X348" s="190"/>
      <c r="Y348" s="56"/>
    </row>
    <row r="349">
      <c r="A349" s="237"/>
      <c r="B349" s="130"/>
      <c r="C349" s="130"/>
      <c r="D349" s="130"/>
      <c r="E349" s="199"/>
      <c r="F349" s="130"/>
      <c r="G349" s="130"/>
      <c r="H349" s="130"/>
      <c r="I349" s="130"/>
      <c r="J349" s="130"/>
      <c r="K349" s="130"/>
      <c r="L349" s="130"/>
      <c r="M349" s="131"/>
      <c r="N349" s="132"/>
      <c r="O349" s="133"/>
      <c r="P349" s="238"/>
      <c r="Q349" s="190"/>
      <c r="R349" s="239"/>
      <c r="S349" s="190"/>
      <c r="T349" s="240"/>
      <c r="U349" s="241"/>
      <c r="V349" s="190"/>
      <c r="W349" s="190"/>
      <c r="X349" s="190"/>
      <c r="Y349" s="56"/>
    </row>
    <row r="350">
      <c r="A350" s="237"/>
      <c r="B350" s="130"/>
      <c r="C350" s="130"/>
      <c r="D350" s="130"/>
      <c r="E350" s="199"/>
      <c r="F350" s="130"/>
      <c r="G350" s="130"/>
      <c r="H350" s="130"/>
      <c r="I350" s="130"/>
      <c r="J350" s="130"/>
      <c r="K350" s="130"/>
      <c r="L350" s="130"/>
      <c r="M350" s="131"/>
      <c r="N350" s="132"/>
      <c r="O350" s="133"/>
      <c r="P350" s="238"/>
      <c r="Q350" s="190"/>
      <c r="R350" s="239"/>
      <c r="S350" s="190"/>
      <c r="T350" s="240"/>
      <c r="U350" s="241"/>
      <c r="V350" s="190"/>
      <c r="W350" s="190"/>
      <c r="X350" s="190"/>
      <c r="Y350" s="56"/>
    </row>
    <row r="351">
      <c r="A351" s="237"/>
      <c r="B351" s="130"/>
      <c r="C351" s="130"/>
      <c r="D351" s="130"/>
      <c r="E351" s="199"/>
      <c r="F351" s="130"/>
      <c r="G351" s="130"/>
      <c r="H351" s="130"/>
      <c r="I351" s="130"/>
      <c r="J351" s="130"/>
      <c r="K351" s="130"/>
      <c r="L351" s="130"/>
      <c r="M351" s="131"/>
      <c r="N351" s="132"/>
      <c r="O351" s="133"/>
      <c r="P351" s="238"/>
      <c r="Q351" s="190"/>
      <c r="R351" s="239"/>
      <c r="S351" s="190"/>
      <c r="T351" s="240"/>
      <c r="U351" s="241"/>
      <c r="V351" s="190"/>
      <c r="W351" s="190"/>
      <c r="X351" s="190"/>
      <c r="Y351" s="56"/>
    </row>
    <row r="352">
      <c r="A352" s="237"/>
      <c r="B352" s="130"/>
      <c r="C352" s="130"/>
      <c r="D352" s="130"/>
      <c r="E352" s="199"/>
      <c r="F352" s="130"/>
      <c r="G352" s="130"/>
      <c r="H352" s="130"/>
      <c r="I352" s="130"/>
      <c r="J352" s="130"/>
      <c r="K352" s="130"/>
      <c r="L352" s="130"/>
      <c r="M352" s="131"/>
      <c r="N352" s="132"/>
      <c r="O352" s="133"/>
      <c r="P352" s="238"/>
      <c r="Q352" s="190"/>
      <c r="R352" s="239"/>
      <c r="S352" s="190"/>
      <c r="T352" s="240"/>
      <c r="U352" s="241"/>
      <c r="V352" s="190"/>
      <c r="W352" s="190"/>
      <c r="X352" s="190"/>
      <c r="Y352" s="56"/>
    </row>
    <row r="353">
      <c r="A353" s="237"/>
      <c r="B353" s="130"/>
      <c r="C353" s="130"/>
      <c r="D353" s="130"/>
      <c r="E353" s="199"/>
      <c r="F353" s="130"/>
      <c r="G353" s="130"/>
      <c r="H353" s="130"/>
      <c r="I353" s="130"/>
      <c r="J353" s="130"/>
      <c r="K353" s="130"/>
      <c r="L353" s="130"/>
      <c r="M353" s="131"/>
      <c r="N353" s="132"/>
      <c r="O353" s="133"/>
      <c r="P353" s="238"/>
      <c r="Q353" s="190"/>
      <c r="R353" s="239"/>
      <c r="S353" s="190"/>
      <c r="T353" s="240"/>
      <c r="U353" s="241"/>
      <c r="V353" s="190"/>
      <c r="W353" s="190"/>
      <c r="X353" s="190"/>
      <c r="Y353" s="56"/>
    </row>
    <row r="354">
      <c r="A354" s="237"/>
      <c r="B354" s="130"/>
      <c r="C354" s="130"/>
      <c r="D354" s="130"/>
      <c r="E354" s="199"/>
      <c r="F354" s="130"/>
      <c r="G354" s="130"/>
      <c r="H354" s="130"/>
      <c r="I354" s="130"/>
      <c r="J354" s="130"/>
      <c r="K354" s="130"/>
      <c r="L354" s="130"/>
      <c r="M354" s="131"/>
      <c r="N354" s="132"/>
      <c r="O354" s="133"/>
      <c r="P354" s="238"/>
      <c r="Q354" s="190"/>
      <c r="R354" s="239"/>
      <c r="S354" s="190"/>
      <c r="T354" s="240"/>
      <c r="U354" s="241"/>
      <c r="V354" s="190"/>
      <c r="W354" s="190"/>
      <c r="X354" s="190"/>
      <c r="Y354" s="56"/>
    </row>
    <row r="355">
      <c r="A355" s="237"/>
      <c r="B355" s="130"/>
      <c r="C355" s="130"/>
      <c r="D355" s="130"/>
      <c r="E355" s="199"/>
      <c r="F355" s="130"/>
      <c r="G355" s="130"/>
      <c r="H355" s="130"/>
      <c r="I355" s="130"/>
      <c r="J355" s="130"/>
      <c r="K355" s="130"/>
      <c r="L355" s="130"/>
      <c r="M355" s="131"/>
      <c r="N355" s="132"/>
      <c r="O355" s="133"/>
      <c r="P355" s="238"/>
      <c r="Q355" s="190"/>
      <c r="R355" s="239"/>
      <c r="S355" s="190"/>
      <c r="T355" s="240"/>
      <c r="U355" s="241"/>
      <c r="V355" s="190"/>
      <c r="W355" s="190"/>
      <c r="X355" s="190"/>
      <c r="Y355" s="56"/>
    </row>
    <row r="356">
      <c r="A356" s="237"/>
      <c r="B356" s="130"/>
      <c r="C356" s="130"/>
      <c r="D356" s="130"/>
      <c r="E356" s="199"/>
      <c r="F356" s="130"/>
      <c r="G356" s="130"/>
      <c r="H356" s="130"/>
      <c r="I356" s="130"/>
      <c r="J356" s="130"/>
      <c r="K356" s="130"/>
      <c r="L356" s="130"/>
      <c r="M356" s="131"/>
      <c r="N356" s="132"/>
      <c r="O356" s="133"/>
      <c r="P356" s="238"/>
      <c r="Q356" s="190"/>
      <c r="R356" s="239"/>
      <c r="S356" s="190"/>
      <c r="T356" s="240"/>
      <c r="U356" s="241"/>
      <c r="V356" s="190"/>
      <c r="W356" s="190"/>
      <c r="X356" s="190"/>
      <c r="Y356" s="56"/>
    </row>
    <row r="357">
      <c r="A357" s="237"/>
      <c r="B357" s="130"/>
      <c r="C357" s="130"/>
      <c r="D357" s="130"/>
      <c r="E357" s="199"/>
      <c r="F357" s="130"/>
      <c r="G357" s="130"/>
      <c r="H357" s="130"/>
      <c r="I357" s="130"/>
      <c r="J357" s="130"/>
      <c r="K357" s="130"/>
      <c r="L357" s="130"/>
      <c r="M357" s="131"/>
      <c r="N357" s="132"/>
      <c r="O357" s="133"/>
      <c r="P357" s="238"/>
      <c r="Q357" s="190"/>
      <c r="R357" s="239"/>
      <c r="S357" s="190"/>
      <c r="T357" s="240"/>
      <c r="U357" s="241"/>
      <c r="V357" s="190"/>
      <c r="W357" s="190"/>
      <c r="X357" s="190"/>
      <c r="Y357" s="56"/>
    </row>
    <row r="358">
      <c r="A358" s="237"/>
      <c r="B358" s="130"/>
      <c r="C358" s="130"/>
      <c r="D358" s="130"/>
      <c r="E358" s="199"/>
      <c r="F358" s="130"/>
      <c r="G358" s="130"/>
      <c r="H358" s="130"/>
      <c r="I358" s="130"/>
      <c r="J358" s="130"/>
      <c r="K358" s="130"/>
      <c r="L358" s="130"/>
      <c r="M358" s="131"/>
      <c r="N358" s="132"/>
      <c r="O358" s="133"/>
      <c r="P358" s="238"/>
      <c r="Q358" s="190"/>
      <c r="R358" s="239"/>
      <c r="S358" s="190"/>
      <c r="T358" s="240"/>
      <c r="U358" s="241"/>
      <c r="V358" s="190"/>
      <c r="W358" s="190"/>
      <c r="X358" s="190"/>
      <c r="Y358" s="56"/>
    </row>
    <row r="359">
      <c r="A359" s="237"/>
      <c r="B359" s="130"/>
      <c r="C359" s="130"/>
      <c r="D359" s="130"/>
      <c r="E359" s="199"/>
      <c r="F359" s="130"/>
      <c r="G359" s="130"/>
      <c r="H359" s="130"/>
      <c r="I359" s="130"/>
      <c r="J359" s="130"/>
      <c r="K359" s="130"/>
      <c r="L359" s="130"/>
      <c r="M359" s="131"/>
      <c r="N359" s="132"/>
      <c r="O359" s="133"/>
      <c r="P359" s="238"/>
      <c r="Q359" s="190"/>
      <c r="R359" s="239"/>
      <c r="S359" s="190"/>
      <c r="T359" s="240"/>
      <c r="U359" s="241"/>
      <c r="V359" s="190"/>
      <c r="W359" s="190"/>
      <c r="X359" s="190"/>
      <c r="Y359" s="56"/>
    </row>
    <row r="360">
      <c r="A360" s="237"/>
      <c r="B360" s="130"/>
      <c r="C360" s="130"/>
      <c r="D360" s="130"/>
      <c r="E360" s="199"/>
      <c r="F360" s="130"/>
      <c r="G360" s="130"/>
      <c r="H360" s="130"/>
      <c r="I360" s="130"/>
      <c r="J360" s="130"/>
      <c r="K360" s="130"/>
      <c r="L360" s="130"/>
      <c r="M360" s="131"/>
      <c r="N360" s="132"/>
      <c r="O360" s="133"/>
      <c r="P360" s="238"/>
      <c r="Q360" s="190"/>
      <c r="R360" s="239"/>
      <c r="S360" s="190"/>
      <c r="T360" s="240"/>
      <c r="U360" s="241"/>
      <c r="V360" s="190"/>
      <c r="W360" s="190"/>
      <c r="X360" s="190"/>
      <c r="Y360" s="56"/>
    </row>
    <row r="361">
      <c r="A361" s="237"/>
      <c r="B361" s="130"/>
      <c r="C361" s="130"/>
      <c r="D361" s="130"/>
      <c r="E361" s="199"/>
      <c r="F361" s="130"/>
      <c r="G361" s="130"/>
      <c r="H361" s="130"/>
      <c r="I361" s="130"/>
      <c r="J361" s="130"/>
      <c r="K361" s="130"/>
      <c r="L361" s="130"/>
      <c r="M361" s="131"/>
      <c r="N361" s="132"/>
      <c r="O361" s="133"/>
      <c r="P361" s="238"/>
      <c r="Q361" s="190"/>
      <c r="R361" s="239"/>
      <c r="S361" s="190"/>
      <c r="T361" s="240"/>
      <c r="U361" s="241"/>
      <c r="V361" s="190"/>
      <c r="W361" s="190"/>
      <c r="X361" s="190"/>
      <c r="Y361" s="56"/>
    </row>
    <row r="362">
      <c r="A362" s="237"/>
      <c r="B362" s="130"/>
      <c r="C362" s="130"/>
      <c r="D362" s="130"/>
      <c r="E362" s="199"/>
      <c r="F362" s="130"/>
      <c r="G362" s="130"/>
      <c r="H362" s="130"/>
      <c r="I362" s="130"/>
      <c r="J362" s="130"/>
      <c r="K362" s="130"/>
      <c r="L362" s="130"/>
      <c r="M362" s="131"/>
      <c r="N362" s="132"/>
      <c r="O362" s="133"/>
      <c r="P362" s="238"/>
      <c r="Q362" s="190"/>
      <c r="R362" s="239"/>
      <c r="S362" s="190"/>
      <c r="T362" s="240"/>
      <c r="U362" s="241"/>
      <c r="V362" s="190"/>
      <c r="W362" s="190"/>
      <c r="X362" s="190"/>
      <c r="Y362" s="56"/>
    </row>
    <row r="363">
      <c r="A363" s="237"/>
      <c r="B363" s="130"/>
      <c r="C363" s="130"/>
      <c r="D363" s="130"/>
      <c r="E363" s="199"/>
      <c r="F363" s="130"/>
      <c r="G363" s="130"/>
      <c r="H363" s="130"/>
      <c r="I363" s="130"/>
      <c r="J363" s="130"/>
      <c r="K363" s="130"/>
      <c r="L363" s="130"/>
      <c r="M363" s="131"/>
      <c r="N363" s="132"/>
      <c r="O363" s="133"/>
      <c r="P363" s="238"/>
      <c r="Q363" s="190"/>
      <c r="R363" s="239"/>
      <c r="S363" s="190"/>
      <c r="T363" s="240"/>
      <c r="U363" s="241"/>
      <c r="V363" s="190"/>
      <c r="W363" s="190"/>
      <c r="X363" s="190"/>
      <c r="Y363" s="56"/>
    </row>
    <row r="364">
      <c r="A364" s="237"/>
      <c r="B364" s="130"/>
      <c r="C364" s="130"/>
      <c r="D364" s="130"/>
      <c r="E364" s="199"/>
      <c r="F364" s="130"/>
      <c r="G364" s="130"/>
      <c r="H364" s="130"/>
      <c r="I364" s="130"/>
      <c r="J364" s="130"/>
      <c r="K364" s="130"/>
      <c r="L364" s="130"/>
      <c r="M364" s="131"/>
      <c r="N364" s="132"/>
      <c r="O364" s="133"/>
      <c r="P364" s="238"/>
      <c r="Q364" s="190"/>
      <c r="R364" s="239"/>
      <c r="S364" s="190"/>
      <c r="T364" s="240"/>
      <c r="U364" s="241"/>
      <c r="V364" s="190"/>
      <c r="W364" s="190"/>
      <c r="X364" s="190"/>
      <c r="Y364" s="56"/>
    </row>
    <row r="365">
      <c r="A365" s="237"/>
      <c r="B365" s="130"/>
      <c r="C365" s="130"/>
      <c r="D365" s="130"/>
      <c r="E365" s="199"/>
      <c r="F365" s="130"/>
      <c r="G365" s="130"/>
      <c r="H365" s="130"/>
      <c r="I365" s="130"/>
      <c r="J365" s="130"/>
      <c r="K365" s="130"/>
      <c r="L365" s="130"/>
      <c r="M365" s="131"/>
      <c r="N365" s="132"/>
      <c r="O365" s="133"/>
      <c r="P365" s="238"/>
      <c r="Q365" s="190"/>
      <c r="R365" s="239"/>
      <c r="S365" s="190"/>
      <c r="T365" s="240"/>
      <c r="U365" s="241"/>
      <c r="V365" s="190"/>
      <c r="W365" s="190"/>
      <c r="X365" s="190"/>
      <c r="Y365" s="56"/>
    </row>
    <row r="366">
      <c r="A366" s="237"/>
      <c r="B366" s="130"/>
      <c r="C366" s="130"/>
      <c r="D366" s="130"/>
      <c r="E366" s="199"/>
      <c r="F366" s="130"/>
      <c r="G366" s="130"/>
      <c r="H366" s="130"/>
      <c r="I366" s="130"/>
      <c r="J366" s="130"/>
      <c r="K366" s="130"/>
      <c r="L366" s="130"/>
      <c r="M366" s="131"/>
      <c r="N366" s="132"/>
      <c r="O366" s="133"/>
      <c r="P366" s="238"/>
      <c r="Q366" s="190"/>
      <c r="R366" s="239"/>
      <c r="S366" s="190"/>
      <c r="T366" s="240"/>
      <c r="U366" s="241"/>
      <c r="V366" s="190"/>
      <c r="W366" s="190"/>
      <c r="X366" s="190"/>
      <c r="Y366" s="56"/>
    </row>
    <row r="367">
      <c r="A367" s="237"/>
      <c r="B367" s="130"/>
      <c r="C367" s="130"/>
      <c r="D367" s="130"/>
      <c r="E367" s="199"/>
      <c r="F367" s="130"/>
      <c r="G367" s="130"/>
      <c r="H367" s="130"/>
      <c r="I367" s="130"/>
      <c r="J367" s="130"/>
      <c r="K367" s="130"/>
      <c r="L367" s="130"/>
      <c r="M367" s="131"/>
      <c r="N367" s="132"/>
      <c r="O367" s="133"/>
      <c r="P367" s="238"/>
      <c r="Q367" s="190"/>
      <c r="R367" s="239"/>
      <c r="S367" s="190"/>
      <c r="T367" s="240"/>
      <c r="U367" s="241"/>
      <c r="V367" s="190"/>
      <c r="W367" s="190"/>
      <c r="X367" s="190"/>
      <c r="Y367" s="56"/>
    </row>
    <row r="368">
      <c r="A368" s="237"/>
      <c r="B368" s="130"/>
      <c r="C368" s="130"/>
      <c r="D368" s="130"/>
      <c r="E368" s="199"/>
      <c r="F368" s="130"/>
      <c r="G368" s="130"/>
      <c r="H368" s="130"/>
      <c r="I368" s="130"/>
      <c r="J368" s="130"/>
      <c r="K368" s="130"/>
      <c r="L368" s="130"/>
      <c r="M368" s="131"/>
      <c r="N368" s="132"/>
      <c r="O368" s="133"/>
      <c r="P368" s="238"/>
      <c r="Q368" s="190"/>
      <c r="R368" s="239"/>
      <c r="S368" s="190"/>
      <c r="T368" s="240"/>
      <c r="U368" s="241"/>
      <c r="V368" s="190"/>
      <c r="W368" s="190"/>
      <c r="X368" s="190"/>
      <c r="Y368" s="56"/>
    </row>
    <row r="369">
      <c r="A369" s="237"/>
      <c r="B369" s="130"/>
      <c r="C369" s="130"/>
      <c r="D369" s="130"/>
      <c r="E369" s="199"/>
      <c r="F369" s="130"/>
      <c r="G369" s="130"/>
      <c r="H369" s="130"/>
      <c r="I369" s="130"/>
      <c r="J369" s="130"/>
      <c r="K369" s="130"/>
      <c r="L369" s="130"/>
      <c r="M369" s="131"/>
      <c r="N369" s="132"/>
      <c r="O369" s="133"/>
      <c r="P369" s="238"/>
      <c r="Q369" s="190"/>
      <c r="R369" s="239"/>
      <c r="S369" s="190"/>
      <c r="T369" s="240"/>
      <c r="U369" s="241"/>
      <c r="V369" s="190"/>
      <c r="W369" s="190"/>
      <c r="X369" s="190"/>
      <c r="Y369" s="56"/>
    </row>
    <row r="370">
      <c r="A370" s="237"/>
      <c r="B370" s="130"/>
      <c r="C370" s="130"/>
      <c r="D370" s="130"/>
      <c r="E370" s="199"/>
      <c r="F370" s="130"/>
      <c r="G370" s="130"/>
      <c r="H370" s="130"/>
      <c r="I370" s="130"/>
      <c r="J370" s="130"/>
      <c r="K370" s="130"/>
      <c r="L370" s="130"/>
      <c r="M370" s="131"/>
      <c r="N370" s="132"/>
      <c r="O370" s="133"/>
      <c r="P370" s="238"/>
      <c r="Q370" s="190"/>
      <c r="R370" s="239"/>
      <c r="S370" s="190"/>
      <c r="T370" s="240"/>
      <c r="U370" s="241"/>
      <c r="V370" s="190"/>
      <c r="W370" s="190"/>
      <c r="X370" s="190"/>
      <c r="Y370" s="56"/>
    </row>
    <row r="371">
      <c r="A371" s="237"/>
      <c r="B371" s="130"/>
      <c r="C371" s="130"/>
      <c r="D371" s="130"/>
      <c r="E371" s="199"/>
      <c r="F371" s="130"/>
      <c r="G371" s="130"/>
      <c r="H371" s="130"/>
      <c r="I371" s="130"/>
      <c r="J371" s="130"/>
      <c r="K371" s="130"/>
      <c r="L371" s="130"/>
      <c r="M371" s="131"/>
      <c r="N371" s="132"/>
      <c r="O371" s="133"/>
      <c r="P371" s="238"/>
      <c r="Q371" s="190"/>
      <c r="R371" s="239"/>
      <c r="S371" s="190"/>
      <c r="T371" s="240"/>
      <c r="U371" s="241"/>
      <c r="V371" s="190"/>
      <c r="W371" s="190"/>
      <c r="X371" s="190"/>
      <c r="Y371" s="56"/>
    </row>
    <row r="372">
      <c r="A372" s="237"/>
      <c r="B372" s="130"/>
      <c r="C372" s="130"/>
      <c r="D372" s="130"/>
      <c r="E372" s="199"/>
      <c r="F372" s="130"/>
      <c r="G372" s="130"/>
      <c r="H372" s="130"/>
      <c r="I372" s="130"/>
      <c r="J372" s="130"/>
      <c r="K372" s="130"/>
      <c r="L372" s="130"/>
      <c r="M372" s="131"/>
      <c r="N372" s="132"/>
      <c r="O372" s="133"/>
      <c r="P372" s="238"/>
      <c r="Q372" s="190"/>
      <c r="R372" s="239"/>
      <c r="S372" s="190"/>
      <c r="T372" s="240"/>
      <c r="U372" s="241"/>
      <c r="V372" s="190"/>
      <c r="W372" s="190"/>
      <c r="X372" s="190"/>
      <c r="Y372" s="56"/>
    </row>
    <row r="373">
      <c r="A373" s="237"/>
      <c r="B373" s="130"/>
      <c r="C373" s="130"/>
      <c r="D373" s="130"/>
      <c r="E373" s="199"/>
      <c r="F373" s="130"/>
      <c r="G373" s="130"/>
      <c r="H373" s="130"/>
      <c r="I373" s="130"/>
      <c r="J373" s="130"/>
      <c r="K373" s="130"/>
      <c r="L373" s="130"/>
      <c r="M373" s="131"/>
      <c r="N373" s="132"/>
      <c r="O373" s="133"/>
      <c r="P373" s="238"/>
      <c r="Q373" s="190"/>
      <c r="R373" s="239"/>
      <c r="S373" s="190"/>
      <c r="T373" s="240"/>
      <c r="U373" s="241"/>
      <c r="V373" s="190"/>
      <c r="W373" s="190"/>
      <c r="X373" s="190"/>
      <c r="Y373" s="56"/>
    </row>
    <row r="374">
      <c r="A374" s="237"/>
      <c r="B374" s="130"/>
      <c r="C374" s="130"/>
      <c r="D374" s="130"/>
      <c r="E374" s="199"/>
      <c r="F374" s="130"/>
      <c r="G374" s="130"/>
      <c r="H374" s="130"/>
      <c r="I374" s="130"/>
      <c r="J374" s="130"/>
      <c r="K374" s="130"/>
      <c r="L374" s="130"/>
      <c r="M374" s="131"/>
      <c r="N374" s="132"/>
      <c r="O374" s="133"/>
      <c r="P374" s="238"/>
      <c r="Q374" s="190"/>
      <c r="R374" s="239"/>
      <c r="S374" s="190"/>
      <c r="T374" s="240"/>
      <c r="U374" s="241"/>
      <c r="V374" s="190"/>
      <c r="W374" s="190"/>
      <c r="X374" s="190"/>
      <c r="Y374" s="56"/>
    </row>
    <row r="375">
      <c r="A375" s="237"/>
      <c r="B375" s="130"/>
      <c r="C375" s="130"/>
      <c r="D375" s="130"/>
      <c r="E375" s="199"/>
      <c r="F375" s="130"/>
      <c r="G375" s="130"/>
      <c r="H375" s="130"/>
      <c r="I375" s="130"/>
      <c r="J375" s="130"/>
      <c r="K375" s="130"/>
      <c r="L375" s="130"/>
      <c r="M375" s="131"/>
      <c r="N375" s="132"/>
      <c r="O375" s="133"/>
      <c r="P375" s="238"/>
      <c r="Q375" s="190"/>
      <c r="R375" s="239"/>
      <c r="S375" s="190"/>
      <c r="T375" s="240"/>
      <c r="U375" s="241"/>
      <c r="V375" s="190"/>
      <c r="W375" s="190"/>
      <c r="X375" s="190"/>
      <c r="Y375" s="56"/>
    </row>
    <row r="376">
      <c r="A376" s="237"/>
      <c r="B376" s="130"/>
      <c r="C376" s="130"/>
      <c r="D376" s="130"/>
      <c r="E376" s="199"/>
      <c r="F376" s="130"/>
      <c r="G376" s="130"/>
      <c r="H376" s="130"/>
      <c r="I376" s="130"/>
      <c r="J376" s="130"/>
      <c r="K376" s="130"/>
      <c r="L376" s="130"/>
      <c r="M376" s="131"/>
      <c r="N376" s="132"/>
      <c r="O376" s="133"/>
      <c r="P376" s="238"/>
      <c r="Q376" s="190"/>
      <c r="R376" s="239"/>
      <c r="S376" s="190"/>
      <c r="T376" s="240"/>
      <c r="U376" s="241"/>
      <c r="V376" s="190"/>
      <c r="W376" s="190"/>
      <c r="X376" s="190"/>
      <c r="Y376" s="56"/>
    </row>
    <row r="377">
      <c r="A377" s="237"/>
      <c r="B377" s="130"/>
      <c r="C377" s="130"/>
      <c r="D377" s="130"/>
      <c r="E377" s="199"/>
      <c r="F377" s="130"/>
      <c r="G377" s="130"/>
      <c r="H377" s="130"/>
      <c r="I377" s="130"/>
      <c r="J377" s="130"/>
      <c r="K377" s="130"/>
      <c r="L377" s="130"/>
      <c r="M377" s="131"/>
      <c r="N377" s="132"/>
      <c r="O377" s="133"/>
      <c r="P377" s="238"/>
      <c r="Q377" s="190"/>
      <c r="R377" s="239"/>
      <c r="S377" s="190"/>
      <c r="T377" s="240"/>
      <c r="U377" s="241"/>
      <c r="V377" s="190"/>
      <c r="W377" s="190"/>
      <c r="X377" s="190"/>
      <c r="Y377" s="56"/>
    </row>
    <row r="378">
      <c r="A378" s="237"/>
      <c r="B378" s="130"/>
      <c r="C378" s="130"/>
      <c r="D378" s="130"/>
      <c r="E378" s="199"/>
      <c r="F378" s="130"/>
      <c r="G378" s="130"/>
      <c r="H378" s="130"/>
      <c r="I378" s="130"/>
      <c r="J378" s="130"/>
      <c r="K378" s="130"/>
      <c r="L378" s="130"/>
      <c r="M378" s="131"/>
      <c r="N378" s="132"/>
      <c r="O378" s="133"/>
      <c r="P378" s="238"/>
      <c r="Q378" s="190"/>
      <c r="R378" s="239"/>
      <c r="S378" s="190"/>
      <c r="T378" s="240"/>
      <c r="U378" s="241"/>
      <c r="V378" s="190"/>
      <c r="W378" s="190"/>
      <c r="X378" s="190"/>
      <c r="Y378" s="56"/>
    </row>
    <row r="379">
      <c r="A379" s="237"/>
      <c r="B379" s="130"/>
      <c r="C379" s="130"/>
      <c r="D379" s="130"/>
      <c r="E379" s="199"/>
      <c r="F379" s="130"/>
      <c r="G379" s="130"/>
      <c r="H379" s="130"/>
      <c r="I379" s="130"/>
      <c r="J379" s="130"/>
      <c r="K379" s="130"/>
      <c r="L379" s="130"/>
      <c r="M379" s="131"/>
      <c r="N379" s="132"/>
      <c r="O379" s="133"/>
      <c r="P379" s="238"/>
      <c r="Q379" s="190"/>
      <c r="R379" s="239"/>
      <c r="S379" s="190"/>
      <c r="T379" s="240"/>
      <c r="U379" s="241"/>
      <c r="V379" s="190"/>
      <c r="W379" s="190"/>
      <c r="X379" s="190"/>
      <c r="Y379" s="56"/>
    </row>
    <row r="380">
      <c r="A380" s="237"/>
      <c r="B380" s="130"/>
      <c r="C380" s="130"/>
      <c r="D380" s="130"/>
      <c r="E380" s="199"/>
      <c r="F380" s="130"/>
      <c r="G380" s="130"/>
      <c r="H380" s="130"/>
      <c r="I380" s="130"/>
      <c r="J380" s="130"/>
      <c r="K380" s="130"/>
      <c r="L380" s="130"/>
      <c r="M380" s="131"/>
      <c r="N380" s="132"/>
      <c r="O380" s="133"/>
      <c r="P380" s="238"/>
      <c r="Q380" s="190"/>
      <c r="R380" s="239"/>
      <c r="S380" s="190"/>
      <c r="T380" s="240"/>
      <c r="U380" s="241"/>
      <c r="V380" s="190"/>
      <c r="W380" s="190"/>
      <c r="X380" s="190"/>
      <c r="Y380" s="56"/>
    </row>
    <row r="381">
      <c r="A381" s="237"/>
      <c r="B381" s="130"/>
      <c r="C381" s="130"/>
      <c r="D381" s="130"/>
      <c r="E381" s="199"/>
      <c r="F381" s="130"/>
      <c r="G381" s="130"/>
      <c r="H381" s="130"/>
      <c r="I381" s="130"/>
      <c r="J381" s="130"/>
      <c r="K381" s="130"/>
      <c r="L381" s="130"/>
      <c r="M381" s="131"/>
      <c r="N381" s="132"/>
      <c r="O381" s="133"/>
      <c r="P381" s="238"/>
      <c r="Q381" s="190"/>
      <c r="R381" s="239"/>
      <c r="S381" s="190"/>
      <c r="T381" s="240"/>
      <c r="U381" s="241"/>
      <c r="V381" s="190"/>
      <c r="W381" s="190"/>
      <c r="X381" s="190"/>
      <c r="Y381" s="56"/>
    </row>
    <row r="382">
      <c r="A382" s="237"/>
      <c r="B382" s="130"/>
      <c r="C382" s="130"/>
      <c r="D382" s="130"/>
      <c r="E382" s="199"/>
      <c r="F382" s="130"/>
      <c r="G382" s="130"/>
      <c r="H382" s="130"/>
      <c r="I382" s="130"/>
      <c r="J382" s="130"/>
      <c r="K382" s="130"/>
      <c r="L382" s="130"/>
      <c r="M382" s="131"/>
      <c r="N382" s="132"/>
      <c r="O382" s="133"/>
      <c r="P382" s="238"/>
      <c r="Q382" s="190"/>
      <c r="R382" s="239"/>
      <c r="S382" s="190"/>
      <c r="T382" s="240"/>
      <c r="U382" s="241"/>
      <c r="V382" s="190"/>
      <c r="W382" s="190"/>
      <c r="X382" s="190"/>
      <c r="Y382" s="56"/>
    </row>
    <row r="383">
      <c r="A383" s="237"/>
      <c r="B383" s="130"/>
      <c r="C383" s="130"/>
      <c r="D383" s="130"/>
      <c r="E383" s="199"/>
      <c r="F383" s="130"/>
      <c r="G383" s="130"/>
      <c r="H383" s="130"/>
      <c r="I383" s="130"/>
      <c r="J383" s="130"/>
      <c r="K383" s="130"/>
      <c r="L383" s="130"/>
      <c r="M383" s="131"/>
      <c r="N383" s="132"/>
      <c r="O383" s="133"/>
      <c r="P383" s="238"/>
      <c r="Q383" s="190"/>
      <c r="R383" s="239"/>
      <c r="S383" s="190"/>
      <c r="T383" s="240"/>
      <c r="U383" s="241"/>
      <c r="V383" s="190"/>
      <c r="W383" s="190"/>
      <c r="X383" s="190"/>
      <c r="Y383" s="56"/>
    </row>
    <row r="384">
      <c r="A384" s="237"/>
      <c r="B384" s="130"/>
      <c r="C384" s="130"/>
      <c r="D384" s="130"/>
      <c r="E384" s="199"/>
      <c r="F384" s="130"/>
      <c r="G384" s="130"/>
      <c r="H384" s="130"/>
      <c r="I384" s="130"/>
      <c r="J384" s="130"/>
      <c r="K384" s="130"/>
      <c r="L384" s="130"/>
      <c r="M384" s="131"/>
      <c r="N384" s="132"/>
      <c r="O384" s="133"/>
      <c r="P384" s="238"/>
      <c r="Q384" s="190"/>
      <c r="R384" s="239"/>
      <c r="S384" s="190"/>
      <c r="T384" s="240"/>
      <c r="U384" s="241"/>
      <c r="V384" s="190"/>
      <c r="W384" s="190"/>
      <c r="X384" s="190"/>
      <c r="Y384" s="56"/>
    </row>
    <row r="385">
      <c r="A385" s="237"/>
      <c r="B385" s="130"/>
      <c r="C385" s="130"/>
      <c r="D385" s="130"/>
      <c r="E385" s="199"/>
      <c r="F385" s="130"/>
      <c r="G385" s="130"/>
      <c r="H385" s="130"/>
      <c r="I385" s="130"/>
      <c r="J385" s="130"/>
      <c r="K385" s="130"/>
      <c r="L385" s="130"/>
      <c r="M385" s="131"/>
      <c r="N385" s="132"/>
      <c r="O385" s="133"/>
      <c r="P385" s="238"/>
      <c r="Q385" s="190"/>
      <c r="R385" s="239"/>
      <c r="S385" s="190"/>
      <c r="T385" s="240"/>
      <c r="U385" s="241"/>
      <c r="V385" s="190"/>
      <c r="W385" s="190"/>
      <c r="X385" s="190"/>
      <c r="Y385" s="56"/>
    </row>
    <row r="386">
      <c r="A386" s="237"/>
      <c r="B386" s="130"/>
      <c r="C386" s="130"/>
      <c r="D386" s="130"/>
      <c r="E386" s="199"/>
      <c r="F386" s="130"/>
      <c r="G386" s="130"/>
      <c r="H386" s="130"/>
      <c r="I386" s="130"/>
      <c r="J386" s="130"/>
      <c r="K386" s="130"/>
      <c r="L386" s="130"/>
      <c r="M386" s="131"/>
      <c r="N386" s="132"/>
      <c r="O386" s="133"/>
      <c r="P386" s="238"/>
      <c r="Q386" s="190"/>
      <c r="R386" s="239"/>
      <c r="S386" s="190"/>
      <c r="T386" s="240"/>
      <c r="U386" s="241"/>
      <c r="V386" s="190"/>
      <c r="W386" s="190"/>
      <c r="X386" s="190"/>
      <c r="Y386" s="56"/>
    </row>
    <row r="387">
      <c r="A387" s="237"/>
      <c r="B387" s="130"/>
      <c r="C387" s="130"/>
      <c r="D387" s="130"/>
      <c r="E387" s="199"/>
      <c r="F387" s="130"/>
      <c r="G387" s="130"/>
      <c r="H387" s="130"/>
      <c r="I387" s="130"/>
      <c r="J387" s="130"/>
      <c r="K387" s="130"/>
      <c r="L387" s="130"/>
      <c r="M387" s="131"/>
      <c r="N387" s="132"/>
      <c r="O387" s="133"/>
      <c r="P387" s="238"/>
      <c r="Q387" s="190"/>
      <c r="R387" s="239"/>
      <c r="S387" s="190"/>
      <c r="T387" s="240"/>
      <c r="U387" s="241"/>
      <c r="V387" s="190"/>
      <c r="W387" s="190"/>
      <c r="X387" s="190"/>
      <c r="Y387" s="56"/>
    </row>
    <row r="388">
      <c r="A388" s="237"/>
      <c r="B388" s="130"/>
      <c r="C388" s="130"/>
      <c r="D388" s="130"/>
      <c r="E388" s="199"/>
      <c r="F388" s="130"/>
      <c r="G388" s="130"/>
      <c r="H388" s="130"/>
      <c r="I388" s="130"/>
      <c r="J388" s="130"/>
      <c r="K388" s="130"/>
      <c r="L388" s="130"/>
      <c r="M388" s="131"/>
      <c r="N388" s="132"/>
      <c r="O388" s="133"/>
      <c r="P388" s="238"/>
      <c r="Q388" s="190"/>
      <c r="R388" s="239"/>
      <c r="S388" s="190"/>
      <c r="T388" s="240"/>
      <c r="U388" s="241"/>
      <c r="V388" s="190"/>
      <c r="W388" s="190"/>
      <c r="X388" s="190"/>
      <c r="Y388" s="56"/>
    </row>
    <row r="389">
      <c r="A389" s="237"/>
      <c r="B389" s="130"/>
      <c r="C389" s="130"/>
      <c r="D389" s="130"/>
      <c r="E389" s="199"/>
      <c r="F389" s="130"/>
      <c r="G389" s="130"/>
      <c r="H389" s="130"/>
      <c r="I389" s="130"/>
      <c r="J389" s="130"/>
      <c r="K389" s="130"/>
      <c r="L389" s="130"/>
      <c r="M389" s="131"/>
      <c r="N389" s="132"/>
      <c r="O389" s="133"/>
      <c r="P389" s="238"/>
      <c r="Q389" s="190"/>
      <c r="R389" s="239"/>
      <c r="S389" s="190"/>
      <c r="T389" s="240"/>
      <c r="U389" s="241"/>
      <c r="V389" s="190"/>
      <c r="W389" s="190"/>
      <c r="X389" s="190"/>
      <c r="Y389" s="56"/>
    </row>
    <row r="390">
      <c r="A390" s="237"/>
      <c r="B390" s="130"/>
      <c r="C390" s="130"/>
      <c r="D390" s="130"/>
      <c r="E390" s="199"/>
      <c r="F390" s="130"/>
      <c r="G390" s="130"/>
      <c r="H390" s="130"/>
      <c r="I390" s="130"/>
      <c r="J390" s="130"/>
      <c r="K390" s="130"/>
      <c r="L390" s="130"/>
      <c r="M390" s="131"/>
      <c r="N390" s="132"/>
      <c r="O390" s="133"/>
      <c r="P390" s="238"/>
      <c r="Q390" s="190"/>
      <c r="R390" s="239"/>
      <c r="S390" s="190"/>
      <c r="T390" s="240"/>
      <c r="U390" s="241"/>
      <c r="V390" s="190"/>
      <c r="W390" s="190"/>
      <c r="X390" s="190"/>
      <c r="Y390" s="56"/>
    </row>
    <row r="391">
      <c r="A391" s="237"/>
      <c r="B391" s="130"/>
      <c r="C391" s="130"/>
      <c r="D391" s="130"/>
      <c r="E391" s="199"/>
      <c r="F391" s="130"/>
      <c r="G391" s="130"/>
      <c r="H391" s="130"/>
      <c r="I391" s="130"/>
      <c r="J391" s="130"/>
      <c r="K391" s="130"/>
      <c r="L391" s="130"/>
      <c r="M391" s="131"/>
      <c r="N391" s="132"/>
      <c r="O391" s="133"/>
      <c r="P391" s="238"/>
      <c r="Q391" s="190"/>
      <c r="R391" s="239"/>
      <c r="S391" s="190"/>
      <c r="T391" s="240"/>
      <c r="U391" s="241"/>
      <c r="V391" s="190"/>
      <c r="W391" s="190"/>
      <c r="X391" s="190"/>
      <c r="Y391" s="56"/>
    </row>
    <row r="392">
      <c r="A392" s="237"/>
      <c r="B392" s="130"/>
      <c r="C392" s="130"/>
      <c r="D392" s="130"/>
      <c r="E392" s="199"/>
      <c r="F392" s="130"/>
      <c r="G392" s="130"/>
      <c r="H392" s="130"/>
      <c r="I392" s="130"/>
      <c r="J392" s="130"/>
      <c r="K392" s="130"/>
      <c r="L392" s="130"/>
      <c r="M392" s="131"/>
      <c r="N392" s="132"/>
      <c r="O392" s="133"/>
      <c r="P392" s="238"/>
      <c r="Q392" s="190"/>
      <c r="R392" s="239"/>
      <c r="S392" s="190"/>
      <c r="T392" s="240"/>
      <c r="U392" s="241"/>
      <c r="V392" s="190"/>
      <c r="W392" s="190"/>
      <c r="X392" s="190"/>
      <c r="Y392" s="56"/>
    </row>
    <row r="393">
      <c r="A393" s="237"/>
      <c r="B393" s="130"/>
      <c r="C393" s="130"/>
      <c r="D393" s="130"/>
      <c r="E393" s="199"/>
      <c r="F393" s="130"/>
      <c r="G393" s="130"/>
      <c r="H393" s="130"/>
      <c r="I393" s="130"/>
      <c r="J393" s="130"/>
      <c r="K393" s="130"/>
      <c r="L393" s="130"/>
      <c r="M393" s="131"/>
      <c r="N393" s="132"/>
      <c r="O393" s="133"/>
      <c r="P393" s="238"/>
      <c r="Q393" s="190"/>
      <c r="R393" s="239"/>
      <c r="S393" s="190"/>
      <c r="T393" s="240"/>
      <c r="U393" s="241"/>
      <c r="V393" s="190"/>
      <c r="W393" s="190"/>
      <c r="X393" s="190"/>
      <c r="Y393" s="56"/>
    </row>
    <row r="394">
      <c r="A394" s="237"/>
      <c r="B394" s="130"/>
      <c r="C394" s="130"/>
      <c r="D394" s="130"/>
      <c r="E394" s="199"/>
      <c r="F394" s="130"/>
      <c r="G394" s="130"/>
      <c r="H394" s="130"/>
      <c r="I394" s="130"/>
      <c r="J394" s="130"/>
      <c r="K394" s="130"/>
      <c r="L394" s="130"/>
      <c r="M394" s="131"/>
      <c r="N394" s="132"/>
      <c r="O394" s="133"/>
      <c r="P394" s="238"/>
      <c r="Q394" s="190"/>
      <c r="R394" s="239"/>
      <c r="S394" s="190"/>
      <c r="T394" s="240"/>
      <c r="U394" s="241"/>
      <c r="V394" s="190"/>
      <c r="W394" s="190"/>
      <c r="X394" s="190"/>
      <c r="Y394" s="56"/>
    </row>
    <row r="395">
      <c r="A395" s="237"/>
      <c r="B395" s="130"/>
      <c r="C395" s="130"/>
      <c r="D395" s="130"/>
      <c r="E395" s="199"/>
      <c r="F395" s="130"/>
      <c r="G395" s="130"/>
      <c r="H395" s="130"/>
      <c r="I395" s="130"/>
      <c r="J395" s="130"/>
      <c r="K395" s="130"/>
      <c r="L395" s="130"/>
      <c r="M395" s="131"/>
      <c r="N395" s="132"/>
      <c r="O395" s="133"/>
      <c r="P395" s="238"/>
      <c r="Q395" s="190"/>
      <c r="R395" s="239"/>
      <c r="S395" s="190"/>
      <c r="T395" s="240"/>
      <c r="U395" s="241"/>
      <c r="V395" s="190"/>
      <c r="W395" s="190"/>
      <c r="X395" s="190"/>
      <c r="Y395" s="56"/>
    </row>
    <row r="396">
      <c r="A396" s="237"/>
      <c r="B396" s="130"/>
      <c r="C396" s="130"/>
      <c r="D396" s="130"/>
      <c r="E396" s="199"/>
      <c r="F396" s="130"/>
      <c r="G396" s="130"/>
      <c r="H396" s="130"/>
      <c r="I396" s="130"/>
      <c r="J396" s="130"/>
      <c r="K396" s="130"/>
      <c r="L396" s="130"/>
      <c r="M396" s="131"/>
      <c r="N396" s="132"/>
      <c r="O396" s="133"/>
      <c r="P396" s="238"/>
      <c r="Q396" s="190"/>
      <c r="R396" s="239"/>
      <c r="S396" s="190"/>
      <c r="T396" s="240"/>
      <c r="U396" s="241"/>
      <c r="V396" s="190"/>
      <c r="W396" s="190"/>
      <c r="X396" s="190"/>
      <c r="Y396" s="56"/>
    </row>
    <row r="397">
      <c r="A397" s="237"/>
      <c r="B397" s="130"/>
      <c r="C397" s="130"/>
      <c r="D397" s="130"/>
      <c r="E397" s="199"/>
      <c r="F397" s="130"/>
      <c r="G397" s="130"/>
      <c r="H397" s="130"/>
      <c r="I397" s="130"/>
      <c r="J397" s="130"/>
      <c r="K397" s="130"/>
      <c r="L397" s="130"/>
      <c r="M397" s="131"/>
      <c r="N397" s="132"/>
      <c r="O397" s="133"/>
      <c r="P397" s="238"/>
      <c r="Q397" s="190"/>
      <c r="R397" s="239"/>
      <c r="S397" s="190"/>
      <c r="T397" s="240"/>
      <c r="U397" s="241"/>
      <c r="V397" s="190"/>
      <c r="W397" s="190"/>
      <c r="X397" s="190"/>
      <c r="Y397" s="56"/>
    </row>
    <row r="398">
      <c r="A398" s="237"/>
      <c r="B398" s="130"/>
      <c r="C398" s="130"/>
      <c r="D398" s="130"/>
      <c r="E398" s="199"/>
      <c r="F398" s="130"/>
      <c r="G398" s="130"/>
      <c r="H398" s="130"/>
      <c r="I398" s="130"/>
      <c r="J398" s="130"/>
      <c r="K398" s="130"/>
      <c r="L398" s="130"/>
      <c r="M398" s="131"/>
      <c r="N398" s="132"/>
      <c r="O398" s="133"/>
      <c r="P398" s="238"/>
      <c r="Q398" s="190"/>
      <c r="R398" s="239"/>
      <c r="S398" s="190"/>
      <c r="T398" s="240"/>
      <c r="U398" s="241"/>
      <c r="V398" s="190"/>
      <c r="W398" s="190"/>
      <c r="X398" s="190"/>
      <c r="Y398" s="56"/>
    </row>
    <row r="399">
      <c r="A399" s="237"/>
      <c r="B399" s="130"/>
      <c r="C399" s="130"/>
      <c r="D399" s="130"/>
      <c r="E399" s="199"/>
      <c r="F399" s="130"/>
      <c r="G399" s="130"/>
      <c r="H399" s="130"/>
      <c r="I399" s="130"/>
      <c r="J399" s="130"/>
      <c r="K399" s="130"/>
      <c r="L399" s="130"/>
      <c r="M399" s="131"/>
      <c r="N399" s="132"/>
      <c r="O399" s="133"/>
      <c r="P399" s="238"/>
      <c r="Q399" s="190"/>
      <c r="R399" s="239"/>
      <c r="S399" s="190"/>
      <c r="T399" s="240"/>
      <c r="U399" s="241"/>
      <c r="V399" s="190"/>
      <c r="W399" s="190"/>
      <c r="X399" s="190"/>
      <c r="Y399" s="56"/>
    </row>
    <row r="400">
      <c r="A400" s="237"/>
      <c r="B400" s="130"/>
      <c r="C400" s="130"/>
      <c r="D400" s="130"/>
      <c r="E400" s="199"/>
      <c r="F400" s="130"/>
      <c r="G400" s="130"/>
      <c r="H400" s="130"/>
      <c r="I400" s="130"/>
      <c r="J400" s="130"/>
      <c r="K400" s="130"/>
      <c r="L400" s="130"/>
      <c r="M400" s="131"/>
      <c r="N400" s="132"/>
      <c r="O400" s="133"/>
      <c r="P400" s="238"/>
      <c r="Q400" s="190"/>
      <c r="R400" s="239"/>
      <c r="S400" s="190"/>
      <c r="T400" s="240"/>
      <c r="U400" s="241"/>
      <c r="V400" s="190"/>
      <c r="W400" s="190"/>
      <c r="X400" s="190"/>
      <c r="Y400" s="56"/>
    </row>
    <row r="401">
      <c r="A401" s="237"/>
      <c r="B401" s="130"/>
      <c r="C401" s="130"/>
      <c r="D401" s="130"/>
      <c r="E401" s="199"/>
      <c r="F401" s="130"/>
      <c r="G401" s="130"/>
      <c r="H401" s="130"/>
      <c r="I401" s="130"/>
      <c r="J401" s="130"/>
      <c r="K401" s="130"/>
      <c r="L401" s="130"/>
      <c r="M401" s="131"/>
      <c r="N401" s="132"/>
      <c r="O401" s="133"/>
      <c r="P401" s="238"/>
      <c r="Q401" s="190"/>
      <c r="R401" s="239"/>
      <c r="S401" s="190"/>
      <c r="T401" s="240"/>
      <c r="U401" s="241"/>
      <c r="V401" s="190"/>
      <c r="W401" s="190"/>
      <c r="X401" s="190"/>
      <c r="Y401" s="56"/>
    </row>
    <row r="402">
      <c r="A402" s="237"/>
      <c r="B402" s="130"/>
      <c r="C402" s="130"/>
      <c r="D402" s="130"/>
      <c r="E402" s="199"/>
      <c r="F402" s="130"/>
      <c r="G402" s="130"/>
      <c r="H402" s="130"/>
      <c r="I402" s="130"/>
      <c r="J402" s="130"/>
      <c r="K402" s="130"/>
      <c r="L402" s="130"/>
      <c r="M402" s="131"/>
      <c r="N402" s="132"/>
      <c r="O402" s="133"/>
      <c r="P402" s="238"/>
      <c r="Q402" s="190"/>
      <c r="R402" s="239"/>
      <c r="S402" s="190"/>
      <c r="T402" s="240"/>
      <c r="U402" s="241"/>
      <c r="V402" s="190"/>
      <c r="W402" s="190"/>
      <c r="X402" s="190"/>
      <c r="Y402" s="56"/>
    </row>
    <row r="403">
      <c r="A403" s="237"/>
      <c r="B403" s="130"/>
      <c r="C403" s="130"/>
      <c r="D403" s="130"/>
      <c r="E403" s="199"/>
      <c r="F403" s="130"/>
      <c r="G403" s="130"/>
      <c r="H403" s="130"/>
      <c r="I403" s="130"/>
      <c r="J403" s="130"/>
      <c r="K403" s="130"/>
      <c r="L403" s="130"/>
      <c r="M403" s="131"/>
      <c r="N403" s="132"/>
      <c r="O403" s="133"/>
      <c r="P403" s="238"/>
      <c r="Q403" s="190"/>
      <c r="R403" s="239"/>
      <c r="S403" s="190"/>
      <c r="T403" s="240"/>
      <c r="U403" s="241"/>
      <c r="V403" s="190"/>
      <c r="W403" s="190"/>
      <c r="X403" s="190"/>
      <c r="Y403" s="56"/>
    </row>
    <row r="404">
      <c r="A404" s="237"/>
      <c r="B404" s="130"/>
      <c r="C404" s="130"/>
      <c r="D404" s="130"/>
      <c r="E404" s="199"/>
      <c r="F404" s="130"/>
      <c r="G404" s="130"/>
      <c r="H404" s="130"/>
      <c r="I404" s="130"/>
      <c r="J404" s="130"/>
      <c r="K404" s="130"/>
      <c r="L404" s="130"/>
      <c r="M404" s="131"/>
      <c r="N404" s="132"/>
      <c r="O404" s="133"/>
      <c r="P404" s="238"/>
      <c r="Q404" s="190"/>
      <c r="R404" s="239"/>
      <c r="S404" s="190"/>
      <c r="T404" s="240"/>
      <c r="U404" s="241"/>
      <c r="V404" s="190"/>
      <c r="W404" s="190"/>
      <c r="X404" s="190"/>
      <c r="Y404" s="56"/>
    </row>
    <row r="405">
      <c r="A405" s="237"/>
      <c r="B405" s="130"/>
      <c r="C405" s="130"/>
      <c r="D405" s="130"/>
      <c r="E405" s="199"/>
      <c r="F405" s="130"/>
      <c r="G405" s="130"/>
      <c r="H405" s="130"/>
      <c r="I405" s="130"/>
      <c r="J405" s="130"/>
      <c r="K405" s="130"/>
      <c r="L405" s="130"/>
      <c r="M405" s="131"/>
      <c r="N405" s="132"/>
      <c r="O405" s="133"/>
      <c r="P405" s="238"/>
      <c r="Q405" s="190"/>
      <c r="R405" s="239"/>
      <c r="S405" s="190"/>
      <c r="T405" s="240"/>
      <c r="U405" s="241"/>
      <c r="V405" s="190"/>
      <c r="W405" s="190"/>
      <c r="X405" s="190"/>
      <c r="Y405" s="56"/>
    </row>
    <row r="406">
      <c r="A406" s="237"/>
      <c r="B406" s="130"/>
      <c r="C406" s="130"/>
      <c r="D406" s="130"/>
      <c r="E406" s="199"/>
      <c r="F406" s="130"/>
      <c r="G406" s="130"/>
      <c r="H406" s="130"/>
      <c r="I406" s="130"/>
      <c r="J406" s="130"/>
      <c r="K406" s="130"/>
      <c r="L406" s="130"/>
      <c r="M406" s="131"/>
      <c r="N406" s="132"/>
      <c r="O406" s="133"/>
      <c r="P406" s="238"/>
      <c r="Q406" s="190"/>
      <c r="R406" s="239"/>
      <c r="S406" s="190"/>
      <c r="T406" s="240"/>
      <c r="U406" s="241"/>
      <c r="V406" s="190"/>
      <c r="W406" s="190"/>
      <c r="X406" s="190"/>
      <c r="Y406" s="56"/>
    </row>
    <row r="407">
      <c r="A407" s="237"/>
      <c r="B407" s="130"/>
      <c r="C407" s="130"/>
      <c r="D407" s="130"/>
      <c r="E407" s="199"/>
      <c r="F407" s="130"/>
      <c r="G407" s="130"/>
      <c r="H407" s="130"/>
      <c r="I407" s="130"/>
      <c r="J407" s="130"/>
      <c r="K407" s="130"/>
      <c r="L407" s="130"/>
      <c r="M407" s="131"/>
      <c r="N407" s="132"/>
      <c r="O407" s="133"/>
      <c r="P407" s="238"/>
      <c r="Q407" s="190"/>
      <c r="R407" s="239"/>
      <c r="S407" s="190"/>
      <c r="T407" s="240"/>
      <c r="U407" s="241"/>
      <c r="V407" s="190"/>
      <c r="W407" s="190"/>
      <c r="X407" s="190"/>
      <c r="Y407" s="56"/>
    </row>
    <row r="408">
      <c r="A408" s="237"/>
      <c r="B408" s="130"/>
      <c r="C408" s="130"/>
      <c r="D408" s="130"/>
      <c r="E408" s="199"/>
      <c r="F408" s="130"/>
      <c r="G408" s="130"/>
      <c r="H408" s="130"/>
      <c r="I408" s="130"/>
      <c r="J408" s="130"/>
      <c r="K408" s="130"/>
      <c r="L408" s="130"/>
      <c r="M408" s="131"/>
      <c r="N408" s="132"/>
      <c r="O408" s="133"/>
      <c r="P408" s="238"/>
      <c r="Q408" s="190"/>
      <c r="R408" s="239"/>
      <c r="S408" s="190"/>
      <c r="T408" s="240"/>
      <c r="U408" s="241"/>
      <c r="V408" s="190"/>
      <c r="W408" s="190"/>
      <c r="X408" s="190"/>
      <c r="Y408" s="56"/>
    </row>
    <row r="409">
      <c r="A409" s="237"/>
      <c r="B409" s="130"/>
      <c r="C409" s="130"/>
      <c r="D409" s="130"/>
      <c r="E409" s="199"/>
      <c r="F409" s="130"/>
      <c r="G409" s="130"/>
      <c r="H409" s="130"/>
      <c r="I409" s="130"/>
      <c r="J409" s="130"/>
      <c r="K409" s="130"/>
      <c r="L409" s="130"/>
      <c r="M409" s="131"/>
      <c r="N409" s="132"/>
      <c r="O409" s="133"/>
      <c r="P409" s="238"/>
      <c r="Q409" s="190"/>
      <c r="R409" s="239"/>
      <c r="S409" s="190"/>
      <c r="T409" s="240"/>
      <c r="U409" s="241"/>
      <c r="V409" s="190"/>
      <c r="W409" s="190"/>
      <c r="X409" s="190"/>
      <c r="Y409" s="56"/>
    </row>
    <row r="410">
      <c r="A410" s="237"/>
      <c r="B410" s="130"/>
      <c r="C410" s="130"/>
      <c r="D410" s="130"/>
      <c r="E410" s="199"/>
      <c r="F410" s="130"/>
      <c r="G410" s="130"/>
      <c r="H410" s="130"/>
      <c r="I410" s="130"/>
      <c r="J410" s="130"/>
      <c r="K410" s="130"/>
      <c r="L410" s="130"/>
      <c r="M410" s="131"/>
      <c r="N410" s="132"/>
      <c r="O410" s="133"/>
      <c r="P410" s="238"/>
      <c r="Q410" s="190"/>
      <c r="R410" s="239"/>
      <c r="S410" s="190"/>
      <c r="T410" s="240"/>
      <c r="U410" s="241"/>
      <c r="V410" s="190"/>
      <c r="W410" s="190"/>
      <c r="X410" s="190"/>
      <c r="Y410" s="56"/>
    </row>
    <row r="411">
      <c r="A411" s="237"/>
      <c r="B411" s="130"/>
      <c r="C411" s="130"/>
      <c r="D411" s="130"/>
      <c r="E411" s="199"/>
      <c r="F411" s="130"/>
      <c r="G411" s="130"/>
      <c r="H411" s="130"/>
      <c r="I411" s="130"/>
      <c r="J411" s="130"/>
      <c r="K411" s="130"/>
      <c r="L411" s="130"/>
      <c r="M411" s="131"/>
      <c r="N411" s="132"/>
      <c r="O411" s="133"/>
      <c r="P411" s="238"/>
      <c r="Q411" s="190"/>
      <c r="R411" s="239"/>
      <c r="S411" s="190"/>
      <c r="T411" s="240"/>
      <c r="U411" s="241"/>
      <c r="V411" s="190"/>
      <c r="W411" s="190"/>
      <c r="X411" s="190"/>
      <c r="Y411" s="56"/>
    </row>
    <row r="412">
      <c r="A412" s="237"/>
      <c r="B412" s="130"/>
      <c r="C412" s="130"/>
      <c r="D412" s="130"/>
      <c r="E412" s="199"/>
      <c r="F412" s="130"/>
      <c r="G412" s="130"/>
      <c r="H412" s="130"/>
      <c r="I412" s="130"/>
      <c r="J412" s="130"/>
      <c r="K412" s="130"/>
      <c r="L412" s="130"/>
      <c r="M412" s="131"/>
      <c r="N412" s="132"/>
      <c r="O412" s="133"/>
      <c r="P412" s="238"/>
      <c r="Q412" s="190"/>
      <c r="R412" s="239"/>
      <c r="S412" s="190"/>
      <c r="T412" s="240"/>
      <c r="U412" s="241"/>
      <c r="V412" s="190"/>
      <c r="W412" s="190"/>
      <c r="X412" s="190"/>
      <c r="Y412" s="56"/>
    </row>
    <row r="413">
      <c r="A413" s="237"/>
      <c r="B413" s="130"/>
      <c r="C413" s="130"/>
      <c r="D413" s="130"/>
      <c r="E413" s="199"/>
      <c r="F413" s="130"/>
      <c r="G413" s="130"/>
      <c r="H413" s="130"/>
      <c r="I413" s="130"/>
      <c r="J413" s="130"/>
      <c r="K413" s="130"/>
      <c r="L413" s="130"/>
      <c r="M413" s="131"/>
      <c r="N413" s="132"/>
      <c r="O413" s="133"/>
      <c r="P413" s="238"/>
      <c r="Q413" s="190"/>
      <c r="R413" s="239"/>
      <c r="S413" s="190"/>
      <c r="T413" s="240"/>
      <c r="U413" s="241"/>
      <c r="V413" s="190"/>
      <c r="W413" s="190"/>
      <c r="X413" s="190"/>
      <c r="Y413" s="56"/>
    </row>
    <row r="414">
      <c r="A414" s="237"/>
      <c r="B414" s="130"/>
      <c r="C414" s="130"/>
      <c r="D414" s="130"/>
      <c r="E414" s="199"/>
      <c r="F414" s="130"/>
      <c r="G414" s="130"/>
      <c r="H414" s="130"/>
      <c r="I414" s="130"/>
      <c r="J414" s="130"/>
      <c r="K414" s="130"/>
      <c r="L414" s="130"/>
      <c r="M414" s="131"/>
      <c r="N414" s="132"/>
      <c r="O414" s="133"/>
      <c r="P414" s="238"/>
      <c r="Q414" s="190"/>
      <c r="R414" s="239"/>
      <c r="S414" s="190"/>
      <c r="T414" s="240"/>
      <c r="U414" s="241"/>
      <c r="V414" s="190"/>
      <c r="W414" s="190"/>
      <c r="X414" s="190"/>
      <c r="Y414" s="56"/>
    </row>
    <row r="415">
      <c r="A415" s="237"/>
      <c r="B415" s="130"/>
      <c r="C415" s="130"/>
      <c r="D415" s="130"/>
      <c r="E415" s="199"/>
      <c r="F415" s="130"/>
      <c r="G415" s="130"/>
      <c r="H415" s="130"/>
      <c r="I415" s="130"/>
      <c r="J415" s="130"/>
      <c r="K415" s="130"/>
      <c r="L415" s="130"/>
      <c r="M415" s="131"/>
      <c r="N415" s="132"/>
      <c r="O415" s="133"/>
      <c r="P415" s="238"/>
      <c r="Q415" s="190"/>
      <c r="R415" s="239"/>
      <c r="S415" s="190"/>
      <c r="T415" s="240"/>
      <c r="U415" s="241"/>
      <c r="V415" s="190"/>
      <c r="W415" s="190"/>
      <c r="X415" s="190"/>
      <c r="Y415" s="56"/>
    </row>
    <row r="416">
      <c r="A416" s="237"/>
      <c r="B416" s="130"/>
      <c r="C416" s="130"/>
      <c r="D416" s="130"/>
      <c r="E416" s="199"/>
      <c r="F416" s="130"/>
      <c r="G416" s="130"/>
      <c r="H416" s="130"/>
      <c r="I416" s="130"/>
      <c r="J416" s="130"/>
      <c r="K416" s="130"/>
      <c r="L416" s="130"/>
      <c r="M416" s="131"/>
      <c r="N416" s="132"/>
      <c r="O416" s="133"/>
      <c r="P416" s="238"/>
      <c r="Q416" s="190"/>
      <c r="R416" s="239"/>
      <c r="S416" s="190"/>
      <c r="T416" s="240"/>
      <c r="U416" s="241"/>
      <c r="V416" s="190"/>
      <c r="W416" s="190"/>
      <c r="X416" s="190"/>
      <c r="Y416" s="56"/>
    </row>
    <row r="417">
      <c r="A417" s="237"/>
      <c r="B417" s="130"/>
      <c r="C417" s="130"/>
      <c r="D417" s="130"/>
      <c r="E417" s="199"/>
      <c r="F417" s="130"/>
      <c r="G417" s="130"/>
      <c r="H417" s="130"/>
      <c r="I417" s="130"/>
      <c r="J417" s="130"/>
      <c r="K417" s="130"/>
      <c r="L417" s="130"/>
      <c r="M417" s="131"/>
      <c r="N417" s="132"/>
      <c r="O417" s="133"/>
      <c r="P417" s="238"/>
      <c r="Q417" s="190"/>
      <c r="R417" s="239"/>
      <c r="S417" s="190"/>
      <c r="T417" s="240"/>
      <c r="U417" s="241"/>
      <c r="V417" s="190"/>
      <c r="W417" s="190"/>
      <c r="X417" s="190"/>
      <c r="Y417" s="56"/>
    </row>
    <row r="418">
      <c r="A418" s="237"/>
      <c r="B418" s="130"/>
      <c r="C418" s="130"/>
      <c r="D418" s="130"/>
      <c r="E418" s="199"/>
      <c r="F418" s="130"/>
      <c r="G418" s="130"/>
      <c r="H418" s="130"/>
      <c r="I418" s="130"/>
      <c r="J418" s="130"/>
      <c r="K418" s="130"/>
      <c r="L418" s="130"/>
      <c r="M418" s="131"/>
      <c r="N418" s="132"/>
      <c r="O418" s="133"/>
      <c r="P418" s="238"/>
      <c r="Q418" s="190"/>
      <c r="R418" s="239"/>
      <c r="S418" s="190"/>
      <c r="T418" s="240"/>
      <c r="U418" s="241"/>
      <c r="V418" s="190"/>
      <c r="W418" s="190"/>
      <c r="X418" s="190"/>
      <c r="Y418" s="56"/>
    </row>
    <row r="419">
      <c r="A419" s="237"/>
      <c r="B419" s="130"/>
      <c r="C419" s="130"/>
      <c r="D419" s="130"/>
      <c r="E419" s="199"/>
      <c r="F419" s="130"/>
      <c r="G419" s="130"/>
      <c r="H419" s="130"/>
      <c r="I419" s="130"/>
      <c r="J419" s="130"/>
      <c r="K419" s="130"/>
      <c r="L419" s="130"/>
      <c r="M419" s="131"/>
      <c r="N419" s="132"/>
      <c r="O419" s="133"/>
      <c r="P419" s="238"/>
      <c r="Q419" s="190"/>
      <c r="R419" s="239"/>
      <c r="S419" s="190"/>
      <c r="T419" s="240"/>
      <c r="U419" s="241"/>
      <c r="V419" s="190"/>
      <c r="W419" s="190"/>
      <c r="X419" s="190"/>
      <c r="Y419" s="56"/>
    </row>
    <row r="420">
      <c r="A420" s="237"/>
      <c r="B420" s="130"/>
      <c r="C420" s="130"/>
      <c r="D420" s="130"/>
      <c r="E420" s="199"/>
      <c r="F420" s="130"/>
      <c r="G420" s="130"/>
      <c r="H420" s="130"/>
      <c r="I420" s="130"/>
      <c r="J420" s="130"/>
      <c r="K420" s="130"/>
      <c r="L420" s="130"/>
      <c r="M420" s="131"/>
      <c r="N420" s="132"/>
      <c r="O420" s="133"/>
      <c r="P420" s="238"/>
      <c r="Q420" s="190"/>
      <c r="R420" s="239"/>
      <c r="S420" s="190"/>
      <c r="T420" s="240"/>
      <c r="U420" s="241"/>
      <c r="V420" s="190"/>
      <c r="W420" s="190"/>
      <c r="X420" s="190"/>
      <c r="Y420" s="56"/>
    </row>
    <row r="421">
      <c r="A421" s="237"/>
      <c r="B421" s="130"/>
      <c r="C421" s="130"/>
      <c r="D421" s="130"/>
      <c r="E421" s="199"/>
      <c r="F421" s="130"/>
      <c r="G421" s="130"/>
      <c r="H421" s="130"/>
      <c r="I421" s="130"/>
      <c r="J421" s="130"/>
      <c r="K421" s="130"/>
      <c r="L421" s="130"/>
      <c r="M421" s="131"/>
      <c r="N421" s="132"/>
      <c r="O421" s="133"/>
      <c r="P421" s="238"/>
      <c r="Q421" s="190"/>
      <c r="R421" s="239"/>
      <c r="S421" s="190"/>
      <c r="T421" s="240"/>
      <c r="U421" s="241"/>
      <c r="V421" s="190"/>
      <c r="W421" s="190"/>
      <c r="X421" s="190"/>
      <c r="Y421" s="56"/>
    </row>
    <row r="422">
      <c r="A422" s="237"/>
      <c r="B422" s="130"/>
      <c r="C422" s="130"/>
      <c r="D422" s="130"/>
      <c r="E422" s="199"/>
      <c r="F422" s="130"/>
      <c r="G422" s="130"/>
      <c r="H422" s="130"/>
      <c r="I422" s="130"/>
      <c r="J422" s="130"/>
      <c r="K422" s="130"/>
      <c r="L422" s="130"/>
      <c r="M422" s="131"/>
      <c r="N422" s="132"/>
      <c r="O422" s="133"/>
      <c r="P422" s="238"/>
      <c r="Q422" s="190"/>
      <c r="R422" s="239"/>
      <c r="S422" s="190"/>
      <c r="T422" s="240"/>
      <c r="U422" s="241"/>
      <c r="V422" s="190"/>
      <c r="W422" s="190"/>
      <c r="X422" s="190"/>
      <c r="Y422" s="56"/>
    </row>
    <row r="423">
      <c r="A423" s="237"/>
      <c r="B423" s="130"/>
      <c r="C423" s="130"/>
      <c r="D423" s="130"/>
      <c r="E423" s="199"/>
      <c r="F423" s="130"/>
      <c r="G423" s="130"/>
      <c r="H423" s="130"/>
      <c r="I423" s="130"/>
      <c r="J423" s="130"/>
      <c r="K423" s="130"/>
      <c r="L423" s="130"/>
      <c r="M423" s="131"/>
      <c r="N423" s="132"/>
      <c r="O423" s="133"/>
      <c r="P423" s="238"/>
      <c r="Q423" s="190"/>
      <c r="R423" s="239"/>
      <c r="S423" s="190"/>
      <c r="T423" s="240"/>
      <c r="U423" s="241"/>
      <c r="V423" s="190"/>
      <c r="W423" s="190"/>
      <c r="X423" s="190"/>
      <c r="Y423" s="56"/>
    </row>
    <row r="424">
      <c r="A424" s="237"/>
      <c r="B424" s="130"/>
      <c r="C424" s="130"/>
      <c r="D424" s="130"/>
      <c r="E424" s="199"/>
      <c r="F424" s="130"/>
      <c r="G424" s="130"/>
      <c r="H424" s="130"/>
      <c r="I424" s="130"/>
      <c r="J424" s="130"/>
      <c r="K424" s="130"/>
      <c r="L424" s="130"/>
      <c r="M424" s="131"/>
      <c r="N424" s="132"/>
      <c r="O424" s="133"/>
      <c r="P424" s="238"/>
      <c r="Q424" s="190"/>
      <c r="R424" s="239"/>
      <c r="S424" s="190"/>
      <c r="T424" s="240"/>
      <c r="U424" s="241"/>
      <c r="V424" s="190"/>
      <c r="W424" s="190"/>
      <c r="X424" s="190"/>
      <c r="Y424" s="56"/>
    </row>
    <row r="425">
      <c r="A425" s="237"/>
      <c r="B425" s="130"/>
      <c r="C425" s="130"/>
      <c r="D425" s="130"/>
      <c r="E425" s="199"/>
      <c r="F425" s="130"/>
      <c r="G425" s="130"/>
      <c r="H425" s="130"/>
      <c r="I425" s="130"/>
      <c r="J425" s="130"/>
      <c r="K425" s="130"/>
      <c r="L425" s="130"/>
      <c r="M425" s="131"/>
      <c r="N425" s="132"/>
      <c r="O425" s="133"/>
      <c r="P425" s="238"/>
      <c r="Q425" s="190"/>
      <c r="R425" s="239"/>
      <c r="S425" s="190"/>
      <c r="T425" s="240"/>
      <c r="U425" s="241"/>
      <c r="V425" s="190"/>
      <c r="W425" s="190"/>
      <c r="X425" s="190"/>
      <c r="Y425" s="56"/>
    </row>
    <row r="426">
      <c r="A426" s="237"/>
      <c r="B426" s="130"/>
      <c r="C426" s="130"/>
      <c r="D426" s="130"/>
      <c r="E426" s="199"/>
      <c r="F426" s="130"/>
      <c r="G426" s="130"/>
      <c r="H426" s="130"/>
      <c r="I426" s="130"/>
      <c r="J426" s="130"/>
      <c r="K426" s="130"/>
      <c r="L426" s="130"/>
      <c r="M426" s="131"/>
      <c r="N426" s="132"/>
      <c r="O426" s="133"/>
      <c r="P426" s="238"/>
      <c r="Q426" s="190"/>
      <c r="R426" s="239"/>
      <c r="S426" s="190"/>
      <c r="T426" s="240"/>
      <c r="U426" s="241"/>
      <c r="V426" s="190"/>
      <c r="W426" s="190"/>
      <c r="X426" s="190"/>
      <c r="Y426" s="56"/>
    </row>
    <row r="427">
      <c r="A427" s="237"/>
      <c r="B427" s="130"/>
      <c r="C427" s="130"/>
      <c r="D427" s="130"/>
      <c r="E427" s="199"/>
      <c r="F427" s="130"/>
      <c r="G427" s="130"/>
      <c r="H427" s="130"/>
      <c r="I427" s="130"/>
      <c r="J427" s="130"/>
      <c r="K427" s="130"/>
      <c r="L427" s="130"/>
      <c r="M427" s="131"/>
      <c r="N427" s="132"/>
      <c r="O427" s="133"/>
      <c r="P427" s="238"/>
      <c r="Q427" s="190"/>
      <c r="R427" s="239"/>
      <c r="S427" s="190"/>
      <c r="T427" s="240"/>
      <c r="U427" s="241"/>
      <c r="V427" s="190"/>
      <c r="W427" s="190"/>
      <c r="X427" s="190"/>
      <c r="Y427" s="56"/>
    </row>
    <row r="428">
      <c r="A428" s="237"/>
      <c r="B428" s="130"/>
      <c r="C428" s="130"/>
      <c r="D428" s="130"/>
      <c r="E428" s="199"/>
      <c r="F428" s="130"/>
      <c r="G428" s="130"/>
      <c r="H428" s="130"/>
      <c r="I428" s="130"/>
      <c r="J428" s="130"/>
      <c r="K428" s="130"/>
      <c r="L428" s="130"/>
      <c r="M428" s="131"/>
      <c r="N428" s="132"/>
      <c r="O428" s="133"/>
      <c r="P428" s="238"/>
      <c r="Q428" s="190"/>
      <c r="R428" s="239"/>
      <c r="S428" s="190"/>
      <c r="T428" s="240"/>
      <c r="U428" s="241"/>
      <c r="V428" s="190"/>
      <c r="W428" s="190"/>
      <c r="X428" s="190"/>
      <c r="Y428" s="56"/>
    </row>
    <row r="429">
      <c r="A429" s="237"/>
      <c r="B429" s="130"/>
      <c r="C429" s="130"/>
      <c r="D429" s="130"/>
      <c r="E429" s="199"/>
      <c r="F429" s="130"/>
      <c r="G429" s="130"/>
      <c r="H429" s="130"/>
      <c r="I429" s="130"/>
      <c r="J429" s="130"/>
      <c r="K429" s="130"/>
      <c r="L429" s="130"/>
      <c r="M429" s="131"/>
      <c r="N429" s="132"/>
      <c r="O429" s="133"/>
      <c r="P429" s="238"/>
      <c r="Q429" s="190"/>
      <c r="R429" s="239"/>
      <c r="S429" s="190"/>
      <c r="T429" s="240"/>
      <c r="U429" s="241"/>
      <c r="V429" s="190"/>
      <c r="W429" s="190"/>
      <c r="X429" s="190"/>
      <c r="Y429" s="56"/>
    </row>
    <row r="430">
      <c r="A430" s="237"/>
      <c r="B430" s="130"/>
      <c r="C430" s="130"/>
      <c r="D430" s="130"/>
      <c r="E430" s="199"/>
      <c r="F430" s="130"/>
      <c r="G430" s="130"/>
      <c r="H430" s="130"/>
      <c r="I430" s="130"/>
      <c r="J430" s="130"/>
      <c r="K430" s="130"/>
      <c r="L430" s="130"/>
      <c r="M430" s="131"/>
      <c r="N430" s="132"/>
      <c r="O430" s="133"/>
      <c r="P430" s="238"/>
      <c r="Q430" s="190"/>
      <c r="R430" s="239"/>
      <c r="S430" s="190"/>
      <c r="T430" s="240"/>
      <c r="U430" s="241"/>
      <c r="V430" s="190"/>
      <c r="W430" s="190"/>
      <c r="X430" s="190"/>
      <c r="Y430" s="56"/>
    </row>
    <row r="431">
      <c r="A431" s="237"/>
      <c r="B431" s="130"/>
      <c r="C431" s="130"/>
      <c r="D431" s="130"/>
      <c r="E431" s="199"/>
      <c r="F431" s="130"/>
      <c r="G431" s="130"/>
      <c r="H431" s="130"/>
      <c r="I431" s="130"/>
      <c r="J431" s="130"/>
      <c r="K431" s="130"/>
      <c r="L431" s="130"/>
      <c r="M431" s="131"/>
      <c r="N431" s="132"/>
      <c r="O431" s="133"/>
      <c r="P431" s="238"/>
      <c r="Q431" s="190"/>
      <c r="R431" s="239"/>
      <c r="S431" s="190"/>
      <c r="T431" s="240"/>
      <c r="U431" s="241"/>
      <c r="V431" s="190"/>
      <c r="W431" s="190"/>
      <c r="X431" s="190"/>
      <c r="Y431" s="56"/>
    </row>
    <row r="432">
      <c r="A432" s="237"/>
      <c r="B432" s="130"/>
      <c r="C432" s="130"/>
      <c r="D432" s="130"/>
      <c r="E432" s="199"/>
      <c r="F432" s="130"/>
      <c r="G432" s="130"/>
      <c r="H432" s="130"/>
      <c r="I432" s="130"/>
      <c r="J432" s="130"/>
      <c r="K432" s="130"/>
      <c r="L432" s="130"/>
      <c r="M432" s="131"/>
      <c r="N432" s="132"/>
      <c r="O432" s="133"/>
      <c r="P432" s="238"/>
      <c r="Q432" s="190"/>
      <c r="R432" s="239"/>
      <c r="S432" s="190"/>
      <c r="T432" s="240"/>
      <c r="U432" s="241"/>
      <c r="V432" s="190"/>
      <c r="W432" s="190"/>
      <c r="X432" s="190"/>
      <c r="Y432" s="56"/>
    </row>
    <row r="433">
      <c r="A433" s="237"/>
      <c r="B433" s="130"/>
      <c r="C433" s="130"/>
      <c r="D433" s="130"/>
      <c r="E433" s="199"/>
      <c r="F433" s="130"/>
      <c r="G433" s="130"/>
      <c r="H433" s="130"/>
      <c r="I433" s="130"/>
      <c r="J433" s="130"/>
      <c r="K433" s="130"/>
      <c r="L433" s="130"/>
      <c r="M433" s="131"/>
      <c r="N433" s="132"/>
      <c r="O433" s="133"/>
      <c r="P433" s="238"/>
      <c r="Q433" s="190"/>
      <c r="R433" s="239"/>
      <c r="S433" s="190"/>
      <c r="T433" s="240"/>
      <c r="U433" s="241"/>
      <c r="V433" s="190"/>
      <c r="W433" s="190"/>
      <c r="X433" s="190"/>
      <c r="Y433" s="56"/>
    </row>
    <row r="434">
      <c r="A434" s="237"/>
      <c r="B434" s="130"/>
      <c r="C434" s="130"/>
      <c r="D434" s="130"/>
      <c r="E434" s="199"/>
      <c r="F434" s="130"/>
      <c r="G434" s="130"/>
      <c r="H434" s="130"/>
      <c r="I434" s="130"/>
      <c r="J434" s="130"/>
      <c r="K434" s="130"/>
      <c r="L434" s="130"/>
      <c r="M434" s="131"/>
      <c r="N434" s="132"/>
      <c r="O434" s="133"/>
      <c r="P434" s="238"/>
      <c r="Q434" s="190"/>
      <c r="R434" s="239"/>
      <c r="S434" s="190"/>
      <c r="T434" s="240"/>
      <c r="U434" s="241"/>
      <c r="V434" s="190"/>
      <c r="W434" s="190"/>
      <c r="X434" s="190"/>
      <c r="Y434" s="56"/>
    </row>
    <row r="435">
      <c r="A435" s="237"/>
      <c r="B435" s="130"/>
      <c r="C435" s="130"/>
      <c r="D435" s="130"/>
      <c r="E435" s="199"/>
      <c r="F435" s="130"/>
      <c r="G435" s="130"/>
      <c r="H435" s="130"/>
      <c r="I435" s="130"/>
      <c r="J435" s="130"/>
      <c r="K435" s="130"/>
      <c r="L435" s="130"/>
      <c r="M435" s="131"/>
      <c r="N435" s="132"/>
      <c r="O435" s="133"/>
      <c r="P435" s="238"/>
      <c r="Q435" s="190"/>
      <c r="R435" s="239"/>
      <c r="S435" s="190"/>
      <c r="T435" s="240"/>
      <c r="U435" s="241"/>
      <c r="V435" s="190"/>
      <c r="W435" s="190"/>
      <c r="X435" s="190"/>
      <c r="Y435" s="56"/>
    </row>
    <row r="436">
      <c r="A436" s="237"/>
      <c r="B436" s="130"/>
      <c r="C436" s="130"/>
      <c r="D436" s="130"/>
      <c r="E436" s="199"/>
      <c r="F436" s="130"/>
      <c r="G436" s="130"/>
      <c r="H436" s="130"/>
      <c r="I436" s="130"/>
      <c r="J436" s="130"/>
      <c r="K436" s="130"/>
      <c r="L436" s="130"/>
      <c r="M436" s="131"/>
      <c r="N436" s="132"/>
      <c r="O436" s="133"/>
      <c r="P436" s="238"/>
      <c r="Q436" s="190"/>
      <c r="R436" s="239"/>
      <c r="S436" s="190"/>
      <c r="T436" s="240"/>
      <c r="U436" s="241"/>
      <c r="V436" s="190"/>
      <c r="W436" s="190"/>
      <c r="X436" s="190"/>
      <c r="Y436" s="56"/>
    </row>
    <row r="437">
      <c r="A437" s="237"/>
      <c r="B437" s="130"/>
      <c r="C437" s="130"/>
      <c r="D437" s="130"/>
      <c r="E437" s="199"/>
      <c r="F437" s="130"/>
      <c r="G437" s="130"/>
      <c r="H437" s="130"/>
      <c r="I437" s="130"/>
      <c r="J437" s="130"/>
      <c r="K437" s="130"/>
      <c r="L437" s="130"/>
      <c r="M437" s="131"/>
      <c r="N437" s="132"/>
      <c r="O437" s="133"/>
      <c r="P437" s="238"/>
      <c r="Q437" s="190"/>
      <c r="R437" s="239"/>
      <c r="S437" s="190"/>
      <c r="T437" s="240"/>
      <c r="U437" s="241"/>
      <c r="V437" s="190"/>
      <c r="W437" s="190"/>
      <c r="X437" s="190"/>
      <c r="Y437" s="56"/>
    </row>
    <row r="438">
      <c r="A438" s="237"/>
      <c r="B438" s="130"/>
      <c r="C438" s="130"/>
      <c r="D438" s="130"/>
      <c r="E438" s="199"/>
      <c r="F438" s="130"/>
      <c r="G438" s="130"/>
      <c r="H438" s="130"/>
      <c r="I438" s="130"/>
      <c r="J438" s="130"/>
      <c r="K438" s="130"/>
      <c r="L438" s="130"/>
      <c r="M438" s="131"/>
      <c r="N438" s="132"/>
      <c r="O438" s="133"/>
      <c r="P438" s="238"/>
      <c r="Q438" s="190"/>
      <c r="R438" s="239"/>
      <c r="S438" s="190"/>
      <c r="T438" s="240"/>
      <c r="U438" s="241"/>
      <c r="V438" s="190"/>
      <c r="W438" s="190"/>
      <c r="X438" s="190"/>
      <c r="Y438" s="56"/>
    </row>
    <row r="439">
      <c r="A439" s="237"/>
      <c r="B439" s="130"/>
      <c r="C439" s="130"/>
      <c r="D439" s="130"/>
      <c r="E439" s="199"/>
      <c r="F439" s="130"/>
      <c r="G439" s="130"/>
      <c r="H439" s="130"/>
      <c r="I439" s="130"/>
      <c r="J439" s="130"/>
      <c r="K439" s="130"/>
      <c r="L439" s="130"/>
      <c r="M439" s="131"/>
      <c r="N439" s="132"/>
      <c r="O439" s="133"/>
      <c r="P439" s="238"/>
      <c r="Q439" s="190"/>
      <c r="R439" s="239"/>
      <c r="S439" s="190"/>
      <c r="T439" s="240"/>
      <c r="U439" s="241"/>
      <c r="V439" s="190"/>
      <c r="W439" s="190"/>
      <c r="X439" s="190"/>
      <c r="Y439" s="56"/>
    </row>
    <row r="440">
      <c r="A440" s="237"/>
      <c r="B440" s="130"/>
      <c r="C440" s="130"/>
      <c r="D440" s="130"/>
      <c r="E440" s="199"/>
      <c r="F440" s="130"/>
      <c r="G440" s="130"/>
      <c r="H440" s="130"/>
      <c r="I440" s="130"/>
      <c r="J440" s="130"/>
      <c r="K440" s="130"/>
      <c r="L440" s="130"/>
      <c r="M440" s="131"/>
      <c r="N440" s="132"/>
      <c r="O440" s="133"/>
      <c r="P440" s="238"/>
      <c r="Q440" s="190"/>
      <c r="R440" s="239"/>
      <c r="S440" s="190"/>
      <c r="T440" s="240"/>
      <c r="U440" s="241"/>
      <c r="V440" s="190"/>
      <c r="W440" s="190"/>
      <c r="X440" s="190"/>
      <c r="Y440" s="56"/>
    </row>
    <row r="441">
      <c r="A441" s="237"/>
      <c r="B441" s="130"/>
      <c r="C441" s="130"/>
      <c r="D441" s="130"/>
      <c r="E441" s="199"/>
      <c r="F441" s="130"/>
      <c r="G441" s="130"/>
      <c r="H441" s="130"/>
      <c r="I441" s="130"/>
      <c r="J441" s="130"/>
      <c r="K441" s="130"/>
      <c r="L441" s="130"/>
      <c r="M441" s="131"/>
      <c r="N441" s="132"/>
      <c r="O441" s="133"/>
      <c r="P441" s="238"/>
      <c r="Q441" s="190"/>
      <c r="R441" s="239"/>
      <c r="S441" s="190"/>
      <c r="T441" s="240"/>
      <c r="U441" s="241"/>
      <c r="V441" s="190"/>
      <c r="W441" s="190"/>
      <c r="X441" s="190"/>
      <c r="Y441" s="56"/>
    </row>
    <row r="442">
      <c r="A442" s="237"/>
      <c r="B442" s="130"/>
      <c r="C442" s="130"/>
      <c r="D442" s="130"/>
      <c r="E442" s="199"/>
      <c r="F442" s="130"/>
      <c r="G442" s="130"/>
      <c r="H442" s="130"/>
      <c r="I442" s="130"/>
      <c r="J442" s="130"/>
      <c r="K442" s="130"/>
      <c r="L442" s="130"/>
      <c r="M442" s="131"/>
      <c r="N442" s="132"/>
      <c r="O442" s="133"/>
      <c r="P442" s="238"/>
      <c r="Q442" s="190"/>
      <c r="R442" s="239"/>
      <c r="S442" s="190"/>
      <c r="T442" s="240"/>
      <c r="U442" s="241"/>
      <c r="V442" s="190"/>
      <c r="W442" s="190"/>
      <c r="X442" s="190"/>
      <c r="Y442" s="56"/>
    </row>
    <row r="443">
      <c r="A443" s="237"/>
      <c r="B443" s="130"/>
      <c r="C443" s="130"/>
      <c r="D443" s="130"/>
      <c r="E443" s="199"/>
      <c r="F443" s="130"/>
      <c r="G443" s="130"/>
      <c r="H443" s="130"/>
      <c r="I443" s="130"/>
      <c r="J443" s="130"/>
      <c r="K443" s="130"/>
      <c r="L443" s="130"/>
      <c r="M443" s="131"/>
      <c r="N443" s="132"/>
      <c r="O443" s="133"/>
      <c r="P443" s="238"/>
      <c r="Q443" s="190"/>
      <c r="R443" s="239"/>
      <c r="S443" s="190"/>
      <c r="T443" s="240"/>
      <c r="U443" s="241"/>
      <c r="V443" s="190"/>
      <c r="W443" s="190"/>
      <c r="X443" s="190"/>
      <c r="Y443" s="56"/>
    </row>
    <row r="444">
      <c r="A444" s="237"/>
      <c r="B444" s="130"/>
      <c r="C444" s="130"/>
      <c r="D444" s="130"/>
      <c r="E444" s="199"/>
      <c r="F444" s="130"/>
      <c r="G444" s="130"/>
      <c r="H444" s="130"/>
      <c r="I444" s="130"/>
      <c r="J444" s="130"/>
      <c r="K444" s="130"/>
      <c r="L444" s="130"/>
      <c r="M444" s="131"/>
      <c r="N444" s="132"/>
      <c r="O444" s="133"/>
      <c r="P444" s="238"/>
      <c r="Q444" s="190"/>
      <c r="R444" s="239"/>
      <c r="S444" s="190"/>
      <c r="T444" s="240"/>
      <c r="U444" s="241"/>
      <c r="V444" s="190"/>
      <c r="W444" s="190"/>
      <c r="X444" s="190"/>
      <c r="Y444" s="56"/>
    </row>
    <row r="445">
      <c r="A445" s="237"/>
      <c r="B445" s="130"/>
      <c r="C445" s="130"/>
      <c r="D445" s="130"/>
      <c r="E445" s="199"/>
      <c r="F445" s="130"/>
      <c r="G445" s="130"/>
      <c r="H445" s="130"/>
      <c r="I445" s="130"/>
      <c r="J445" s="130"/>
      <c r="K445" s="130"/>
      <c r="L445" s="130"/>
      <c r="M445" s="131"/>
      <c r="N445" s="132"/>
      <c r="O445" s="133"/>
      <c r="P445" s="238"/>
      <c r="Q445" s="190"/>
      <c r="R445" s="239"/>
      <c r="S445" s="190"/>
      <c r="T445" s="240"/>
      <c r="U445" s="241"/>
      <c r="V445" s="190"/>
      <c r="W445" s="190"/>
      <c r="X445" s="190"/>
      <c r="Y445" s="56"/>
    </row>
    <row r="446">
      <c r="A446" s="237"/>
      <c r="B446" s="130"/>
      <c r="C446" s="130"/>
      <c r="D446" s="130"/>
      <c r="E446" s="199"/>
      <c r="F446" s="130"/>
      <c r="G446" s="130"/>
      <c r="H446" s="130"/>
      <c r="I446" s="130"/>
      <c r="J446" s="130"/>
      <c r="K446" s="130"/>
      <c r="L446" s="130"/>
      <c r="M446" s="131"/>
      <c r="N446" s="132"/>
      <c r="O446" s="133"/>
      <c r="P446" s="238"/>
      <c r="Q446" s="190"/>
      <c r="R446" s="239"/>
      <c r="S446" s="190"/>
      <c r="T446" s="240"/>
      <c r="U446" s="241"/>
      <c r="V446" s="190"/>
      <c r="W446" s="190"/>
      <c r="X446" s="190"/>
      <c r="Y446" s="56"/>
    </row>
    <row r="447">
      <c r="A447" s="237"/>
      <c r="B447" s="130"/>
      <c r="C447" s="130"/>
      <c r="D447" s="130"/>
      <c r="E447" s="199"/>
      <c r="F447" s="130"/>
      <c r="G447" s="130"/>
      <c r="H447" s="130"/>
      <c r="I447" s="130"/>
      <c r="J447" s="130"/>
      <c r="K447" s="130"/>
      <c r="L447" s="130"/>
      <c r="M447" s="131"/>
      <c r="N447" s="132"/>
      <c r="O447" s="133"/>
      <c r="P447" s="238"/>
      <c r="Q447" s="190"/>
      <c r="R447" s="239"/>
      <c r="S447" s="190"/>
      <c r="T447" s="240"/>
      <c r="U447" s="241"/>
      <c r="V447" s="190"/>
      <c r="W447" s="190"/>
      <c r="X447" s="190"/>
      <c r="Y447" s="56"/>
    </row>
    <row r="448">
      <c r="A448" s="237"/>
      <c r="B448" s="130"/>
      <c r="C448" s="130"/>
      <c r="D448" s="130"/>
      <c r="E448" s="199"/>
      <c r="F448" s="130"/>
      <c r="G448" s="130"/>
      <c r="H448" s="130"/>
      <c r="I448" s="130"/>
      <c r="J448" s="130"/>
      <c r="K448" s="130"/>
      <c r="L448" s="130"/>
      <c r="M448" s="131"/>
      <c r="N448" s="132"/>
      <c r="O448" s="133"/>
      <c r="P448" s="238"/>
      <c r="Q448" s="190"/>
      <c r="R448" s="239"/>
      <c r="S448" s="190"/>
      <c r="T448" s="240"/>
      <c r="U448" s="241"/>
      <c r="V448" s="190"/>
      <c r="W448" s="190"/>
      <c r="X448" s="190"/>
      <c r="Y448" s="56"/>
    </row>
    <row r="449">
      <c r="A449" s="237"/>
      <c r="B449" s="130"/>
      <c r="C449" s="130"/>
      <c r="D449" s="130"/>
      <c r="E449" s="199"/>
      <c r="F449" s="130"/>
      <c r="G449" s="130"/>
      <c r="H449" s="130"/>
      <c r="I449" s="130"/>
      <c r="J449" s="130"/>
      <c r="K449" s="130"/>
      <c r="L449" s="130"/>
      <c r="M449" s="131"/>
      <c r="N449" s="132"/>
      <c r="O449" s="133"/>
      <c r="P449" s="238"/>
      <c r="Q449" s="190"/>
      <c r="R449" s="239"/>
      <c r="S449" s="190"/>
      <c r="T449" s="240"/>
      <c r="U449" s="241"/>
      <c r="V449" s="190"/>
      <c r="W449" s="190"/>
      <c r="X449" s="190"/>
      <c r="Y449" s="56"/>
    </row>
    <row r="450">
      <c r="A450" s="237"/>
      <c r="B450" s="130"/>
      <c r="C450" s="130"/>
      <c r="D450" s="130"/>
      <c r="E450" s="199"/>
      <c r="F450" s="130"/>
      <c r="G450" s="130"/>
      <c r="H450" s="130"/>
      <c r="I450" s="130"/>
      <c r="J450" s="130"/>
      <c r="K450" s="130"/>
      <c r="L450" s="130"/>
      <c r="M450" s="131"/>
      <c r="N450" s="132"/>
      <c r="O450" s="133"/>
      <c r="P450" s="238"/>
      <c r="Q450" s="190"/>
      <c r="R450" s="239"/>
      <c r="S450" s="190"/>
      <c r="T450" s="240"/>
      <c r="U450" s="241"/>
      <c r="V450" s="190"/>
      <c r="W450" s="190"/>
      <c r="X450" s="190"/>
      <c r="Y450" s="56"/>
    </row>
    <row r="451">
      <c r="A451" s="237"/>
      <c r="B451" s="130"/>
      <c r="C451" s="130"/>
      <c r="D451" s="130"/>
      <c r="E451" s="199"/>
      <c r="F451" s="130"/>
      <c r="G451" s="130"/>
      <c r="H451" s="130"/>
      <c r="I451" s="130"/>
      <c r="J451" s="130"/>
      <c r="K451" s="130"/>
      <c r="L451" s="130"/>
      <c r="M451" s="131"/>
      <c r="N451" s="132"/>
      <c r="O451" s="133"/>
      <c r="P451" s="238"/>
      <c r="Q451" s="190"/>
      <c r="R451" s="239"/>
      <c r="S451" s="190"/>
      <c r="T451" s="240"/>
      <c r="U451" s="241"/>
      <c r="V451" s="190"/>
      <c r="W451" s="190"/>
      <c r="X451" s="190"/>
      <c r="Y451" s="56"/>
    </row>
    <row r="452">
      <c r="A452" s="237"/>
      <c r="B452" s="130"/>
      <c r="C452" s="130"/>
      <c r="D452" s="130"/>
      <c r="E452" s="199"/>
      <c r="F452" s="130"/>
      <c r="G452" s="130"/>
      <c r="H452" s="130"/>
      <c r="I452" s="130"/>
      <c r="J452" s="130"/>
      <c r="K452" s="130"/>
      <c r="L452" s="130"/>
      <c r="M452" s="131"/>
      <c r="N452" s="132"/>
      <c r="O452" s="133"/>
      <c r="P452" s="238"/>
      <c r="Q452" s="190"/>
      <c r="R452" s="239"/>
      <c r="S452" s="190"/>
      <c r="T452" s="240"/>
      <c r="U452" s="241"/>
      <c r="V452" s="190"/>
      <c r="W452" s="190"/>
      <c r="X452" s="190"/>
      <c r="Y452" s="56"/>
    </row>
    <row r="453">
      <c r="A453" s="237"/>
      <c r="B453" s="130"/>
      <c r="C453" s="130"/>
      <c r="D453" s="130"/>
      <c r="E453" s="199"/>
      <c r="F453" s="130"/>
      <c r="G453" s="130"/>
      <c r="H453" s="130"/>
      <c r="I453" s="130"/>
      <c r="J453" s="130"/>
      <c r="K453" s="130"/>
      <c r="L453" s="130"/>
      <c r="M453" s="131"/>
      <c r="N453" s="132"/>
      <c r="O453" s="133"/>
      <c r="P453" s="238"/>
      <c r="Q453" s="190"/>
      <c r="R453" s="239"/>
      <c r="S453" s="190"/>
      <c r="T453" s="240"/>
      <c r="U453" s="241"/>
      <c r="V453" s="190"/>
      <c r="W453" s="190"/>
      <c r="X453" s="190"/>
      <c r="Y453" s="56"/>
    </row>
    <row r="454">
      <c r="A454" s="237"/>
      <c r="B454" s="130"/>
      <c r="C454" s="130"/>
      <c r="D454" s="130"/>
      <c r="E454" s="199"/>
      <c r="F454" s="130"/>
      <c r="G454" s="130"/>
      <c r="H454" s="130"/>
      <c r="I454" s="130"/>
      <c r="J454" s="130"/>
      <c r="K454" s="130"/>
      <c r="L454" s="130"/>
      <c r="M454" s="131"/>
      <c r="N454" s="132"/>
      <c r="O454" s="133"/>
      <c r="P454" s="238"/>
      <c r="Q454" s="190"/>
      <c r="R454" s="239"/>
      <c r="S454" s="190"/>
      <c r="T454" s="240"/>
      <c r="U454" s="241"/>
      <c r="V454" s="190"/>
      <c r="W454" s="190"/>
      <c r="X454" s="190"/>
      <c r="Y454" s="56"/>
    </row>
    <row r="455">
      <c r="A455" s="237"/>
      <c r="B455" s="130"/>
      <c r="C455" s="130"/>
      <c r="D455" s="130"/>
      <c r="E455" s="199"/>
      <c r="F455" s="130"/>
      <c r="G455" s="130"/>
      <c r="H455" s="130"/>
      <c r="I455" s="130"/>
      <c r="J455" s="130"/>
      <c r="K455" s="130"/>
      <c r="L455" s="130"/>
      <c r="M455" s="131"/>
      <c r="N455" s="132"/>
      <c r="O455" s="133"/>
      <c r="P455" s="238"/>
      <c r="Q455" s="190"/>
      <c r="R455" s="239"/>
      <c r="S455" s="190"/>
      <c r="T455" s="240"/>
      <c r="U455" s="241"/>
      <c r="V455" s="190"/>
      <c r="W455" s="190"/>
      <c r="X455" s="190"/>
      <c r="Y455" s="56"/>
    </row>
    <row r="456">
      <c r="A456" s="237"/>
      <c r="B456" s="130"/>
      <c r="C456" s="130"/>
      <c r="D456" s="130"/>
      <c r="E456" s="199"/>
      <c r="F456" s="130"/>
      <c r="G456" s="130"/>
      <c r="H456" s="130"/>
      <c r="I456" s="130"/>
      <c r="J456" s="130"/>
      <c r="K456" s="130"/>
      <c r="L456" s="130"/>
      <c r="M456" s="131"/>
      <c r="N456" s="132"/>
      <c r="O456" s="133"/>
      <c r="P456" s="238"/>
      <c r="Q456" s="190"/>
      <c r="R456" s="239"/>
      <c r="S456" s="190"/>
      <c r="T456" s="240"/>
      <c r="U456" s="241"/>
      <c r="V456" s="190"/>
      <c r="W456" s="190"/>
      <c r="X456" s="190"/>
      <c r="Y456" s="56"/>
    </row>
    <row r="457">
      <c r="A457" s="237"/>
      <c r="B457" s="130"/>
      <c r="C457" s="130"/>
      <c r="D457" s="130"/>
      <c r="E457" s="199"/>
      <c r="F457" s="130"/>
      <c r="G457" s="130"/>
      <c r="H457" s="130"/>
      <c r="I457" s="130"/>
      <c r="J457" s="130"/>
      <c r="K457" s="130"/>
      <c r="L457" s="130"/>
      <c r="M457" s="131"/>
      <c r="N457" s="132"/>
      <c r="O457" s="133"/>
      <c r="P457" s="238"/>
      <c r="Q457" s="190"/>
      <c r="R457" s="239"/>
      <c r="S457" s="190"/>
      <c r="T457" s="240"/>
      <c r="U457" s="241"/>
      <c r="V457" s="190"/>
      <c r="W457" s="190"/>
      <c r="X457" s="190"/>
      <c r="Y457" s="56"/>
    </row>
    <row r="458">
      <c r="A458" s="237"/>
      <c r="B458" s="130"/>
      <c r="C458" s="130"/>
      <c r="D458" s="130"/>
      <c r="E458" s="199"/>
      <c r="F458" s="130"/>
      <c r="G458" s="130"/>
      <c r="H458" s="130"/>
      <c r="I458" s="130"/>
      <c r="J458" s="130"/>
      <c r="K458" s="130"/>
      <c r="L458" s="130"/>
      <c r="M458" s="131"/>
      <c r="N458" s="132"/>
      <c r="O458" s="133"/>
      <c r="P458" s="238"/>
      <c r="Q458" s="190"/>
      <c r="R458" s="239"/>
      <c r="S458" s="190"/>
      <c r="T458" s="240"/>
      <c r="U458" s="241"/>
      <c r="V458" s="190"/>
      <c r="W458" s="190"/>
      <c r="X458" s="190"/>
      <c r="Y458" s="56"/>
    </row>
    <row r="459">
      <c r="A459" s="237"/>
      <c r="B459" s="130"/>
      <c r="C459" s="130"/>
      <c r="D459" s="130"/>
      <c r="E459" s="199"/>
      <c r="F459" s="130"/>
      <c r="G459" s="130"/>
      <c r="H459" s="130"/>
      <c r="I459" s="130"/>
      <c r="J459" s="130"/>
      <c r="K459" s="130"/>
      <c r="L459" s="130"/>
      <c r="M459" s="131"/>
      <c r="N459" s="132"/>
      <c r="O459" s="133"/>
      <c r="P459" s="238"/>
      <c r="Q459" s="190"/>
      <c r="R459" s="239"/>
      <c r="S459" s="190"/>
      <c r="T459" s="240"/>
      <c r="U459" s="241"/>
      <c r="V459" s="190"/>
      <c r="W459" s="190"/>
      <c r="X459" s="190"/>
      <c r="Y459" s="56"/>
    </row>
    <row r="460">
      <c r="A460" s="237"/>
      <c r="B460" s="130"/>
      <c r="C460" s="130"/>
      <c r="D460" s="130"/>
      <c r="E460" s="199"/>
      <c r="F460" s="130"/>
      <c r="G460" s="130"/>
      <c r="H460" s="130"/>
      <c r="I460" s="130"/>
      <c r="J460" s="130"/>
      <c r="K460" s="130"/>
      <c r="L460" s="130"/>
      <c r="M460" s="131"/>
      <c r="N460" s="132"/>
      <c r="O460" s="133"/>
      <c r="P460" s="238"/>
      <c r="Q460" s="190"/>
      <c r="R460" s="239"/>
      <c r="S460" s="190"/>
      <c r="T460" s="240"/>
      <c r="U460" s="241"/>
      <c r="V460" s="190"/>
      <c r="W460" s="190"/>
      <c r="X460" s="190"/>
      <c r="Y460" s="56"/>
    </row>
    <row r="461">
      <c r="A461" s="237"/>
      <c r="B461" s="130"/>
      <c r="C461" s="130"/>
      <c r="D461" s="130"/>
      <c r="E461" s="199"/>
      <c r="F461" s="130"/>
      <c r="G461" s="130"/>
      <c r="H461" s="130"/>
      <c r="I461" s="130"/>
      <c r="J461" s="130"/>
      <c r="K461" s="130"/>
      <c r="L461" s="130"/>
      <c r="M461" s="131"/>
      <c r="N461" s="132"/>
      <c r="O461" s="133"/>
      <c r="P461" s="238"/>
      <c r="Q461" s="190"/>
      <c r="R461" s="239"/>
      <c r="S461" s="190"/>
      <c r="T461" s="240"/>
      <c r="U461" s="241"/>
      <c r="V461" s="190"/>
      <c r="W461" s="190"/>
      <c r="X461" s="190"/>
      <c r="Y461" s="56"/>
    </row>
    <row r="462">
      <c r="A462" s="237"/>
      <c r="B462" s="130"/>
      <c r="C462" s="130"/>
      <c r="D462" s="130"/>
      <c r="E462" s="199"/>
      <c r="F462" s="130"/>
      <c r="G462" s="130"/>
      <c r="H462" s="130"/>
      <c r="I462" s="130"/>
      <c r="J462" s="130"/>
      <c r="K462" s="130"/>
      <c r="L462" s="130"/>
      <c r="M462" s="131"/>
      <c r="N462" s="132"/>
      <c r="O462" s="133"/>
      <c r="P462" s="238"/>
      <c r="Q462" s="190"/>
      <c r="R462" s="239"/>
      <c r="S462" s="190"/>
      <c r="T462" s="240"/>
      <c r="U462" s="241"/>
      <c r="V462" s="190"/>
      <c r="W462" s="190"/>
      <c r="X462" s="190"/>
      <c r="Y462" s="56"/>
    </row>
    <row r="463">
      <c r="A463" s="237"/>
      <c r="B463" s="130"/>
      <c r="C463" s="130"/>
      <c r="D463" s="130"/>
      <c r="E463" s="199"/>
      <c r="F463" s="130"/>
      <c r="G463" s="130"/>
      <c r="H463" s="130"/>
      <c r="I463" s="130"/>
      <c r="J463" s="130"/>
      <c r="K463" s="130"/>
      <c r="L463" s="130"/>
      <c r="M463" s="131"/>
      <c r="N463" s="132"/>
      <c r="O463" s="133"/>
      <c r="P463" s="238"/>
      <c r="Q463" s="190"/>
      <c r="R463" s="239"/>
      <c r="S463" s="190"/>
      <c r="T463" s="240"/>
      <c r="U463" s="241"/>
      <c r="V463" s="190"/>
      <c r="W463" s="190"/>
      <c r="X463" s="190"/>
      <c r="Y463" s="56"/>
    </row>
    <row r="464">
      <c r="A464" s="237"/>
      <c r="B464" s="130"/>
      <c r="C464" s="130"/>
      <c r="D464" s="130"/>
      <c r="E464" s="199"/>
      <c r="F464" s="130"/>
      <c r="G464" s="130"/>
      <c r="H464" s="130"/>
      <c r="I464" s="130"/>
      <c r="J464" s="130"/>
      <c r="K464" s="130"/>
      <c r="L464" s="130"/>
      <c r="M464" s="131"/>
      <c r="N464" s="132"/>
      <c r="O464" s="133"/>
      <c r="P464" s="238"/>
      <c r="Q464" s="190"/>
      <c r="R464" s="239"/>
      <c r="S464" s="190"/>
      <c r="T464" s="240"/>
      <c r="U464" s="241"/>
      <c r="V464" s="190"/>
      <c r="W464" s="190"/>
      <c r="X464" s="190"/>
      <c r="Y464" s="56"/>
    </row>
    <row r="465">
      <c r="A465" s="237"/>
      <c r="B465" s="130"/>
      <c r="C465" s="130"/>
      <c r="D465" s="130"/>
      <c r="E465" s="199"/>
      <c r="F465" s="130"/>
      <c r="G465" s="130"/>
      <c r="H465" s="130"/>
      <c r="I465" s="130"/>
      <c r="J465" s="130"/>
      <c r="K465" s="130"/>
      <c r="L465" s="130"/>
      <c r="M465" s="131"/>
      <c r="N465" s="132"/>
      <c r="O465" s="133"/>
      <c r="P465" s="238"/>
      <c r="Q465" s="190"/>
      <c r="R465" s="239"/>
      <c r="S465" s="190"/>
      <c r="T465" s="240"/>
      <c r="U465" s="241"/>
      <c r="V465" s="190"/>
      <c r="W465" s="190"/>
      <c r="X465" s="190"/>
      <c r="Y465" s="56"/>
    </row>
    <row r="466">
      <c r="A466" s="237"/>
      <c r="B466" s="130"/>
      <c r="C466" s="130"/>
      <c r="D466" s="130"/>
      <c r="E466" s="199"/>
      <c r="F466" s="130"/>
      <c r="G466" s="130"/>
      <c r="H466" s="130"/>
      <c r="I466" s="130"/>
      <c r="J466" s="130"/>
      <c r="K466" s="130"/>
      <c r="L466" s="130"/>
      <c r="M466" s="131"/>
      <c r="N466" s="132"/>
      <c r="O466" s="133"/>
      <c r="P466" s="238"/>
      <c r="Q466" s="190"/>
      <c r="R466" s="239"/>
      <c r="S466" s="190"/>
      <c r="T466" s="240"/>
      <c r="U466" s="241"/>
      <c r="V466" s="190"/>
      <c r="W466" s="190"/>
      <c r="X466" s="190"/>
      <c r="Y466" s="56"/>
    </row>
    <row r="467">
      <c r="A467" s="237"/>
      <c r="B467" s="130"/>
      <c r="C467" s="130"/>
      <c r="D467" s="130"/>
      <c r="E467" s="199"/>
      <c r="F467" s="130"/>
      <c r="G467" s="130"/>
      <c r="H467" s="130"/>
      <c r="I467" s="130"/>
      <c r="J467" s="130"/>
      <c r="K467" s="130"/>
      <c r="L467" s="130"/>
      <c r="M467" s="131"/>
      <c r="N467" s="132"/>
      <c r="O467" s="133"/>
      <c r="P467" s="238"/>
      <c r="Q467" s="190"/>
      <c r="R467" s="239"/>
      <c r="S467" s="190"/>
      <c r="T467" s="240"/>
      <c r="U467" s="241"/>
      <c r="V467" s="190"/>
      <c r="W467" s="190"/>
      <c r="X467" s="190"/>
      <c r="Y467" s="56"/>
    </row>
    <row r="468">
      <c r="A468" s="237"/>
      <c r="B468" s="130"/>
      <c r="C468" s="130"/>
      <c r="D468" s="130"/>
      <c r="E468" s="199"/>
      <c r="F468" s="130"/>
      <c r="G468" s="130"/>
      <c r="H468" s="130"/>
      <c r="I468" s="130"/>
      <c r="J468" s="130"/>
      <c r="K468" s="130"/>
      <c r="L468" s="130"/>
      <c r="M468" s="131"/>
      <c r="N468" s="132"/>
      <c r="O468" s="133"/>
      <c r="P468" s="238"/>
      <c r="Q468" s="190"/>
      <c r="R468" s="239"/>
      <c r="S468" s="190"/>
      <c r="T468" s="240"/>
      <c r="U468" s="241"/>
      <c r="V468" s="190"/>
      <c r="W468" s="190"/>
      <c r="X468" s="190"/>
      <c r="Y468" s="56"/>
    </row>
    <row r="469">
      <c r="A469" s="237"/>
      <c r="B469" s="130"/>
      <c r="C469" s="130"/>
      <c r="D469" s="130"/>
      <c r="E469" s="199"/>
      <c r="F469" s="130"/>
      <c r="G469" s="130"/>
      <c r="H469" s="130"/>
      <c r="I469" s="130"/>
      <c r="J469" s="130"/>
      <c r="K469" s="130"/>
      <c r="L469" s="130"/>
      <c r="M469" s="131"/>
      <c r="N469" s="132"/>
      <c r="O469" s="133"/>
      <c r="P469" s="238"/>
      <c r="Q469" s="190"/>
      <c r="R469" s="239"/>
      <c r="S469" s="190"/>
      <c r="T469" s="240"/>
      <c r="U469" s="241"/>
      <c r="V469" s="190"/>
      <c r="W469" s="190"/>
      <c r="X469" s="190"/>
      <c r="Y469" s="56"/>
    </row>
    <row r="470">
      <c r="A470" s="237"/>
      <c r="B470" s="130"/>
      <c r="C470" s="130"/>
      <c r="D470" s="130"/>
      <c r="E470" s="199"/>
      <c r="F470" s="130"/>
      <c r="G470" s="130"/>
      <c r="H470" s="130"/>
      <c r="I470" s="130"/>
      <c r="J470" s="130"/>
      <c r="K470" s="130"/>
      <c r="L470" s="130"/>
      <c r="M470" s="131"/>
      <c r="N470" s="132"/>
      <c r="O470" s="133"/>
      <c r="P470" s="238"/>
      <c r="Q470" s="190"/>
      <c r="R470" s="239"/>
      <c r="S470" s="190"/>
      <c r="T470" s="240"/>
      <c r="U470" s="241"/>
      <c r="V470" s="190"/>
      <c r="W470" s="190"/>
      <c r="X470" s="190"/>
      <c r="Y470" s="56"/>
    </row>
    <row r="471">
      <c r="A471" s="237"/>
      <c r="B471" s="130"/>
      <c r="C471" s="130"/>
      <c r="D471" s="130"/>
      <c r="E471" s="199"/>
      <c r="F471" s="130"/>
      <c r="G471" s="130"/>
      <c r="H471" s="130"/>
      <c r="I471" s="130"/>
      <c r="J471" s="130"/>
      <c r="K471" s="130"/>
      <c r="L471" s="130"/>
      <c r="M471" s="131"/>
      <c r="N471" s="132"/>
      <c r="O471" s="133"/>
      <c r="P471" s="238"/>
      <c r="Q471" s="190"/>
      <c r="R471" s="239"/>
      <c r="S471" s="190"/>
      <c r="T471" s="240"/>
      <c r="U471" s="241"/>
      <c r="V471" s="190"/>
      <c r="W471" s="190"/>
      <c r="X471" s="190"/>
      <c r="Y471" s="56"/>
    </row>
    <row r="472">
      <c r="A472" s="237"/>
      <c r="B472" s="130"/>
      <c r="C472" s="130"/>
      <c r="D472" s="130"/>
      <c r="E472" s="199"/>
      <c r="F472" s="130"/>
      <c r="G472" s="130"/>
      <c r="H472" s="130"/>
      <c r="I472" s="130"/>
      <c r="J472" s="130"/>
      <c r="K472" s="130"/>
      <c r="L472" s="130"/>
      <c r="M472" s="131"/>
      <c r="N472" s="132"/>
      <c r="O472" s="133"/>
      <c r="P472" s="238"/>
      <c r="Q472" s="190"/>
      <c r="R472" s="239"/>
      <c r="S472" s="190"/>
      <c r="T472" s="240"/>
      <c r="U472" s="241"/>
      <c r="V472" s="190"/>
      <c r="W472" s="190"/>
      <c r="X472" s="190"/>
      <c r="Y472" s="56"/>
    </row>
    <row r="473">
      <c r="A473" s="237"/>
      <c r="B473" s="130"/>
      <c r="C473" s="130"/>
      <c r="D473" s="130"/>
      <c r="E473" s="199"/>
      <c r="F473" s="130"/>
      <c r="G473" s="130"/>
      <c r="H473" s="130"/>
      <c r="I473" s="130"/>
      <c r="J473" s="130"/>
      <c r="K473" s="130"/>
      <c r="L473" s="130"/>
      <c r="M473" s="131"/>
      <c r="N473" s="132"/>
      <c r="O473" s="133"/>
      <c r="P473" s="238"/>
      <c r="Q473" s="190"/>
      <c r="R473" s="239"/>
      <c r="S473" s="190"/>
      <c r="T473" s="240"/>
      <c r="U473" s="241"/>
      <c r="V473" s="190"/>
      <c r="W473" s="190"/>
      <c r="X473" s="190"/>
      <c r="Y473" s="56"/>
    </row>
    <row r="474">
      <c r="A474" s="237"/>
      <c r="B474" s="130"/>
      <c r="C474" s="130"/>
      <c r="D474" s="130"/>
      <c r="E474" s="199"/>
      <c r="F474" s="130"/>
      <c r="G474" s="130"/>
      <c r="H474" s="130"/>
      <c r="I474" s="130"/>
      <c r="J474" s="130"/>
      <c r="K474" s="130"/>
      <c r="L474" s="130"/>
      <c r="M474" s="131"/>
      <c r="N474" s="132"/>
      <c r="O474" s="133"/>
      <c r="P474" s="238"/>
      <c r="Q474" s="190"/>
      <c r="R474" s="239"/>
      <c r="S474" s="190"/>
      <c r="T474" s="240"/>
      <c r="U474" s="241"/>
      <c r="V474" s="190"/>
      <c r="W474" s="190"/>
      <c r="X474" s="190"/>
      <c r="Y474" s="56"/>
    </row>
    <row r="475">
      <c r="A475" s="237"/>
      <c r="B475" s="130"/>
      <c r="C475" s="130"/>
      <c r="D475" s="130"/>
      <c r="E475" s="199"/>
      <c r="F475" s="130"/>
      <c r="G475" s="130"/>
      <c r="H475" s="130"/>
      <c r="I475" s="130"/>
      <c r="J475" s="130"/>
      <c r="K475" s="130"/>
      <c r="L475" s="130"/>
      <c r="M475" s="131"/>
      <c r="N475" s="132"/>
      <c r="O475" s="133"/>
      <c r="P475" s="238"/>
      <c r="Q475" s="190"/>
      <c r="R475" s="239"/>
      <c r="S475" s="190"/>
      <c r="T475" s="240"/>
      <c r="U475" s="241"/>
      <c r="V475" s="190"/>
      <c r="W475" s="190"/>
      <c r="X475" s="190"/>
      <c r="Y475" s="56"/>
    </row>
    <row r="476">
      <c r="A476" s="237"/>
      <c r="B476" s="130"/>
      <c r="C476" s="130"/>
      <c r="D476" s="130"/>
      <c r="E476" s="199"/>
      <c r="F476" s="130"/>
      <c r="G476" s="130"/>
      <c r="H476" s="130"/>
      <c r="I476" s="130"/>
      <c r="J476" s="130"/>
      <c r="K476" s="130"/>
      <c r="L476" s="130"/>
      <c r="M476" s="131"/>
      <c r="N476" s="132"/>
      <c r="O476" s="133"/>
      <c r="P476" s="238"/>
      <c r="Q476" s="190"/>
      <c r="R476" s="239"/>
      <c r="S476" s="190"/>
      <c r="T476" s="240"/>
      <c r="U476" s="241"/>
      <c r="V476" s="190"/>
      <c r="W476" s="190"/>
      <c r="X476" s="190"/>
      <c r="Y476" s="56"/>
    </row>
    <row r="477">
      <c r="A477" s="237"/>
      <c r="B477" s="130"/>
      <c r="C477" s="130"/>
      <c r="D477" s="130"/>
      <c r="E477" s="199"/>
      <c r="F477" s="130"/>
      <c r="G477" s="130"/>
      <c r="H477" s="130"/>
      <c r="I477" s="130"/>
      <c r="J477" s="130"/>
      <c r="K477" s="130"/>
      <c r="L477" s="130"/>
      <c r="M477" s="131"/>
      <c r="N477" s="132"/>
      <c r="O477" s="133"/>
      <c r="P477" s="238"/>
      <c r="Q477" s="190"/>
      <c r="R477" s="239"/>
      <c r="S477" s="190"/>
      <c r="T477" s="240"/>
      <c r="U477" s="241"/>
      <c r="V477" s="190"/>
      <c r="W477" s="190"/>
      <c r="X477" s="190"/>
      <c r="Y477" s="56"/>
    </row>
    <row r="478">
      <c r="A478" s="237"/>
      <c r="B478" s="130"/>
      <c r="C478" s="130"/>
      <c r="D478" s="130"/>
      <c r="E478" s="199"/>
      <c r="F478" s="130"/>
      <c r="G478" s="130"/>
      <c r="H478" s="130"/>
      <c r="I478" s="130"/>
      <c r="J478" s="130"/>
      <c r="K478" s="130"/>
      <c r="L478" s="130"/>
      <c r="M478" s="131"/>
      <c r="N478" s="132"/>
      <c r="O478" s="133"/>
      <c r="P478" s="238"/>
      <c r="Q478" s="190"/>
      <c r="R478" s="239"/>
      <c r="S478" s="190"/>
      <c r="T478" s="240"/>
      <c r="U478" s="241"/>
      <c r="V478" s="190"/>
      <c r="W478" s="190"/>
      <c r="X478" s="190"/>
      <c r="Y478" s="56"/>
    </row>
    <row r="479">
      <c r="A479" s="237"/>
      <c r="B479" s="130"/>
      <c r="C479" s="130"/>
      <c r="D479" s="130"/>
      <c r="E479" s="199"/>
      <c r="F479" s="130"/>
      <c r="G479" s="130"/>
      <c r="H479" s="130"/>
      <c r="I479" s="130"/>
      <c r="J479" s="130"/>
      <c r="K479" s="130"/>
      <c r="L479" s="130"/>
      <c r="M479" s="131"/>
      <c r="N479" s="132"/>
      <c r="O479" s="133"/>
      <c r="P479" s="238"/>
      <c r="Q479" s="190"/>
      <c r="R479" s="239"/>
      <c r="S479" s="190"/>
      <c r="T479" s="240"/>
      <c r="U479" s="241"/>
      <c r="V479" s="190"/>
      <c r="W479" s="190"/>
      <c r="X479" s="190"/>
      <c r="Y479" s="56"/>
    </row>
    <row r="480">
      <c r="A480" s="237"/>
      <c r="B480" s="130"/>
      <c r="C480" s="130"/>
      <c r="D480" s="130"/>
      <c r="E480" s="199"/>
      <c r="F480" s="130"/>
      <c r="G480" s="130"/>
      <c r="H480" s="130"/>
      <c r="I480" s="130"/>
      <c r="J480" s="130"/>
      <c r="K480" s="130"/>
      <c r="L480" s="130"/>
      <c r="M480" s="131"/>
      <c r="N480" s="132"/>
      <c r="O480" s="133"/>
      <c r="P480" s="238"/>
      <c r="Q480" s="190"/>
      <c r="R480" s="239"/>
      <c r="S480" s="190"/>
      <c r="T480" s="240"/>
      <c r="U480" s="241"/>
      <c r="V480" s="190"/>
      <c r="W480" s="190"/>
      <c r="X480" s="190"/>
      <c r="Y480" s="56"/>
    </row>
    <row r="481">
      <c r="A481" s="237"/>
      <c r="B481" s="130"/>
      <c r="C481" s="130"/>
      <c r="D481" s="130"/>
      <c r="E481" s="199"/>
      <c r="F481" s="130"/>
      <c r="G481" s="130"/>
      <c r="H481" s="130"/>
      <c r="I481" s="130"/>
      <c r="J481" s="130"/>
      <c r="K481" s="130"/>
      <c r="L481" s="130"/>
      <c r="M481" s="131"/>
      <c r="N481" s="132"/>
      <c r="O481" s="133"/>
      <c r="P481" s="238"/>
      <c r="Q481" s="190"/>
      <c r="R481" s="239"/>
      <c r="S481" s="190"/>
      <c r="T481" s="240"/>
      <c r="U481" s="241"/>
      <c r="V481" s="190"/>
      <c r="W481" s="190"/>
      <c r="X481" s="190"/>
      <c r="Y481" s="56"/>
    </row>
    <row r="482">
      <c r="A482" s="237"/>
      <c r="B482" s="130"/>
      <c r="C482" s="130"/>
      <c r="D482" s="130"/>
      <c r="E482" s="199"/>
      <c r="F482" s="130"/>
      <c r="G482" s="130"/>
      <c r="H482" s="130"/>
      <c r="I482" s="130"/>
      <c r="J482" s="130"/>
      <c r="K482" s="130"/>
      <c r="L482" s="130"/>
      <c r="M482" s="131"/>
      <c r="N482" s="132"/>
      <c r="O482" s="133"/>
      <c r="P482" s="238"/>
      <c r="Q482" s="190"/>
      <c r="R482" s="239"/>
      <c r="S482" s="190"/>
      <c r="T482" s="240"/>
      <c r="U482" s="241"/>
      <c r="V482" s="190"/>
      <c r="W482" s="190"/>
      <c r="X482" s="190"/>
      <c r="Y482" s="56"/>
    </row>
    <row r="483">
      <c r="A483" s="237"/>
      <c r="B483" s="130"/>
      <c r="C483" s="130"/>
      <c r="D483" s="130"/>
      <c r="E483" s="199"/>
      <c r="F483" s="130"/>
      <c r="G483" s="130"/>
      <c r="H483" s="130"/>
      <c r="I483" s="130"/>
      <c r="J483" s="130"/>
      <c r="K483" s="130"/>
      <c r="L483" s="130"/>
      <c r="M483" s="131"/>
      <c r="N483" s="132"/>
      <c r="O483" s="133"/>
      <c r="P483" s="238"/>
      <c r="Q483" s="190"/>
      <c r="R483" s="239"/>
      <c r="S483" s="190"/>
      <c r="T483" s="240"/>
      <c r="U483" s="241"/>
      <c r="V483" s="190"/>
      <c r="W483" s="190"/>
      <c r="X483" s="190"/>
      <c r="Y483" s="56"/>
    </row>
    <row r="484">
      <c r="A484" s="237"/>
      <c r="B484" s="130"/>
      <c r="C484" s="130"/>
      <c r="D484" s="130"/>
      <c r="E484" s="199"/>
      <c r="F484" s="130"/>
      <c r="G484" s="130"/>
      <c r="H484" s="130"/>
      <c r="I484" s="130"/>
      <c r="J484" s="130"/>
      <c r="K484" s="130"/>
      <c r="L484" s="130"/>
      <c r="M484" s="131"/>
      <c r="N484" s="132"/>
      <c r="O484" s="133"/>
      <c r="P484" s="238"/>
      <c r="Q484" s="190"/>
      <c r="R484" s="239"/>
      <c r="S484" s="190"/>
      <c r="T484" s="240"/>
      <c r="U484" s="241"/>
      <c r="V484" s="190"/>
      <c r="W484" s="190"/>
      <c r="X484" s="190"/>
      <c r="Y484" s="56"/>
    </row>
    <row r="485">
      <c r="A485" s="237"/>
      <c r="B485" s="130"/>
      <c r="C485" s="130"/>
      <c r="D485" s="130"/>
      <c r="E485" s="199"/>
      <c r="F485" s="130"/>
      <c r="G485" s="130"/>
      <c r="H485" s="130"/>
      <c r="I485" s="130"/>
      <c r="J485" s="130"/>
      <c r="K485" s="130"/>
      <c r="L485" s="130"/>
      <c r="M485" s="131"/>
      <c r="N485" s="132"/>
      <c r="O485" s="133"/>
      <c r="P485" s="238"/>
      <c r="Q485" s="190"/>
      <c r="R485" s="239"/>
      <c r="S485" s="190"/>
      <c r="T485" s="240"/>
      <c r="U485" s="241"/>
      <c r="V485" s="190"/>
      <c r="W485" s="190"/>
      <c r="X485" s="190"/>
      <c r="Y485" s="56"/>
    </row>
    <row r="486">
      <c r="A486" s="237"/>
      <c r="B486" s="130"/>
      <c r="C486" s="130"/>
      <c r="D486" s="130"/>
      <c r="E486" s="199"/>
      <c r="F486" s="130"/>
      <c r="G486" s="130"/>
      <c r="H486" s="130"/>
      <c r="I486" s="130"/>
      <c r="J486" s="130"/>
      <c r="K486" s="130"/>
      <c r="L486" s="130"/>
      <c r="M486" s="131"/>
      <c r="N486" s="132"/>
      <c r="O486" s="133"/>
      <c r="P486" s="238"/>
      <c r="Q486" s="190"/>
      <c r="R486" s="239"/>
      <c r="S486" s="190"/>
      <c r="T486" s="240"/>
      <c r="U486" s="241"/>
      <c r="V486" s="190"/>
      <c r="W486" s="190"/>
      <c r="X486" s="190"/>
      <c r="Y486" s="56"/>
    </row>
    <row r="487">
      <c r="A487" s="237"/>
      <c r="B487" s="130"/>
      <c r="C487" s="130"/>
      <c r="D487" s="130"/>
      <c r="E487" s="199"/>
      <c r="F487" s="130"/>
      <c r="G487" s="130"/>
      <c r="H487" s="130"/>
      <c r="I487" s="130"/>
      <c r="J487" s="130"/>
      <c r="K487" s="130"/>
      <c r="L487" s="130"/>
      <c r="M487" s="131"/>
      <c r="N487" s="132"/>
      <c r="O487" s="133"/>
      <c r="P487" s="238"/>
      <c r="Q487" s="190"/>
      <c r="R487" s="239"/>
      <c r="S487" s="190"/>
      <c r="T487" s="240"/>
      <c r="U487" s="241"/>
      <c r="V487" s="190"/>
      <c r="W487" s="190"/>
      <c r="X487" s="190"/>
      <c r="Y487" s="56"/>
    </row>
    <row r="488">
      <c r="A488" s="237"/>
      <c r="B488" s="130"/>
      <c r="C488" s="130"/>
      <c r="D488" s="130"/>
      <c r="E488" s="199"/>
      <c r="F488" s="130"/>
      <c r="G488" s="130"/>
      <c r="H488" s="130"/>
      <c r="I488" s="130"/>
      <c r="J488" s="130"/>
      <c r="K488" s="130"/>
      <c r="L488" s="130"/>
      <c r="M488" s="131"/>
      <c r="N488" s="132"/>
      <c r="O488" s="133"/>
      <c r="P488" s="238"/>
      <c r="Q488" s="190"/>
      <c r="R488" s="239"/>
      <c r="S488" s="190"/>
      <c r="T488" s="240"/>
      <c r="U488" s="241"/>
      <c r="V488" s="190"/>
      <c r="W488" s="190"/>
      <c r="X488" s="190"/>
      <c r="Y488" s="56"/>
    </row>
    <row r="489">
      <c r="A489" s="237"/>
      <c r="B489" s="130"/>
      <c r="C489" s="130"/>
      <c r="D489" s="130"/>
      <c r="E489" s="199"/>
      <c r="F489" s="130"/>
      <c r="G489" s="130"/>
      <c r="H489" s="130"/>
      <c r="I489" s="130"/>
      <c r="J489" s="130"/>
      <c r="K489" s="130"/>
      <c r="L489" s="130"/>
      <c r="M489" s="131"/>
      <c r="N489" s="132"/>
      <c r="O489" s="133"/>
      <c r="P489" s="238"/>
      <c r="Q489" s="190"/>
      <c r="R489" s="239"/>
      <c r="S489" s="190"/>
      <c r="T489" s="240"/>
      <c r="U489" s="241"/>
      <c r="V489" s="190"/>
      <c r="W489" s="190"/>
      <c r="X489" s="190"/>
      <c r="Y489" s="56"/>
    </row>
    <row r="490">
      <c r="A490" s="237"/>
      <c r="B490" s="130"/>
      <c r="C490" s="130"/>
      <c r="D490" s="130"/>
      <c r="E490" s="199"/>
      <c r="F490" s="130"/>
      <c r="G490" s="130"/>
      <c r="H490" s="130"/>
      <c r="I490" s="130"/>
      <c r="J490" s="130"/>
      <c r="K490" s="130"/>
      <c r="L490" s="130"/>
      <c r="M490" s="131"/>
      <c r="N490" s="132"/>
      <c r="O490" s="133"/>
      <c r="P490" s="238"/>
      <c r="Q490" s="190"/>
      <c r="R490" s="239"/>
      <c r="S490" s="190"/>
      <c r="T490" s="240"/>
      <c r="U490" s="241"/>
      <c r="V490" s="190"/>
      <c r="W490" s="190"/>
      <c r="X490" s="190"/>
      <c r="Y490" s="56"/>
    </row>
    <row r="491">
      <c r="A491" s="237"/>
      <c r="B491" s="130"/>
      <c r="C491" s="130"/>
      <c r="D491" s="130"/>
      <c r="E491" s="199"/>
      <c r="F491" s="130"/>
      <c r="G491" s="130"/>
      <c r="H491" s="130"/>
      <c r="I491" s="130"/>
      <c r="J491" s="130"/>
      <c r="K491" s="130"/>
      <c r="L491" s="130"/>
      <c r="M491" s="131"/>
      <c r="N491" s="132"/>
      <c r="O491" s="133"/>
      <c r="P491" s="238"/>
      <c r="Q491" s="190"/>
      <c r="R491" s="239"/>
      <c r="S491" s="190"/>
      <c r="T491" s="240"/>
      <c r="U491" s="241"/>
      <c r="V491" s="190"/>
      <c r="W491" s="190"/>
      <c r="X491" s="190"/>
      <c r="Y491" s="56"/>
    </row>
    <row r="492">
      <c r="A492" s="237"/>
      <c r="B492" s="130"/>
      <c r="C492" s="130"/>
      <c r="D492" s="130"/>
      <c r="E492" s="199"/>
      <c r="F492" s="130"/>
      <c r="G492" s="130"/>
      <c r="H492" s="130"/>
      <c r="I492" s="130"/>
      <c r="J492" s="130"/>
      <c r="K492" s="130"/>
      <c r="L492" s="130"/>
      <c r="M492" s="131"/>
      <c r="N492" s="132"/>
      <c r="O492" s="133"/>
      <c r="P492" s="238"/>
      <c r="Q492" s="190"/>
      <c r="R492" s="239"/>
      <c r="S492" s="190"/>
      <c r="T492" s="240"/>
      <c r="U492" s="241"/>
      <c r="V492" s="190"/>
      <c r="W492" s="190"/>
      <c r="X492" s="190"/>
      <c r="Y492" s="56"/>
    </row>
    <row r="493">
      <c r="A493" s="237"/>
      <c r="B493" s="130"/>
      <c r="C493" s="130"/>
      <c r="D493" s="130"/>
      <c r="E493" s="199"/>
      <c r="F493" s="130"/>
      <c r="G493" s="130"/>
      <c r="H493" s="130"/>
      <c r="I493" s="130"/>
      <c r="J493" s="130"/>
      <c r="K493" s="130"/>
      <c r="L493" s="130"/>
      <c r="M493" s="131"/>
      <c r="N493" s="132"/>
      <c r="O493" s="133"/>
      <c r="P493" s="238"/>
      <c r="Q493" s="190"/>
      <c r="R493" s="239"/>
      <c r="S493" s="190"/>
      <c r="T493" s="240"/>
      <c r="U493" s="241"/>
      <c r="V493" s="190"/>
      <c r="W493" s="190"/>
      <c r="X493" s="190"/>
      <c r="Y493" s="56"/>
    </row>
    <row r="494">
      <c r="A494" s="237"/>
      <c r="B494" s="130"/>
      <c r="C494" s="130"/>
      <c r="D494" s="130"/>
      <c r="E494" s="199"/>
      <c r="F494" s="130"/>
      <c r="G494" s="130"/>
      <c r="H494" s="130"/>
      <c r="I494" s="130"/>
      <c r="J494" s="130"/>
      <c r="K494" s="130"/>
      <c r="L494" s="130"/>
      <c r="M494" s="131"/>
      <c r="N494" s="132"/>
      <c r="O494" s="133"/>
      <c r="P494" s="238"/>
      <c r="Q494" s="190"/>
      <c r="R494" s="239"/>
      <c r="S494" s="190"/>
      <c r="T494" s="240"/>
      <c r="U494" s="241"/>
      <c r="V494" s="190"/>
      <c r="W494" s="190"/>
      <c r="X494" s="190"/>
      <c r="Y494" s="56"/>
    </row>
    <row r="495">
      <c r="A495" s="237"/>
      <c r="B495" s="130"/>
      <c r="C495" s="130"/>
      <c r="D495" s="130"/>
      <c r="E495" s="199"/>
      <c r="F495" s="130"/>
      <c r="G495" s="130"/>
      <c r="H495" s="130"/>
      <c r="I495" s="130"/>
      <c r="J495" s="130"/>
      <c r="K495" s="130"/>
      <c r="L495" s="130"/>
      <c r="M495" s="131"/>
      <c r="N495" s="132"/>
      <c r="O495" s="133"/>
      <c r="P495" s="238"/>
      <c r="Q495" s="190"/>
      <c r="R495" s="239"/>
      <c r="S495" s="190"/>
      <c r="T495" s="240"/>
      <c r="U495" s="241"/>
      <c r="V495" s="190"/>
      <c r="W495" s="190"/>
      <c r="X495" s="190"/>
      <c r="Y495" s="56"/>
    </row>
    <row r="496">
      <c r="A496" s="237"/>
      <c r="B496" s="130"/>
      <c r="C496" s="130"/>
      <c r="D496" s="130"/>
      <c r="E496" s="199"/>
      <c r="F496" s="130"/>
      <c r="G496" s="130"/>
      <c r="H496" s="130"/>
      <c r="I496" s="130"/>
      <c r="J496" s="130"/>
      <c r="K496" s="130"/>
      <c r="L496" s="130"/>
      <c r="M496" s="131"/>
      <c r="N496" s="132"/>
      <c r="O496" s="133"/>
      <c r="P496" s="238"/>
      <c r="Q496" s="190"/>
      <c r="R496" s="239"/>
      <c r="S496" s="190"/>
      <c r="T496" s="240"/>
      <c r="U496" s="241"/>
      <c r="V496" s="190"/>
      <c r="W496" s="190"/>
      <c r="X496" s="190"/>
      <c r="Y496" s="56"/>
    </row>
    <row r="497">
      <c r="A497" s="237"/>
      <c r="B497" s="130"/>
      <c r="C497" s="130"/>
      <c r="D497" s="130"/>
      <c r="E497" s="199"/>
      <c r="F497" s="130"/>
      <c r="G497" s="130"/>
      <c r="H497" s="130"/>
      <c r="I497" s="130"/>
      <c r="J497" s="130"/>
      <c r="K497" s="130"/>
      <c r="L497" s="130"/>
      <c r="M497" s="131"/>
      <c r="N497" s="132"/>
      <c r="O497" s="133"/>
      <c r="P497" s="238"/>
      <c r="Q497" s="190"/>
      <c r="R497" s="239"/>
      <c r="S497" s="190"/>
      <c r="T497" s="240"/>
      <c r="U497" s="241"/>
      <c r="V497" s="190"/>
      <c r="W497" s="190"/>
      <c r="X497" s="190"/>
      <c r="Y497" s="56"/>
    </row>
    <row r="498">
      <c r="A498" s="237"/>
      <c r="B498" s="130"/>
      <c r="C498" s="130"/>
      <c r="D498" s="130"/>
      <c r="E498" s="199"/>
      <c r="F498" s="130"/>
      <c r="G498" s="130"/>
      <c r="H498" s="130"/>
      <c r="I498" s="130"/>
      <c r="J498" s="130"/>
      <c r="K498" s="130"/>
      <c r="L498" s="130"/>
      <c r="M498" s="131"/>
      <c r="N498" s="132"/>
      <c r="O498" s="133"/>
      <c r="P498" s="238"/>
      <c r="Q498" s="190"/>
      <c r="R498" s="239"/>
      <c r="S498" s="190"/>
      <c r="T498" s="240"/>
      <c r="U498" s="241"/>
      <c r="V498" s="190"/>
      <c r="W498" s="190"/>
      <c r="X498" s="190"/>
      <c r="Y498" s="56"/>
    </row>
    <row r="499">
      <c r="A499" s="237"/>
      <c r="B499" s="130"/>
      <c r="C499" s="130"/>
      <c r="D499" s="130"/>
      <c r="E499" s="199"/>
      <c r="F499" s="130"/>
      <c r="G499" s="130"/>
      <c r="H499" s="130"/>
      <c r="I499" s="130"/>
      <c r="J499" s="130"/>
      <c r="K499" s="130"/>
      <c r="L499" s="130"/>
      <c r="M499" s="131"/>
      <c r="N499" s="132"/>
      <c r="O499" s="133"/>
      <c r="P499" s="238"/>
      <c r="Q499" s="190"/>
      <c r="R499" s="239"/>
      <c r="S499" s="190"/>
      <c r="T499" s="240"/>
      <c r="U499" s="241"/>
      <c r="V499" s="190"/>
      <c r="W499" s="190"/>
      <c r="X499" s="190"/>
      <c r="Y499" s="56"/>
    </row>
    <row r="500">
      <c r="A500" s="237"/>
      <c r="B500" s="130"/>
      <c r="C500" s="130"/>
      <c r="D500" s="130"/>
      <c r="E500" s="199"/>
      <c r="F500" s="130"/>
      <c r="G500" s="130"/>
      <c r="H500" s="130"/>
      <c r="I500" s="130"/>
      <c r="J500" s="130"/>
      <c r="K500" s="130"/>
      <c r="L500" s="130"/>
      <c r="M500" s="131"/>
      <c r="N500" s="132"/>
      <c r="O500" s="133"/>
      <c r="P500" s="238"/>
      <c r="Q500" s="190"/>
      <c r="R500" s="239"/>
      <c r="S500" s="190"/>
      <c r="T500" s="240"/>
      <c r="U500" s="241"/>
      <c r="V500" s="190"/>
      <c r="W500" s="190"/>
      <c r="X500" s="190"/>
      <c r="Y500" s="56"/>
    </row>
    <row r="501">
      <c r="A501" s="237"/>
      <c r="B501" s="130"/>
      <c r="C501" s="130"/>
      <c r="D501" s="130"/>
      <c r="E501" s="199"/>
      <c r="F501" s="130"/>
      <c r="G501" s="130"/>
      <c r="H501" s="130"/>
      <c r="I501" s="130"/>
      <c r="J501" s="130"/>
      <c r="K501" s="130"/>
      <c r="L501" s="130"/>
      <c r="M501" s="131"/>
      <c r="N501" s="132"/>
      <c r="O501" s="133"/>
      <c r="P501" s="238"/>
      <c r="Q501" s="190"/>
      <c r="R501" s="239"/>
      <c r="S501" s="190"/>
      <c r="T501" s="240"/>
      <c r="U501" s="241"/>
      <c r="V501" s="190"/>
      <c r="W501" s="190"/>
      <c r="X501" s="190"/>
      <c r="Y501" s="56"/>
    </row>
    <row r="502">
      <c r="A502" s="237"/>
      <c r="B502" s="130"/>
      <c r="C502" s="130"/>
      <c r="D502" s="130"/>
      <c r="E502" s="199"/>
      <c r="F502" s="130"/>
      <c r="G502" s="130"/>
      <c r="H502" s="130"/>
      <c r="I502" s="130"/>
      <c r="J502" s="130"/>
      <c r="K502" s="130"/>
      <c r="L502" s="130"/>
      <c r="M502" s="131"/>
      <c r="N502" s="132"/>
      <c r="O502" s="133"/>
      <c r="P502" s="238"/>
      <c r="Q502" s="190"/>
      <c r="R502" s="239"/>
      <c r="S502" s="190"/>
      <c r="T502" s="240"/>
      <c r="U502" s="241"/>
      <c r="V502" s="190"/>
      <c r="W502" s="190"/>
      <c r="X502" s="190"/>
      <c r="Y502" s="56"/>
    </row>
    <row r="503">
      <c r="A503" s="237"/>
      <c r="B503" s="130"/>
      <c r="C503" s="130"/>
      <c r="D503" s="130"/>
      <c r="E503" s="199"/>
      <c r="F503" s="130"/>
      <c r="G503" s="130"/>
      <c r="H503" s="130"/>
      <c r="I503" s="130"/>
      <c r="J503" s="130"/>
      <c r="K503" s="130"/>
      <c r="L503" s="130"/>
      <c r="M503" s="131"/>
      <c r="N503" s="132"/>
      <c r="O503" s="133"/>
      <c r="P503" s="238"/>
      <c r="Q503" s="190"/>
      <c r="R503" s="239"/>
      <c r="S503" s="190"/>
      <c r="T503" s="240"/>
      <c r="U503" s="241"/>
      <c r="V503" s="190"/>
      <c r="W503" s="190"/>
      <c r="X503" s="190"/>
      <c r="Y503" s="56"/>
    </row>
    <row r="504">
      <c r="A504" s="237"/>
      <c r="B504" s="130"/>
      <c r="C504" s="130"/>
      <c r="D504" s="130"/>
      <c r="E504" s="199"/>
      <c r="F504" s="130"/>
      <c r="G504" s="130"/>
      <c r="H504" s="130"/>
      <c r="I504" s="130"/>
      <c r="J504" s="130"/>
      <c r="K504" s="130"/>
      <c r="L504" s="130"/>
      <c r="M504" s="131"/>
      <c r="N504" s="132"/>
      <c r="O504" s="133"/>
      <c r="P504" s="238"/>
      <c r="Q504" s="190"/>
      <c r="R504" s="239"/>
      <c r="S504" s="190"/>
      <c r="T504" s="240"/>
      <c r="U504" s="241"/>
      <c r="V504" s="190"/>
      <c r="W504" s="190"/>
      <c r="X504" s="190"/>
      <c r="Y504" s="56"/>
    </row>
    <row r="505">
      <c r="A505" s="237"/>
      <c r="B505" s="130"/>
      <c r="C505" s="130"/>
      <c r="D505" s="130"/>
      <c r="E505" s="199"/>
      <c r="F505" s="130"/>
      <c r="G505" s="130"/>
      <c r="H505" s="130"/>
      <c r="I505" s="130"/>
      <c r="J505" s="130"/>
      <c r="K505" s="130"/>
      <c r="L505" s="130"/>
      <c r="M505" s="131"/>
      <c r="N505" s="132"/>
      <c r="O505" s="133"/>
      <c r="P505" s="238"/>
      <c r="Q505" s="190"/>
      <c r="R505" s="239"/>
      <c r="S505" s="190"/>
      <c r="T505" s="240"/>
      <c r="U505" s="241"/>
      <c r="V505" s="190"/>
      <c r="W505" s="190"/>
      <c r="X505" s="190"/>
      <c r="Y505" s="56"/>
    </row>
    <row r="506">
      <c r="A506" s="237"/>
      <c r="B506" s="130"/>
      <c r="C506" s="130"/>
      <c r="D506" s="130"/>
      <c r="E506" s="199"/>
      <c r="F506" s="130"/>
      <c r="G506" s="130"/>
      <c r="H506" s="130"/>
      <c r="I506" s="130"/>
      <c r="J506" s="130"/>
      <c r="K506" s="130"/>
      <c r="L506" s="130"/>
      <c r="M506" s="131"/>
      <c r="N506" s="132"/>
      <c r="O506" s="133"/>
      <c r="P506" s="238"/>
      <c r="Q506" s="190"/>
      <c r="R506" s="239"/>
      <c r="S506" s="190"/>
      <c r="T506" s="240"/>
      <c r="U506" s="241"/>
      <c r="V506" s="190"/>
      <c r="W506" s="190"/>
      <c r="X506" s="190"/>
      <c r="Y506" s="56"/>
    </row>
    <row r="507">
      <c r="A507" s="237"/>
      <c r="B507" s="130"/>
      <c r="C507" s="130"/>
      <c r="D507" s="130"/>
      <c r="E507" s="199"/>
      <c r="F507" s="130"/>
      <c r="G507" s="130"/>
      <c r="H507" s="130"/>
      <c r="I507" s="130"/>
      <c r="J507" s="130"/>
      <c r="K507" s="130"/>
      <c r="L507" s="130"/>
      <c r="M507" s="131"/>
      <c r="N507" s="132"/>
      <c r="O507" s="133"/>
      <c r="P507" s="238"/>
      <c r="Q507" s="190"/>
      <c r="R507" s="239"/>
      <c r="S507" s="190"/>
      <c r="T507" s="240"/>
      <c r="U507" s="241"/>
      <c r="V507" s="190"/>
      <c r="W507" s="190"/>
      <c r="X507" s="190"/>
      <c r="Y507" s="56"/>
    </row>
    <row r="508">
      <c r="A508" s="237"/>
      <c r="B508" s="130"/>
      <c r="C508" s="130"/>
      <c r="D508" s="130"/>
      <c r="E508" s="199"/>
      <c r="F508" s="130"/>
      <c r="G508" s="130"/>
      <c r="H508" s="130"/>
      <c r="I508" s="130"/>
      <c r="J508" s="130"/>
      <c r="K508" s="130"/>
      <c r="L508" s="130"/>
      <c r="M508" s="131"/>
      <c r="N508" s="132"/>
      <c r="O508" s="133"/>
      <c r="P508" s="238"/>
      <c r="Q508" s="190"/>
      <c r="R508" s="239"/>
      <c r="S508" s="190"/>
      <c r="T508" s="240"/>
      <c r="U508" s="241"/>
      <c r="V508" s="190"/>
      <c r="W508" s="190"/>
      <c r="X508" s="190"/>
      <c r="Y508" s="56"/>
    </row>
    <row r="509">
      <c r="A509" s="237"/>
      <c r="B509" s="130"/>
      <c r="C509" s="130"/>
      <c r="D509" s="130"/>
      <c r="E509" s="199"/>
      <c r="F509" s="130"/>
      <c r="G509" s="130"/>
      <c r="H509" s="130"/>
      <c r="I509" s="130"/>
      <c r="J509" s="130"/>
      <c r="K509" s="130"/>
      <c r="L509" s="130"/>
      <c r="M509" s="131"/>
      <c r="N509" s="132"/>
      <c r="O509" s="133"/>
      <c r="P509" s="238"/>
      <c r="Q509" s="190"/>
      <c r="R509" s="239"/>
      <c r="S509" s="190"/>
      <c r="T509" s="240"/>
      <c r="U509" s="241"/>
      <c r="V509" s="190"/>
      <c r="W509" s="190"/>
      <c r="X509" s="190"/>
      <c r="Y509" s="56"/>
    </row>
    <row r="510">
      <c r="A510" s="237"/>
      <c r="B510" s="130"/>
      <c r="C510" s="130"/>
      <c r="D510" s="130"/>
      <c r="E510" s="199"/>
      <c r="F510" s="130"/>
      <c r="G510" s="130"/>
      <c r="H510" s="130"/>
      <c r="I510" s="130"/>
      <c r="J510" s="130"/>
      <c r="K510" s="130"/>
      <c r="L510" s="130"/>
      <c r="M510" s="131"/>
      <c r="N510" s="132"/>
      <c r="O510" s="133"/>
      <c r="P510" s="238"/>
      <c r="Q510" s="190"/>
      <c r="R510" s="239"/>
      <c r="S510" s="190"/>
      <c r="T510" s="240"/>
      <c r="U510" s="241"/>
      <c r="V510" s="190"/>
      <c r="W510" s="190"/>
      <c r="X510" s="190"/>
      <c r="Y510" s="56"/>
    </row>
    <row r="511">
      <c r="A511" s="237"/>
      <c r="B511" s="130"/>
      <c r="C511" s="130"/>
      <c r="D511" s="130"/>
      <c r="E511" s="199"/>
      <c r="F511" s="130"/>
      <c r="G511" s="130"/>
      <c r="H511" s="130"/>
      <c r="I511" s="130"/>
      <c r="J511" s="130"/>
      <c r="K511" s="130"/>
      <c r="L511" s="130"/>
      <c r="M511" s="131"/>
      <c r="N511" s="132"/>
      <c r="O511" s="133"/>
      <c r="P511" s="238"/>
      <c r="Q511" s="190"/>
      <c r="R511" s="239"/>
      <c r="S511" s="190"/>
      <c r="T511" s="240"/>
      <c r="U511" s="241"/>
      <c r="V511" s="190"/>
      <c r="W511" s="190"/>
      <c r="X511" s="190"/>
      <c r="Y511" s="56"/>
    </row>
    <row r="512">
      <c r="A512" s="237"/>
      <c r="B512" s="130"/>
      <c r="C512" s="130"/>
      <c r="D512" s="130"/>
      <c r="E512" s="199"/>
      <c r="F512" s="130"/>
      <c r="G512" s="130"/>
      <c r="H512" s="130"/>
      <c r="I512" s="130"/>
      <c r="J512" s="130"/>
      <c r="K512" s="130"/>
      <c r="L512" s="130"/>
      <c r="M512" s="131"/>
      <c r="N512" s="132"/>
      <c r="O512" s="133"/>
      <c r="P512" s="238"/>
      <c r="Q512" s="190"/>
      <c r="R512" s="239"/>
      <c r="S512" s="190"/>
      <c r="T512" s="240"/>
      <c r="U512" s="241"/>
      <c r="V512" s="190"/>
      <c r="W512" s="190"/>
      <c r="X512" s="190"/>
      <c r="Y512" s="56"/>
    </row>
    <row r="513">
      <c r="A513" s="237"/>
      <c r="B513" s="130"/>
      <c r="C513" s="130"/>
      <c r="D513" s="130"/>
      <c r="E513" s="199"/>
      <c r="F513" s="130"/>
      <c r="G513" s="130"/>
      <c r="H513" s="130"/>
      <c r="I513" s="130"/>
      <c r="J513" s="130"/>
      <c r="K513" s="130"/>
      <c r="L513" s="130"/>
      <c r="M513" s="131"/>
      <c r="N513" s="132"/>
      <c r="O513" s="133"/>
      <c r="P513" s="238"/>
      <c r="Q513" s="190"/>
      <c r="R513" s="239"/>
      <c r="S513" s="190"/>
      <c r="T513" s="240"/>
      <c r="U513" s="241"/>
      <c r="V513" s="190"/>
      <c r="W513" s="190"/>
      <c r="X513" s="190"/>
      <c r="Y513" s="56"/>
    </row>
    <row r="514">
      <c r="A514" s="237"/>
      <c r="B514" s="130"/>
      <c r="C514" s="130"/>
      <c r="D514" s="130"/>
      <c r="E514" s="199"/>
      <c r="F514" s="130"/>
      <c r="G514" s="130"/>
      <c r="H514" s="130"/>
      <c r="I514" s="130"/>
      <c r="J514" s="130"/>
      <c r="K514" s="130"/>
      <c r="L514" s="130"/>
      <c r="M514" s="131"/>
      <c r="N514" s="132"/>
      <c r="O514" s="133"/>
      <c r="P514" s="238"/>
      <c r="Q514" s="190"/>
      <c r="R514" s="239"/>
      <c r="S514" s="190"/>
      <c r="T514" s="240"/>
      <c r="U514" s="241"/>
      <c r="V514" s="190"/>
      <c r="W514" s="190"/>
      <c r="X514" s="190"/>
      <c r="Y514" s="56"/>
    </row>
    <row r="515">
      <c r="A515" s="237"/>
      <c r="B515" s="130"/>
      <c r="C515" s="130"/>
      <c r="D515" s="130"/>
      <c r="E515" s="199"/>
      <c r="F515" s="130"/>
      <c r="G515" s="130"/>
      <c r="H515" s="130"/>
      <c r="I515" s="130"/>
      <c r="J515" s="130"/>
      <c r="K515" s="130"/>
      <c r="L515" s="130"/>
      <c r="M515" s="131"/>
      <c r="N515" s="132"/>
      <c r="O515" s="133"/>
      <c r="P515" s="238"/>
      <c r="Q515" s="190"/>
      <c r="R515" s="239"/>
      <c r="S515" s="190"/>
      <c r="T515" s="240"/>
      <c r="U515" s="241"/>
      <c r="V515" s="190"/>
      <c r="W515" s="190"/>
      <c r="X515" s="190"/>
      <c r="Y515" s="56"/>
    </row>
    <row r="516">
      <c r="A516" s="237"/>
      <c r="B516" s="130"/>
      <c r="C516" s="130"/>
      <c r="D516" s="130"/>
      <c r="E516" s="199"/>
      <c r="F516" s="130"/>
      <c r="G516" s="130"/>
      <c r="H516" s="130"/>
      <c r="I516" s="130"/>
      <c r="J516" s="130"/>
      <c r="K516" s="130"/>
      <c r="L516" s="130"/>
      <c r="M516" s="131"/>
      <c r="N516" s="132"/>
      <c r="O516" s="133"/>
      <c r="P516" s="238"/>
      <c r="Q516" s="190"/>
      <c r="R516" s="239"/>
      <c r="S516" s="190"/>
      <c r="T516" s="240"/>
      <c r="U516" s="241"/>
      <c r="V516" s="190"/>
      <c r="W516" s="190"/>
      <c r="X516" s="190"/>
      <c r="Y516" s="56"/>
    </row>
    <row r="517">
      <c r="A517" s="237"/>
      <c r="B517" s="130"/>
      <c r="C517" s="130"/>
      <c r="D517" s="130"/>
      <c r="E517" s="199"/>
      <c r="F517" s="130"/>
      <c r="G517" s="130"/>
      <c r="H517" s="130"/>
      <c r="I517" s="130"/>
      <c r="J517" s="130"/>
      <c r="K517" s="130"/>
      <c r="L517" s="130"/>
      <c r="M517" s="131"/>
      <c r="N517" s="132"/>
      <c r="O517" s="133"/>
      <c r="P517" s="238"/>
      <c r="Q517" s="190"/>
      <c r="R517" s="239"/>
      <c r="S517" s="190"/>
      <c r="T517" s="240"/>
      <c r="U517" s="241"/>
      <c r="V517" s="190"/>
      <c r="W517" s="190"/>
      <c r="X517" s="190"/>
      <c r="Y517" s="56"/>
    </row>
    <row r="518">
      <c r="A518" s="237"/>
      <c r="B518" s="130"/>
      <c r="C518" s="130"/>
      <c r="D518" s="130"/>
      <c r="E518" s="199"/>
      <c r="F518" s="130"/>
      <c r="G518" s="130"/>
      <c r="H518" s="130"/>
      <c r="I518" s="130"/>
      <c r="J518" s="130"/>
      <c r="K518" s="130"/>
      <c r="L518" s="130"/>
      <c r="M518" s="131"/>
      <c r="N518" s="132"/>
      <c r="O518" s="133"/>
      <c r="P518" s="238"/>
      <c r="Q518" s="190"/>
      <c r="R518" s="239"/>
      <c r="S518" s="190"/>
      <c r="T518" s="240"/>
      <c r="U518" s="241"/>
      <c r="V518" s="190"/>
      <c r="W518" s="190"/>
      <c r="X518" s="190"/>
      <c r="Y518" s="56"/>
    </row>
    <row r="519">
      <c r="A519" s="237"/>
      <c r="B519" s="130"/>
      <c r="C519" s="130"/>
      <c r="D519" s="130"/>
      <c r="E519" s="199"/>
      <c r="F519" s="130"/>
      <c r="G519" s="130"/>
      <c r="H519" s="130"/>
      <c r="I519" s="130"/>
      <c r="J519" s="130"/>
      <c r="K519" s="130"/>
      <c r="L519" s="130"/>
      <c r="M519" s="131"/>
      <c r="N519" s="132"/>
      <c r="O519" s="133"/>
      <c r="P519" s="238"/>
      <c r="Q519" s="190"/>
      <c r="R519" s="239"/>
      <c r="S519" s="190"/>
      <c r="T519" s="240"/>
      <c r="U519" s="241"/>
      <c r="V519" s="190"/>
      <c r="W519" s="190"/>
      <c r="X519" s="190"/>
      <c r="Y519" s="56"/>
    </row>
    <row r="520">
      <c r="A520" s="237"/>
      <c r="B520" s="130"/>
      <c r="C520" s="130"/>
      <c r="D520" s="130"/>
      <c r="E520" s="199"/>
      <c r="F520" s="130"/>
      <c r="G520" s="130"/>
      <c r="H520" s="130"/>
      <c r="I520" s="130"/>
      <c r="J520" s="130"/>
      <c r="K520" s="130"/>
      <c r="L520" s="130"/>
      <c r="M520" s="131"/>
      <c r="N520" s="132"/>
      <c r="O520" s="133"/>
      <c r="P520" s="238"/>
      <c r="Q520" s="190"/>
      <c r="R520" s="239"/>
      <c r="S520" s="190"/>
      <c r="T520" s="240"/>
      <c r="U520" s="241"/>
      <c r="V520" s="190"/>
      <c r="W520" s="190"/>
      <c r="X520" s="190"/>
      <c r="Y520" s="56"/>
    </row>
    <row r="521">
      <c r="A521" s="237"/>
      <c r="B521" s="130"/>
      <c r="C521" s="130"/>
      <c r="D521" s="130"/>
      <c r="E521" s="199"/>
      <c r="F521" s="130"/>
      <c r="G521" s="130"/>
      <c r="H521" s="130"/>
      <c r="I521" s="130"/>
      <c r="J521" s="130"/>
      <c r="K521" s="130"/>
      <c r="L521" s="130"/>
      <c r="M521" s="131"/>
      <c r="N521" s="132"/>
      <c r="O521" s="133"/>
      <c r="P521" s="238"/>
      <c r="Q521" s="190"/>
      <c r="R521" s="239"/>
      <c r="S521" s="190"/>
      <c r="T521" s="240"/>
      <c r="U521" s="241"/>
      <c r="V521" s="190"/>
      <c r="W521" s="190"/>
      <c r="X521" s="190"/>
      <c r="Y521" s="56"/>
    </row>
    <row r="522">
      <c r="A522" s="237"/>
      <c r="B522" s="130"/>
      <c r="C522" s="130"/>
      <c r="D522" s="130"/>
      <c r="E522" s="199"/>
      <c r="F522" s="130"/>
      <c r="G522" s="130"/>
      <c r="H522" s="130"/>
      <c r="I522" s="130"/>
      <c r="J522" s="130"/>
      <c r="K522" s="130"/>
      <c r="L522" s="130"/>
      <c r="M522" s="131"/>
      <c r="N522" s="132"/>
      <c r="O522" s="133"/>
      <c r="P522" s="238"/>
      <c r="Q522" s="190"/>
      <c r="R522" s="239"/>
      <c r="S522" s="190"/>
      <c r="T522" s="240"/>
      <c r="U522" s="241"/>
      <c r="V522" s="190"/>
      <c r="W522" s="190"/>
      <c r="X522" s="190"/>
      <c r="Y522" s="56"/>
    </row>
    <row r="523">
      <c r="A523" s="237"/>
      <c r="B523" s="130"/>
      <c r="C523" s="130"/>
      <c r="D523" s="130"/>
      <c r="E523" s="199"/>
      <c r="F523" s="130"/>
      <c r="G523" s="130"/>
      <c r="H523" s="130"/>
      <c r="I523" s="130"/>
      <c r="J523" s="130"/>
      <c r="K523" s="130"/>
      <c r="L523" s="130"/>
      <c r="M523" s="131"/>
      <c r="N523" s="132"/>
      <c r="O523" s="133"/>
      <c r="P523" s="238"/>
      <c r="Q523" s="190"/>
      <c r="R523" s="239"/>
      <c r="S523" s="190"/>
      <c r="T523" s="240"/>
      <c r="U523" s="241"/>
      <c r="V523" s="190"/>
      <c r="W523" s="190"/>
      <c r="X523" s="190"/>
      <c r="Y523" s="56"/>
    </row>
    <row r="524">
      <c r="A524" s="237"/>
      <c r="B524" s="130"/>
      <c r="C524" s="130"/>
      <c r="D524" s="130"/>
      <c r="E524" s="199"/>
      <c r="F524" s="130"/>
      <c r="G524" s="130"/>
      <c r="H524" s="130"/>
      <c r="I524" s="130"/>
      <c r="J524" s="130"/>
      <c r="K524" s="130"/>
      <c r="L524" s="130"/>
      <c r="M524" s="131"/>
      <c r="N524" s="132"/>
      <c r="O524" s="133"/>
      <c r="P524" s="238"/>
      <c r="Q524" s="190"/>
      <c r="R524" s="239"/>
      <c r="S524" s="190"/>
      <c r="T524" s="240"/>
      <c r="U524" s="241"/>
      <c r="V524" s="190"/>
      <c r="W524" s="190"/>
      <c r="X524" s="190"/>
      <c r="Y524" s="56"/>
    </row>
    <row r="525">
      <c r="A525" s="237"/>
      <c r="B525" s="130"/>
      <c r="C525" s="130"/>
      <c r="D525" s="130"/>
      <c r="E525" s="199"/>
      <c r="F525" s="130"/>
      <c r="G525" s="130"/>
      <c r="H525" s="130"/>
      <c r="I525" s="130"/>
      <c r="J525" s="130"/>
      <c r="K525" s="130"/>
      <c r="L525" s="130"/>
      <c r="M525" s="131"/>
      <c r="N525" s="132"/>
      <c r="O525" s="133"/>
      <c r="P525" s="238"/>
      <c r="Q525" s="190"/>
      <c r="R525" s="239"/>
      <c r="S525" s="190"/>
      <c r="T525" s="240"/>
      <c r="U525" s="241"/>
      <c r="V525" s="190"/>
      <c r="W525" s="190"/>
      <c r="X525" s="190"/>
      <c r="Y525" s="56"/>
    </row>
    <row r="526">
      <c r="A526" s="237"/>
      <c r="B526" s="130"/>
      <c r="C526" s="130"/>
      <c r="D526" s="130"/>
      <c r="E526" s="199"/>
      <c r="F526" s="130"/>
      <c r="G526" s="130"/>
      <c r="H526" s="130"/>
      <c r="I526" s="130"/>
      <c r="J526" s="130"/>
      <c r="K526" s="130"/>
      <c r="L526" s="130"/>
      <c r="M526" s="131"/>
      <c r="N526" s="132"/>
      <c r="O526" s="133"/>
      <c r="P526" s="238"/>
      <c r="Q526" s="190"/>
      <c r="R526" s="239"/>
      <c r="S526" s="190"/>
      <c r="T526" s="240"/>
      <c r="U526" s="241"/>
      <c r="V526" s="190"/>
      <c r="W526" s="190"/>
      <c r="X526" s="190"/>
      <c r="Y526" s="56"/>
    </row>
    <row r="527">
      <c r="A527" s="237"/>
      <c r="B527" s="130"/>
      <c r="C527" s="130"/>
      <c r="D527" s="130"/>
      <c r="E527" s="199"/>
      <c r="F527" s="130"/>
      <c r="G527" s="130"/>
      <c r="H527" s="130"/>
      <c r="I527" s="130"/>
      <c r="J527" s="130"/>
      <c r="K527" s="130"/>
      <c r="L527" s="130"/>
      <c r="M527" s="131"/>
      <c r="N527" s="132"/>
      <c r="O527" s="133"/>
      <c r="P527" s="238"/>
      <c r="Q527" s="190"/>
      <c r="R527" s="239"/>
      <c r="S527" s="190"/>
      <c r="T527" s="240"/>
      <c r="U527" s="241"/>
      <c r="V527" s="190"/>
      <c r="W527" s="190"/>
      <c r="X527" s="190"/>
      <c r="Y527" s="56"/>
    </row>
    <row r="528">
      <c r="A528" s="237"/>
      <c r="B528" s="130"/>
      <c r="C528" s="130"/>
      <c r="D528" s="130"/>
      <c r="E528" s="199"/>
      <c r="F528" s="130"/>
      <c r="G528" s="130"/>
      <c r="H528" s="130"/>
      <c r="I528" s="130"/>
      <c r="J528" s="130"/>
      <c r="K528" s="130"/>
      <c r="L528" s="130"/>
      <c r="M528" s="131"/>
      <c r="N528" s="132"/>
      <c r="O528" s="133"/>
      <c r="P528" s="238"/>
      <c r="Q528" s="190"/>
      <c r="R528" s="239"/>
      <c r="S528" s="190"/>
      <c r="T528" s="240"/>
      <c r="U528" s="241"/>
      <c r="V528" s="190"/>
      <c r="W528" s="190"/>
      <c r="X528" s="190"/>
      <c r="Y528" s="56"/>
    </row>
    <row r="529">
      <c r="A529" s="237"/>
      <c r="B529" s="130"/>
      <c r="C529" s="130"/>
      <c r="D529" s="130"/>
      <c r="E529" s="199"/>
      <c r="F529" s="130"/>
      <c r="G529" s="130"/>
      <c r="H529" s="130"/>
      <c r="I529" s="130"/>
      <c r="J529" s="130"/>
      <c r="K529" s="130"/>
      <c r="L529" s="130"/>
      <c r="M529" s="131"/>
      <c r="N529" s="132"/>
      <c r="O529" s="133"/>
      <c r="P529" s="238"/>
      <c r="Q529" s="190"/>
      <c r="R529" s="239"/>
      <c r="S529" s="190"/>
      <c r="T529" s="240"/>
      <c r="U529" s="241"/>
      <c r="V529" s="190"/>
      <c r="W529" s="190"/>
      <c r="X529" s="190"/>
      <c r="Y529" s="56"/>
    </row>
    <row r="530">
      <c r="A530" s="237"/>
      <c r="B530" s="130"/>
      <c r="C530" s="130"/>
      <c r="D530" s="130"/>
      <c r="E530" s="199"/>
      <c r="F530" s="130"/>
      <c r="G530" s="130"/>
      <c r="H530" s="130"/>
      <c r="I530" s="130"/>
      <c r="J530" s="130"/>
      <c r="K530" s="130"/>
      <c r="L530" s="130"/>
      <c r="M530" s="131"/>
      <c r="N530" s="132"/>
      <c r="O530" s="133"/>
      <c r="P530" s="238"/>
      <c r="Q530" s="190"/>
      <c r="R530" s="239"/>
      <c r="S530" s="190"/>
      <c r="T530" s="240"/>
      <c r="U530" s="241"/>
      <c r="V530" s="190"/>
      <c r="W530" s="190"/>
      <c r="X530" s="190"/>
      <c r="Y530" s="56"/>
    </row>
    <row r="531">
      <c r="A531" s="237"/>
      <c r="B531" s="130"/>
      <c r="C531" s="130"/>
      <c r="D531" s="130"/>
      <c r="E531" s="199"/>
      <c r="F531" s="130"/>
      <c r="G531" s="130"/>
      <c r="H531" s="130"/>
      <c r="I531" s="130"/>
      <c r="J531" s="130"/>
      <c r="K531" s="130"/>
      <c r="L531" s="130"/>
      <c r="M531" s="131"/>
      <c r="N531" s="132"/>
      <c r="O531" s="133"/>
      <c r="P531" s="238"/>
      <c r="Q531" s="190"/>
      <c r="R531" s="239"/>
      <c r="S531" s="190"/>
      <c r="T531" s="240"/>
      <c r="U531" s="241"/>
      <c r="V531" s="190"/>
      <c r="W531" s="190"/>
      <c r="X531" s="190"/>
      <c r="Y531" s="56"/>
    </row>
    <row r="532">
      <c r="A532" s="237"/>
      <c r="B532" s="130"/>
      <c r="C532" s="130"/>
      <c r="D532" s="130"/>
      <c r="E532" s="199"/>
      <c r="F532" s="130"/>
      <c r="G532" s="130"/>
      <c r="H532" s="130"/>
      <c r="I532" s="130"/>
      <c r="J532" s="130"/>
      <c r="K532" s="130"/>
      <c r="L532" s="130"/>
      <c r="M532" s="131"/>
      <c r="N532" s="132"/>
      <c r="O532" s="133"/>
      <c r="P532" s="238"/>
      <c r="Q532" s="190"/>
      <c r="R532" s="239"/>
      <c r="S532" s="190"/>
      <c r="T532" s="240"/>
      <c r="U532" s="241"/>
      <c r="V532" s="190"/>
      <c r="W532" s="190"/>
      <c r="X532" s="190"/>
      <c r="Y532" s="56"/>
    </row>
    <row r="533">
      <c r="A533" s="237"/>
      <c r="B533" s="130"/>
      <c r="C533" s="130"/>
      <c r="D533" s="130"/>
      <c r="E533" s="199"/>
      <c r="F533" s="130"/>
      <c r="G533" s="130"/>
      <c r="H533" s="130"/>
      <c r="I533" s="130"/>
      <c r="J533" s="130"/>
      <c r="K533" s="130"/>
      <c r="L533" s="130"/>
      <c r="M533" s="131"/>
      <c r="N533" s="132"/>
      <c r="O533" s="133"/>
      <c r="P533" s="238"/>
      <c r="Q533" s="190"/>
      <c r="R533" s="239"/>
      <c r="S533" s="190"/>
      <c r="T533" s="240"/>
      <c r="U533" s="241"/>
      <c r="V533" s="190"/>
      <c r="W533" s="190"/>
      <c r="X533" s="190"/>
      <c r="Y533" s="56"/>
    </row>
    <row r="534">
      <c r="A534" s="237"/>
      <c r="B534" s="130"/>
      <c r="C534" s="130"/>
      <c r="D534" s="130"/>
      <c r="E534" s="199"/>
      <c r="F534" s="130"/>
      <c r="G534" s="130"/>
      <c r="H534" s="130"/>
      <c r="I534" s="130"/>
      <c r="J534" s="130"/>
      <c r="K534" s="130"/>
      <c r="L534" s="130"/>
      <c r="M534" s="131"/>
      <c r="N534" s="132"/>
      <c r="O534" s="133"/>
      <c r="P534" s="238"/>
      <c r="Q534" s="190"/>
      <c r="R534" s="239"/>
      <c r="S534" s="190"/>
      <c r="T534" s="240"/>
      <c r="U534" s="241"/>
      <c r="V534" s="190"/>
      <c r="W534" s="190"/>
      <c r="X534" s="190"/>
      <c r="Y534" s="56"/>
    </row>
    <row r="535">
      <c r="A535" s="237"/>
      <c r="B535" s="130"/>
      <c r="C535" s="130"/>
      <c r="D535" s="130"/>
      <c r="E535" s="199"/>
      <c r="F535" s="130"/>
      <c r="G535" s="130"/>
      <c r="H535" s="130"/>
      <c r="I535" s="130"/>
      <c r="J535" s="130"/>
      <c r="K535" s="130"/>
      <c r="L535" s="130"/>
      <c r="M535" s="131"/>
      <c r="N535" s="132"/>
      <c r="O535" s="133"/>
      <c r="P535" s="238"/>
      <c r="Q535" s="190"/>
      <c r="R535" s="239"/>
      <c r="S535" s="190"/>
      <c r="T535" s="240"/>
      <c r="U535" s="241"/>
      <c r="V535" s="190"/>
      <c r="W535" s="190"/>
      <c r="X535" s="190"/>
      <c r="Y535" s="56"/>
    </row>
    <row r="536">
      <c r="A536" s="237"/>
      <c r="B536" s="130"/>
      <c r="C536" s="130"/>
      <c r="D536" s="130"/>
      <c r="E536" s="199"/>
      <c r="F536" s="130"/>
      <c r="G536" s="130"/>
      <c r="H536" s="130"/>
      <c r="I536" s="130"/>
      <c r="J536" s="130"/>
      <c r="K536" s="130"/>
      <c r="L536" s="130"/>
      <c r="M536" s="131"/>
      <c r="N536" s="132"/>
      <c r="O536" s="133"/>
      <c r="P536" s="238"/>
      <c r="Q536" s="190"/>
      <c r="R536" s="239"/>
      <c r="S536" s="190"/>
      <c r="T536" s="240"/>
      <c r="U536" s="241"/>
      <c r="V536" s="190"/>
      <c r="W536" s="190"/>
      <c r="X536" s="190"/>
      <c r="Y536" s="56"/>
    </row>
    <row r="537">
      <c r="A537" s="237"/>
      <c r="B537" s="130"/>
      <c r="C537" s="130"/>
      <c r="D537" s="130"/>
      <c r="E537" s="199"/>
      <c r="F537" s="130"/>
      <c r="G537" s="130"/>
      <c r="H537" s="130"/>
      <c r="I537" s="130"/>
      <c r="J537" s="130"/>
      <c r="K537" s="130"/>
      <c r="L537" s="130"/>
      <c r="M537" s="131"/>
      <c r="N537" s="132"/>
      <c r="O537" s="133"/>
      <c r="P537" s="238"/>
      <c r="Q537" s="190"/>
      <c r="R537" s="239"/>
      <c r="S537" s="190"/>
      <c r="T537" s="240"/>
      <c r="U537" s="241"/>
      <c r="V537" s="190"/>
      <c r="W537" s="190"/>
      <c r="X537" s="190"/>
      <c r="Y537" s="56"/>
    </row>
    <row r="538">
      <c r="A538" s="237"/>
      <c r="B538" s="130"/>
      <c r="C538" s="130"/>
      <c r="D538" s="130"/>
      <c r="E538" s="199"/>
      <c r="F538" s="130"/>
      <c r="G538" s="130"/>
      <c r="H538" s="130"/>
      <c r="I538" s="130"/>
      <c r="J538" s="130"/>
      <c r="K538" s="130"/>
      <c r="L538" s="130"/>
      <c r="M538" s="131"/>
      <c r="N538" s="132"/>
      <c r="O538" s="133"/>
      <c r="P538" s="238"/>
      <c r="Q538" s="190"/>
      <c r="R538" s="239"/>
      <c r="S538" s="190"/>
      <c r="T538" s="240"/>
      <c r="U538" s="241"/>
      <c r="V538" s="190"/>
      <c r="W538" s="190"/>
      <c r="X538" s="190"/>
      <c r="Y538" s="56"/>
    </row>
    <row r="539">
      <c r="A539" s="237"/>
      <c r="B539" s="130"/>
      <c r="C539" s="130"/>
      <c r="D539" s="130"/>
      <c r="E539" s="199"/>
      <c r="F539" s="130"/>
      <c r="G539" s="130"/>
      <c r="H539" s="130"/>
      <c r="I539" s="130"/>
      <c r="J539" s="130"/>
      <c r="K539" s="130"/>
      <c r="L539" s="130"/>
      <c r="M539" s="131"/>
      <c r="N539" s="132"/>
      <c r="O539" s="133"/>
      <c r="P539" s="238"/>
      <c r="Q539" s="190"/>
      <c r="R539" s="239"/>
      <c r="S539" s="190"/>
      <c r="T539" s="240"/>
      <c r="U539" s="241"/>
      <c r="V539" s="190"/>
      <c r="W539" s="190"/>
      <c r="X539" s="190"/>
      <c r="Y539" s="56"/>
    </row>
    <row r="540">
      <c r="A540" s="237"/>
      <c r="B540" s="130"/>
      <c r="C540" s="130"/>
      <c r="D540" s="130"/>
      <c r="E540" s="199"/>
      <c r="F540" s="130"/>
      <c r="G540" s="130"/>
      <c r="H540" s="130"/>
      <c r="I540" s="130"/>
      <c r="J540" s="130"/>
      <c r="K540" s="130"/>
      <c r="L540" s="130"/>
      <c r="M540" s="131"/>
      <c r="N540" s="132"/>
      <c r="O540" s="133"/>
      <c r="P540" s="238"/>
      <c r="Q540" s="190"/>
      <c r="R540" s="239"/>
      <c r="S540" s="190"/>
      <c r="T540" s="240"/>
      <c r="U540" s="241"/>
      <c r="V540" s="190"/>
      <c r="W540" s="190"/>
      <c r="X540" s="190"/>
      <c r="Y540" s="56"/>
    </row>
    <row r="541">
      <c r="A541" s="237"/>
      <c r="B541" s="130"/>
      <c r="C541" s="130"/>
      <c r="D541" s="130"/>
      <c r="E541" s="199"/>
      <c r="F541" s="130"/>
      <c r="G541" s="130"/>
      <c r="H541" s="130"/>
      <c r="I541" s="130"/>
      <c r="J541" s="130"/>
      <c r="K541" s="130"/>
      <c r="L541" s="130"/>
      <c r="M541" s="131"/>
      <c r="N541" s="132"/>
      <c r="O541" s="133"/>
      <c r="P541" s="238"/>
      <c r="Q541" s="190"/>
      <c r="R541" s="239"/>
      <c r="S541" s="190"/>
      <c r="T541" s="240"/>
      <c r="U541" s="241"/>
      <c r="V541" s="190"/>
      <c r="W541" s="190"/>
      <c r="X541" s="190"/>
      <c r="Y541" s="56"/>
    </row>
    <row r="542">
      <c r="A542" s="237"/>
      <c r="B542" s="130"/>
      <c r="C542" s="130"/>
      <c r="D542" s="130"/>
      <c r="E542" s="199"/>
      <c r="F542" s="130"/>
      <c r="G542" s="130"/>
      <c r="H542" s="130"/>
      <c r="I542" s="130"/>
      <c r="J542" s="130"/>
      <c r="K542" s="130"/>
      <c r="L542" s="130"/>
      <c r="M542" s="131"/>
      <c r="N542" s="132"/>
      <c r="O542" s="133"/>
      <c r="P542" s="238"/>
      <c r="Q542" s="190"/>
      <c r="R542" s="239"/>
      <c r="S542" s="190"/>
      <c r="T542" s="240"/>
      <c r="U542" s="241"/>
      <c r="V542" s="190"/>
      <c r="W542" s="190"/>
      <c r="X542" s="190"/>
      <c r="Y542" s="56"/>
    </row>
    <row r="543">
      <c r="A543" s="237"/>
      <c r="B543" s="130"/>
      <c r="C543" s="130"/>
      <c r="D543" s="130"/>
      <c r="E543" s="199"/>
      <c r="F543" s="130"/>
      <c r="G543" s="130"/>
      <c r="H543" s="130"/>
      <c r="I543" s="130"/>
      <c r="J543" s="130"/>
      <c r="K543" s="130"/>
      <c r="L543" s="130"/>
      <c r="M543" s="131"/>
      <c r="N543" s="132"/>
      <c r="O543" s="133"/>
      <c r="P543" s="238"/>
      <c r="Q543" s="190"/>
      <c r="R543" s="239"/>
      <c r="S543" s="190"/>
      <c r="T543" s="240"/>
      <c r="U543" s="241"/>
      <c r="V543" s="190"/>
      <c r="W543" s="190"/>
      <c r="X543" s="190"/>
      <c r="Y543" s="56"/>
    </row>
    <row r="544">
      <c r="A544" s="237"/>
      <c r="B544" s="130"/>
      <c r="C544" s="130"/>
      <c r="D544" s="130"/>
      <c r="E544" s="199"/>
      <c r="F544" s="130"/>
      <c r="G544" s="130"/>
      <c r="H544" s="130"/>
      <c r="I544" s="130"/>
      <c r="J544" s="130"/>
      <c r="K544" s="130"/>
      <c r="L544" s="130"/>
      <c r="M544" s="131"/>
      <c r="N544" s="132"/>
      <c r="O544" s="133"/>
      <c r="P544" s="238"/>
      <c r="Q544" s="190"/>
      <c r="R544" s="239"/>
      <c r="S544" s="190"/>
      <c r="T544" s="240"/>
      <c r="U544" s="241"/>
      <c r="V544" s="190"/>
      <c r="W544" s="190"/>
      <c r="X544" s="190"/>
      <c r="Y544" s="56"/>
    </row>
    <row r="545">
      <c r="A545" s="237"/>
      <c r="B545" s="130"/>
      <c r="C545" s="130"/>
      <c r="D545" s="130"/>
      <c r="E545" s="199"/>
      <c r="F545" s="130"/>
      <c r="G545" s="130"/>
      <c r="H545" s="130"/>
      <c r="I545" s="130"/>
      <c r="J545" s="130"/>
      <c r="K545" s="130"/>
      <c r="L545" s="130"/>
      <c r="M545" s="131"/>
      <c r="N545" s="132"/>
      <c r="O545" s="133"/>
      <c r="P545" s="238"/>
      <c r="Q545" s="190"/>
      <c r="R545" s="239"/>
      <c r="S545" s="190"/>
      <c r="T545" s="240"/>
      <c r="U545" s="241"/>
      <c r="V545" s="190"/>
      <c r="W545" s="190"/>
      <c r="X545" s="190"/>
      <c r="Y545" s="56"/>
    </row>
    <row r="546">
      <c r="A546" s="237"/>
      <c r="B546" s="130"/>
      <c r="C546" s="130"/>
      <c r="D546" s="130"/>
      <c r="E546" s="199"/>
      <c r="F546" s="130"/>
      <c r="G546" s="130"/>
      <c r="H546" s="130"/>
      <c r="I546" s="130"/>
      <c r="J546" s="130"/>
      <c r="K546" s="130"/>
      <c r="L546" s="130"/>
      <c r="M546" s="131"/>
      <c r="N546" s="132"/>
      <c r="O546" s="133"/>
      <c r="P546" s="238"/>
      <c r="Q546" s="190"/>
      <c r="R546" s="239"/>
      <c r="S546" s="190"/>
      <c r="T546" s="240"/>
      <c r="U546" s="241"/>
      <c r="V546" s="190"/>
      <c r="W546" s="190"/>
      <c r="X546" s="190"/>
      <c r="Y546" s="56"/>
    </row>
    <row r="547">
      <c r="A547" s="237"/>
      <c r="B547" s="130"/>
      <c r="C547" s="130"/>
      <c r="D547" s="130"/>
      <c r="E547" s="199"/>
      <c r="F547" s="130"/>
      <c r="G547" s="130"/>
      <c r="H547" s="130"/>
      <c r="I547" s="130"/>
      <c r="J547" s="130"/>
      <c r="K547" s="130"/>
      <c r="L547" s="130"/>
      <c r="M547" s="131"/>
      <c r="N547" s="132"/>
      <c r="O547" s="133"/>
      <c r="P547" s="238"/>
      <c r="Q547" s="190"/>
      <c r="R547" s="239"/>
      <c r="S547" s="190"/>
      <c r="T547" s="240"/>
      <c r="U547" s="241"/>
      <c r="V547" s="190"/>
      <c r="W547" s="190"/>
      <c r="X547" s="190"/>
      <c r="Y547" s="56"/>
    </row>
    <row r="548">
      <c r="A548" s="237"/>
      <c r="B548" s="130"/>
      <c r="C548" s="130"/>
      <c r="D548" s="130"/>
      <c r="E548" s="199"/>
      <c r="F548" s="130"/>
      <c r="G548" s="130"/>
      <c r="H548" s="130"/>
      <c r="I548" s="130"/>
      <c r="J548" s="130"/>
      <c r="K548" s="130"/>
      <c r="L548" s="130"/>
      <c r="M548" s="131"/>
      <c r="N548" s="132"/>
      <c r="O548" s="133"/>
      <c r="P548" s="238"/>
      <c r="Q548" s="190"/>
      <c r="R548" s="239"/>
      <c r="S548" s="190"/>
      <c r="T548" s="240"/>
      <c r="U548" s="241"/>
      <c r="V548" s="190"/>
      <c r="W548" s="190"/>
      <c r="X548" s="190"/>
      <c r="Y548" s="56"/>
    </row>
    <row r="549">
      <c r="A549" s="237"/>
      <c r="B549" s="130"/>
      <c r="C549" s="130"/>
      <c r="D549" s="130"/>
      <c r="E549" s="199"/>
      <c r="F549" s="130"/>
      <c r="G549" s="130"/>
      <c r="H549" s="130"/>
      <c r="I549" s="130"/>
      <c r="J549" s="130"/>
      <c r="K549" s="130"/>
      <c r="L549" s="130"/>
      <c r="M549" s="131"/>
      <c r="N549" s="132"/>
      <c r="O549" s="133"/>
      <c r="P549" s="238"/>
      <c r="Q549" s="190"/>
      <c r="R549" s="239"/>
      <c r="S549" s="190"/>
      <c r="T549" s="240"/>
      <c r="U549" s="241"/>
      <c r="V549" s="190"/>
      <c r="W549" s="190"/>
      <c r="X549" s="190"/>
      <c r="Y549" s="56"/>
    </row>
    <row r="550">
      <c r="A550" s="237"/>
      <c r="B550" s="130"/>
      <c r="C550" s="130"/>
      <c r="D550" s="130"/>
      <c r="E550" s="199"/>
      <c r="F550" s="130"/>
      <c r="G550" s="130"/>
      <c r="H550" s="130"/>
      <c r="I550" s="130"/>
      <c r="J550" s="130"/>
      <c r="K550" s="130"/>
      <c r="L550" s="130"/>
      <c r="M550" s="131"/>
      <c r="N550" s="132"/>
      <c r="O550" s="133"/>
      <c r="P550" s="238"/>
      <c r="Q550" s="190"/>
      <c r="R550" s="239"/>
      <c r="S550" s="190"/>
      <c r="T550" s="240"/>
      <c r="U550" s="241"/>
      <c r="V550" s="190"/>
      <c r="W550" s="190"/>
      <c r="X550" s="190"/>
      <c r="Y550" s="56"/>
    </row>
    <row r="551">
      <c r="A551" s="237"/>
      <c r="B551" s="130"/>
      <c r="C551" s="130"/>
      <c r="D551" s="130"/>
      <c r="E551" s="199"/>
      <c r="F551" s="130"/>
      <c r="G551" s="130"/>
      <c r="H551" s="130"/>
      <c r="I551" s="130"/>
      <c r="J551" s="130"/>
      <c r="K551" s="130"/>
      <c r="L551" s="130"/>
      <c r="M551" s="131"/>
      <c r="N551" s="132"/>
      <c r="O551" s="133"/>
      <c r="P551" s="238"/>
      <c r="Q551" s="190"/>
      <c r="R551" s="239"/>
      <c r="S551" s="190"/>
      <c r="T551" s="240"/>
      <c r="U551" s="241"/>
      <c r="V551" s="190"/>
      <c r="W551" s="190"/>
      <c r="X551" s="190"/>
      <c r="Y551" s="56"/>
    </row>
    <row r="552">
      <c r="A552" s="237"/>
      <c r="B552" s="130"/>
      <c r="C552" s="130"/>
      <c r="D552" s="130"/>
      <c r="E552" s="199"/>
      <c r="F552" s="130"/>
      <c r="G552" s="130"/>
      <c r="H552" s="130"/>
      <c r="I552" s="130"/>
      <c r="J552" s="130"/>
      <c r="K552" s="130"/>
      <c r="L552" s="130"/>
      <c r="M552" s="131"/>
      <c r="N552" s="132"/>
      <c r="O552" s="133"/>
      <c r="P552" s="238"/>
      <c r="Q552" s="190"/>
      <c r="R552" s="239"/>
      <c r="S552" s="190"/>
      <c r="T552" s="240"/>
      <c r="U552" s="241"/>
      <c r="V552" s="190"/>
      <c r="W552" s="190"/>
      <c r="X552" s="190"/>
      <c r="Y552" s="56"/>
    </row>
    <row r="553">
      <c r="A553" s="237"/>
      <c r="B553" s="130"/>
      <c r="C553" s="130"/>
      <c r="D553" s="130"/>
      <c r="E553" s="199"/>
      <c r="F553" s="130"/>
      <c r="G553" s="130"/>
      <c r="H553" s="130"/>
      <c r="I553" s="130"/>
      <c r="J553" s="130"/>
      <c r="K553" s="130"/>
      <c r="L553" s="130"/>
      <c r="M553" s="131"/>
      <c r="N553" s="132"/>
      <c r="O553" s="133"/>
      <c r="P553" s="238"/>
      <c r="Q553" s="190"/>
      <c r="R553" s="239"/>
      <c r="S553" s="190"/>
      <c r="T553" s="240"/>
      <c r="U553" s="241"/>
      <c r="V553" s="190"/>
      <c r="W553" s="190"/>
      <c r="X553" s="190"/>
      <c r="Y553" s="56"/>
    </row>
    <row r="554">
      <c r="A554" s="237"/>
      <c r="B554" s="130"/>
      <c r="C554" s="130"/>
      <c r="D554" s="130"/>
      <c r="E554" s="199"/>
      <c r="F554" s="130"/>
      <c r="G554" s="130"/>
      <c r="H554" s="130"/>
      <c r="I554" s="130"/>
      <c r="J554" s="130"/>
      <c r="K554" s="130"/>
      <c r="L554" s="130"/>
      <c r="M554" s="131"/>
      <c r="N554" s="132"/>
      <c r="O554" s="133"/>
      <c r="P554" s="238"/>
      <c r="Q554" s="190"/>
      <c r="R554" s="239"/>
      <c r="S554" s="190"/>
      <c r="T554" s="240"/>
      <c r="U554" s="241"/>
      <c r="V554" s="190"/>
      <c r="W554" s="190"/>
      <c r="X554" s="190"/>
      <c r="Y554" s="56"/>
    </row>
    <row r="555">
      <c r="A555" s="237"/>
      <c r="B555" s="130"/>
      <c r="C555" s="130"/>
      <c r="D555" s="130"/>
      <c r="E555" s="199"/>
      <c r="F555" s="130"/>
      <c r="G555" s="130"/>
      <c r="H555" s="130"/>
      <c r="I555" s="130"/>
      <c r="J555" s="130"/>
      <c r="K555" s="130"/>
      <c r="L555" s="130"/>
      <c r="M555" s="131"/>
      <c r="N555" s="132"/>
      <c r="O555" s="133"/>
      <c r="P555" s="238"/>
      <c r="Q555" s="190"/>
      <c r="R555" s="239"/>
      <c r="S555" s="190"/>
      <c r="T555" s="240"/>
      <c r="U555" s="241"/>
      <c r="V555" s="190"/>
      <c r="W555" s="190"/>
      <c r="X555" s="190"/>
      <c r="Y555" s="56"/>
    </row>
    <row r="556">
      <c r="A556" s="237"/>
      <c r="B556" s="130"/>
      <c r="C556" s="130"/>
      <c r="D556" s="130"/>
      <c r="E556" s="199"/>
      <c r="F556" s="130"/>
      <c r="G556" s="130"/>
      <c r="H556" s="130"/>
      <c r="I556" s="130"/>
      <c r="J556" s="130"/>
      <c r="K556" s="130"/>
      <c r="L556" s="130"/>
      <c r="M556" s="131"/>
      <c r="N556" s="132"/>
      <c r="O556" s="133"/>
      <c r="P556" s="238"/>
      <c r="Q556" s="190"/>
      <c r="R556" s="239"/>
      <c r="S556" s="190"/>
      <c r="T556" s="240"/>
      <c r="U556" s="241"/>
      <c r="V556" s="190"/>
      <c r="W556" s="190"/>
      <c r="X556" s="190"/>
      <c r="Y556" s="56"/>
    </row>
    <row r="557">
      <c r="A557" s="237"/>
      <c r="B557" s="130"/>
      <c r="C557" s="130"/>
      <c r="D557" s="130"/>
      <c r="E557" s="199"/>
      <c r="F557" s="130"/>
      <c r="G557" s="130"/>
      <c r="H557" s="130"/>
      <c r="I557" s="130"/>
      <c r="J557" s="130"/>
      <c r="K557" s="130"/>
      <c r="L557" s="130"/>
      <c r="M557" s="131"/>
      <c r="N557" s="132"/>
      <c r="O557" s="133"/>
      <c r="P557" s="238"/>
      <c r="Q557" s="190"/>
      <c r="R557" s="239"/>
      <c r="S557" s="190"/>
      <c r="T557" s="240"/>
      <c r="U557" s="241"/>
      <c r="V557" s="190"/>
      <c r="W557" s="190"/>
      <c r="X557" s="190"/>
      <c r="Y557" s="56"/>
    </row>
    <row r="558">
      <c r="A558" s="237"/>
      <c r="B558" s="130"/>
      <c r="C558" s="130"/>
      <c r="D558" s="130"/>
      <c r="E558" s="199"/>
      <c r="F558" s="130"/>
      <c r="G558" s="130"/>
      <c r="H558" s="130"/>
      <c r="I558" s="130"/>
      <c r="J558" s="130"/>
      <c r="K558" s="130"/>
      <c r="L558" s="130"/>
      <c r="M558" s="131"/>
      <c r="N558" s="132"/>
      <c r="O558" s="133"/>
      <c r="P558" s="238"/>
      <c r="Q558" s="190"/>
      <c r="R558" s="239"/>
      <c r="S558" s="190"/>
      <c r="T558" s="240"/>
      <c r="U558" s="241"/>
      <c r="V558" s="190"/>
      <c r="W558" s="190"/>
      <c r="X558" s="190"/>
      <c r="Y558" s="56"/>
    </row>
    <row r="559">
      <c r="A559" s="237"/>
      <c r="B559" s="130"/>
      <c r="C559" s="130"/>
      <c r="D559" s="130"/>
      <c r="E559" s="199"/>
      <c r="F559" s="130"/>
      <c r="G559" s="130"/>
      <c r="H559" s="130"/>
      <c r="I559" s="130"/>
      <c r="J559" s="130"/>
      <c r="K559" s="130"/>
      <c r="L559" s="130"/>
      <c r="M559" s="131"/>
      <c r="N559" s="132"/>
      <c r="O559" s="133"/>
      <c r="P559" s="238"/>
      <c r="Q559" s="190"/>
      <c r="R559" s="239"/>
      <c r="S559" s="190"/>
      <c r="T559" s="240"/>
      <c r="U559" s="241"/>
      <c r="V559" s="190"/>
      <c r="W559" s="190"/>
      <c r="X559" s="190"/>
      <c r="Y559" s="56"/>
    </row>
    <row r="560">
      <c r="A560" s="237"/>
      <c r="B560" s="130"/>
      <c r="C560" s="130"/>
      <c r="D560" s="130"/>
      <c r="E560" s="199"/>
      <c r="F560" s="130"/>
      <c r="G560" s="130"/>
      <c r="H560" s="130"/>
      <c r="I560" s="130"/>
      <c r="J560" s="130"/>
      <c r="K560" s="130"/>
      <c r="L560" s="130"/>
      <c r="M560" s="131"/>
      <c r="N560" s="132"/>
      <c r="O560" s="133"/>
      <c r="P560" s="238"/>
      <c r="Q560" s="190"/>
      <c r="R560" s="239"/>
      <c r="S560" s="190"/>
      <c r="T560" s="240"/>
      <c r="U560" s="241"/>
      <c r="V560" s="190"/>
      <c r="W560" s="190"/>
      <c r="X560" s="190"/>
      <c r="Y560" s="56"/>
    </row>
    <row r="561">
      <c r="A561" s="237"/>
      <c r="B561" s="130"/>
      <c r="C561" s="130"/>
      <c r="D561" s="130"/>
      <c r="E561" s="199"/>
      <c r="F561" s="130"/>
      <c r="G561" s="130"/>
      <c r="H561" s="130"/>
      <c r="I561" s="130"/>
      <c r="J561" s="130"/>
      <c r="K561" s="130"/>
      <c r="L561" s="130"/>
      <c r="M561" s="131"/>
      <c r="N561" s="132"/>
      <c r="O561" s="133"/>
      <c r="P561" s="238"/>
      <c r="Q561" s="190"/>
      <c r="R561" s="239"/>
      <c r="S561" s="190"/>
      <c r="T561" s="240"/>
      <c r="U561" s="241"/>
      <c r="V561" s="190"/>
      <c r="W561" s="190"/>
      <c r="X561" s="190"/>
      <c r="Y561" s="56"/>
    </row>
    <row r="562">
      <c r="A562" s="237"/>
      <c r="B562" s="130"/>
      <c r="C562" s="130"/>
      <c r="D562" s="130"/>
      <c r="E562" s="199"/>
      <c r="F562" s="130"/>
      <c r="G562" s="130"/>
      <c r="H562" s="130"/>
      <c r="I562" s="130"/>
      <c r="J562" s="130"/>
      <c r="K562" s="130"/>
      <c r="L562" s="130"/>
      <c r="M562" s="131"/>
      <c r="N562" s="132"/>
      <c r="O562" s="133"/>
      <c r="P562" s="238"/>
      <c r="Q562" s="190"/>
      <c r="R562" s="239"/>
      <c r="S562" s="190"/>
      <c r="T562" s="240"/>
      <c r="U562" s="241"/>
      <c r="V562" s="190"/>
      <c r="W562" s="190"/>
      <c r="X562" s="190"/>
      <c r="Y562" s="56"/>
    </row>
    <row r="563">
      <c r="A563" s="237"/>
      <c r="B563" s="130"/>
      <c r="C563" s="130"/>
      <c r="D563" s="130"/>
      <c r="E563" s="199"/>
      <c r="F563" s="130"/>
      <c r="G563" s="130"/>
      <c r="H563" s="130"/>
      <c r="I563" s="130"/>
      <c r="J563" s="130"/>
      <c r="K563" s="130"/>
      <c r="L563" s="130"/>
      <c r="M563" s="131"/>
      <c r="N563" s="132"/>
      <c r="O563" s="133"/>
      <c r="P563" s="238"/>
      <c r="Q563" s="190"/>
      <c r="R563" s="239"/>
      <c r="S563" s="190"/>
      <c r="T563" s="240"/>
      <c r="U563" s="241"/>
      <c r="V563" s="190"/>
      <c r="W563" s="190"/>
      <c r="X563" s="190"/>
      <c r="Y563" s="56"/>
    </row>
    <row r="564">
      <c r="A564" s="237"/>
      <c r="B564" s="130"/>
      <c r="C564" s="130"/>
      <c r="D564" s="130"/>
      <c r="E564" s="199"/>
      <c r="F564" s="130"/>
      <c r="G564" s="130"/>
      <c r="H564" s="130"/>
      <c r="I564" s="130"/>
      <c r="J564" s="130"/>
      <c r="K564" s="130"/>
      <c r="L564" s="130"/>
      <c r="M564" s="131"/>
      <c r="N564" s="132"/>
      <c r="O564" s="133"/>
      <c r="P564" s="238"/>
      <c r="Q564" s="190"/>
      <c r="R564" s="239"/>
      <c r="S564" s="190"/>
      <c r="T564" s="240"/>
      <c r="U564" s="241"/>
      <c r="V564" s="190"/>
      <c r="W564" s="190"/>
      <c r="X564" s="190"/>
      <c r="Y564" s="56"/>
    </row>
    <row r="565">
      <c r="A565" s="237"/>
      <c r="B565" s="130"/>
      <c r="C565" s="130"/>
      <c r="D565" s="130"/>
      <c r="E565" s="199"/>
      <c r="F565" s="130"/>
      <c r="G565" s="130"/>
      <c r="H565" s="130"/>
      <c r="I565" s="130"/>
      <c r="J565" s="130"/>
      <c r="K565" s="130"/>
      <c r="L565" s="130"/>
      <c r="M565" s="131"/>
      <c r="N565" s="132"/>
      <c r="O565" s="133"/>
      <c r="P565" s="238"/>
      <c r="Q565" s="190"/>
      <c r="R565" s="239"/>
      <c r="S565" s="190"/>
      <c r="T565" s="240"/>
      <c r="U565" s="241"/>
      <c r="V565" s="190"/>
      <c r="W565" s="190"/>
      <c r="X565" s="190"/>
      <c r="Y565" s="56"/>
    </row>
    <row r="566">
      <c r="A566" s="237"/>
      <c r="B566" s="130"/>
      <c r="C566" s="130"/>
      <c r="D566" s="130"/>
      <c r="E566" s="199"/>
      <c r="F566" s="130"/>
      <c r="G566" s="130"/>
      <c r="H566" s="130"/>
      <c r="I566" s="130"/>
      <c r="J566" s="130"/>
      <c r="K566" s="130"/>
      <c r="L566" s="130"/>
      <c r="M566" s="131"/>
      <c r="N566" s="132"/>
      <c r="O566" s="133"/>
      <c r="P566" s="238"/>
      <c r="Q566" s="190"/>
      <c r="R566" s="239"/>
      <c r="S566" s="190"/>
      <c r="T566" s="240"/>
      <c r="U566" s="241"/>
      <c r="V566" s="190"/>
      <c r="W566" s="190"/>
      <c r="X566" s="190"/>
      <c r="Y566" s="56"/>
    </row>
    <row r="567">
      <c r="A567" s="237"/>
      <c r="B567" s="130"/>
      <c r="C567" s="130"/>
      <c r="D567" s="130"/>
      <c r="E567" s="199"/>
      <c r="F567" s="130"/>
      <c r="G567" s="130"/>
      <c r="H567" s="130"/>
      <c r="I567" s="130"/>
      <c r="J567" s="130"/>
      <c r="K567" s="130"/>
      <c r="L567" s="130"/>
      <c r="M567" s="131"/>
      <c r="N567" s="132"/>
      <c r="O567" s="133"/>
      <c r="P567" s="238"/>
      <c r="Q567" s="190"/>
      <c r="R567" s="239"/>
      <c r="S567" s="190"/>
      <c r="T567" s="240"/>
      <c r="U567" s="241"/>
      <c r="V567" s="190"/>
      <c r="W567" s="190"/>
      <c r="X567" s="190"/>
      <c r="Y567" s="56"/>
    </row>
    <row r="568">
      <c r="A568" s="237"/>
      <c r="B568" s="130"/>
      <c r="C568" s="130"/>
      <c r="D568" s="130"/>
      <c r="E568" s="199"/>
      <c r="F568" s="130"/>
      <c r="G568" s="130"/>
      <c r="H568" s="130"/>
      <c r="I568" s="130"/>
      <c r="J568" s="130"/>
      <c r="K568" s="130"/>
      <c r="L568" s="130"/>
      <c r="M568" s="131"/>
      <c r="N568" s="132"/>
      <c r="O568" s="133"/>
      <c r="P568" s="238"/>
      <c r="Q568" s="190"/>
      <c r="R568" s="239"/>
      <c r="S568" s="190"/>
      <c r="T568" s="240"/>
      <c r="U568" s="241"/>
      <c r="V568" s="190"/>
      <c r="W568" s="190"/>
      <c r="X568" s="190"/>
      <c r="Y568" s="56"/>
    </row>
    <row r="569">
      <c r="A569" s="237"/>
      <c r="B569" s="130"/>
      <c r="C569" s="130"/>
      <c r="D569" s="130"/>
      <c r="E569" s="199"/>
      <c r="F569" s="130"/>
      <c r="G569" s="130"/>
      <c r="H569" s="130"/>
      <c r="I569" s="130"/>
      <c r="J569" s="130"/>
      <c r="K569" s="130"/>
      <c r="L569" s="130"/>
      <c r="M569" s="131"/>
      <c r="N569" s="132"/>
      <c r="O569" s="133"/>
      <c r="P569" s="238"/>
      <c r="Q569" s="190"/>
      <c r="R569" s="239"/>
      <c r="S569" s="190"/>
      <c r="T569" s="240"/>
      <c r="U569" s="241"/>
      <c r="V569" s="190"/>
      <c r="W569" s="190"/>
      <c r="X569" s="190"/>
      <c r="Y569" s="56"/>
    </row>
    <row r="570">
      <c r="A570" s="237"/>
      <c r="B570" s="130"/>
      <c r="C570" s="130"/>
      <c r="D570" s="130"/>
      <c r="E570" s="199"/>
      <c r="F570" s="130"/>
      <c r="G570" s="130"/>
      <c r="H570" s="130"/>
      <c r="I570" s="130"/>
      <c r="J570" s="130"/>
      <c r="K570" s="130"/>
      <c r="L570" s="130"/>
      <c r="M570" s="131"/>
      <c r="N570" s="132"/>
      <c r="O570" s="133"/>
      <c r="P570" s="238"/>
      <c r="Q570" s="190"/>
      <c r="R570" s="239"/>
      <c r="S570" s="190"/>
      <c r="T570" s="240"/>
      <c r="U570" s="241"/>
      <c r="V570" s="190"/>
      <c r="W570" s="190"/>
      <c r="X570" s="190"/>
      <c r="Y570" s="56"/>
    </row>
    <row r="571">
      <c r="A571" s="237"/>
      <c r="B571" s="130"/>
      <c r="C571" s="130"/>
      <c r="D571" s="130"/>
      <c r="E571" s="199"/>
      <c r="F571" s="130"/>
      <c r="G571" s="130"/>
      <c r="H571" s="130"/>
      <c r="I571" s="130"/>
      <c r="J571" s="130"/>
      <c r="K571" s="130"/>
      <c r="L571" s="130"/>
      <c r="M571" s="131"/>
      <c r="N571" s="132"/>
      <c r="O571" s="133"/>
      <c r="P571" s="238"/>
      <c r="Q571" s="190"/>
      <c r="R571" s="239"/>
      <c r="S571" s="190"/>
      <c r="T571" s="240"/>
      <c r="U571" s="241"/>
      <c r="V571" s="190"/>
      <c r="W571" s="190"/>
      <c r="X571" s="190"/>
      <c r="Y571" s="56"/>
    </row>
    <row r="572">
      <c r="A572" s="237"/>
      <c r="B572" s="130"/>
      <c r="C572" s="130"/>
      <c r="D572" s="130"/>
      <c r="E572" s="199"/>
      <c r="F572" s="130"/>
      <c r="G572" s="130"/>
      <c r="H572" s="130"/>
      <c r="I572" s="130"/>
      <c r="J572" s="130"/>
      <c r="K572" s="130"/>
      <c r="L572" s="130"/>
      <c r="M572" s="131"/>
      <c r="N572" s="132"/>
      <c r="O572" s="133"/>
      <c r="P572" s="238"/>
      <c r="Q572" s="190"/>
      <c r="R572" s="239"/>
      <c r="S572" s="190"/>
      <c r="T572" s="240"/>
      <c r="U572" s="241"/>
      <c r="V572" s="190"/>
      <c r="W572" s="190"/>
      <c r="X572" s="190"/>
      <c r="Y572" s="56"/>
    </row>
    <row r="573">
      <c r="A573" s="237"/>
      <c r="B573" s="130"/>
      <c r="C573" s="130"/>
      <c r="D573" s="130"/>
      <c r="E573" s="199"/>
      <c r="F573" s="130"/>
      <c r="G573" s="130"/>
      <c r="H573" s="130"/>
      <c r="I573" s="130"/>
      <c r="J573" s="130"/>
      <c r="K573" s="130"/>
      <c r="L573" s="130"/>
      <c r="M573" s="131"/>
      <c r="N573" s="132"/>
      <c r="O573" s="133"/>
      <c r="P573" s="238"/>
      <c r="Q573" s="190"/>
      <c r="R573" s="239"/>
      <c r="S573" s="190"/>
      <c r="T573" s="240"/>
      <c r="U573" s="241"/>
      <c r="V573" s="190"/>
      <c r="W573" s="190"/>
      <c r="X573" s="190"/>
      <c r="Y573" s="56"/>
    </row>
    <row r="574">
      <c r="A574" s="237"/>
      <c r="B574" s="130"/>
      <c r="C574" s="130"/>
      <c r="D574" s="130"/>
      <c r="E574" s="199"/>
      <c r="F574" s="130"/>
      <c r="G574" s="130"/>
      <c r="H574" s="130"/>
      <c r="I574" s="130"/>
      <c r="J574" s="130"/>
      <c r="K574" s="130"/>
      <c r="L574" s="130"/>
      <c r="M574" s="131"/>
      <c r="N574" s="132"/>
      <c r="O574" s="133"/>
      <c r="P574" s="238"/>
      <c r="Q574" s="190"/>
      <c r="R574" s="239"/>
      <c r="S574" s="190"/>
      <c r="T574" s="240"/>
      <c r="U574" s="241"/>
      <c r="V574" s="190"/>
      <c r="W574" s="190"/>
      <c r="X574" s="190"/>
      <c r="Y574" s="56"/>
    </row>
    <row r="575">
      <c r="A575" s="237"/>
      <c r="B575" s="130"/>
      <c r="C575" s="130"/>
      <c r="D575" s="130"/>
      <c r="E575" s="199"/>
      <c r="F575" s="130"/>
      <c r="G575" s="130"/>
      <c r="H575" s="130"/>
      <c r="I575" s="130"/>
      <c r="J575" s="130"/>
      <c r="K575" s="130"/>
      <c r="L575" s="130"/>
      <c r="M575" s="131"/>
      <c r="N575" s="132"/>
      <c r="O575" s="133"/>
      <c r="P575" s="238"/>
      <c r="Q575" s="190"/>
      <c r="R575" s="239"/>
      <c r="S575" s="190"/>
      <c r="T575" s="240"/>
      <c r="U575" s="241"/>
      <c r="V575" s="190"/>
      <c r="W575" s="190"/>
      <c r="X575" s="190"/>
      <c r="Y575" s="56"/>
    </row>
    <row r="576">
      <c r="A576" s="237"/>
      <c r="B576" s="130"/>
      <c r="C576" s="130"/>
      <c r="D576" s="130"/>
      <c r="E576" s="199"/>
      <c r="F576" s="130"/>
      <c r="G576" s="130"/>
      <c r="H576" s="130"/>
      <c r="I576" s="130"/>
      <c r="J576" s="130"/>
      <c r="K576" s="130"/>
      <c r="L576" s="130"/>
      <c r="M576" s="131"/>
      <c r="N576" s="132"/>
      <c r="O576" s="133"/>
      <c r="P576" s="238"/>
      <c r="Q576" s="190"/>
      <c r="R576" s="239"/>
      <c r="S576" s="190"/>
      <c r="T576" s="240"/>
      <c r="U576" s="241"/>
      <c r="V576" s="190"/>
      <c r="W576" s="190"/>
      <c r="X576" s="190"/>
      <c r="Y576" s="56"/>
    </row>
    <row r="577">
      <c r="A577" s="237"/>
      <c r="B577" s="130"/>
      <c r="C577" s="130"/>
      <c r="D577" s="130"/>
      <c r="E577" s="199"/>
      <c r="F577" s="130"/>
      <c r="G577" s="130"/>
      <c r="H577" s="130"/>
      <c r="I577" s="130"/>
      <c r="J577" s="130"/>
      <c r="K577" s="130"/>
      <c r="L577" s="130"/>
      <c r="M577" s="131"/>
      <c r="N577" s="132"/>
      <c r="O577" s="133"/>
      <c r="P577" s="238"/>
      <c r="Q577" s="190"/>
      <c r="R577" s="239"/>
      <c r="S577" s="190"/>
      <c r="T577" s="240"/>
      <c r="U577" s="241"/>
      <c r="V577" s="190"/>
      <c r="W577" s="190"/>
      <c r="X577" s="190"/>
      <c r="Y577" s="56"/>
    </row>
    <row r="578">
      <c r="A578" s="237"/>
      <c r="B578" s="130"/>
      <c r="C578" s="130"/>
      <c r="D578" s="130"/>
      <c r="E578" s="199"/>
      <c r="F578" s="130"/>
      <c r="G578" s="130"/>
      <c r="H578" s="130"/>
      <c r="I578" s="130"/>
      <c r="J578" s="130"/>
      <c r="K578" s="130"/>
      <c r="L578" s="130"/>
      <c r="M578" s="131"/>
      <c r="N578" s="132"/>
      <c r="O578" s="133"/>
      <c r="P578" s="238"/>
      <c r="Q578" s="190"/>
      <c r="R578" s="239"/>
      <c r="S578" s="190"/>
      <c r="T578" s="240"/>
      <c r="U578" s="241"/>
      <c r="V578" s="190"/>
      <c r="W578" s="190"/>
      <c r="X578" s="190"/>
      <c r="Y578" s="56"/>
    </row>
    <row r="579">
      <c r="A579" s="237"/>
      <c r="B579" s="130"/>
      <c r="C579" s="130"/>
      <c r="D579" s="130"/>
      <c r="E579" s="199"/>
      <c r="F579" s="130"/>
      <c r="G579" s="130"/>
      <c r="H579" s="130"/>
      <c r="I579" s="130"/>
      <c r="J579" s="130"/>
      <c r="K579" s="130"/>
      <c r="L579" s="130"/>
      <c r="M579" s="131"/>
      <c r="N579" s="132"/>
      <c r="O579" s="133"/>
      <c r="P579" s="238"/>
      <c r="Q579" s="190"/>
      <c r="R579" s="239"/>
      <c r="S579" s="190"/>
      <c r="T579" s="240"/>
      <c r="U579" s="241"/>
      <c r="V579" s="190"/>
      <c r="W579" s="190"/>
      <c r="X579" s="190"/>
      <c r="Y579" s="56"/>
    </row>
    <row r="580">
      <c r="A580" s="237"/>
      <c r="B580" s="130"/>
      <c r="C580" s="130"/>
      <c r="D580" s="130"/>
      <c r="E580" s="199"/>
      <c r="F580" s="130"/>
      <c r="G580" s="130"/>
      <c r="H580" s="130"/>
      <c r="I580" s="130"/>
      <c r="J580" s="130"/>
      <c r="K580" s="130"/>
      <c r="L580" s="130"/>
      <c r="M580" s="131"/>
      <c r="N580" s="132"/>
      <c r="O580" s="133"/>
      <c r="P580" s="238"/>
      <c r="Q580" s="190"/>
      <c r="R580" s="239"/>
      <c r="S580" s="190"/>
      <c r="T580" s="240"/>
      <c r="U580" s="241"/>
      <c r="V580" s="190"/>
      <c r="W580" s="190"/>
      <c r="X580" s="190"/>
      <c r="Y580" s="56"/>
    </row>
    <row r="581">
      <c r="A581" s="237"/>
      <c r="B581" s="130"/>
      <c r="C581" s="130"/>
      <c r="D581" s="130"/>
      <c r="E581" s="199"/>
      <c r="F581" s="130"/>
      <c r="G581" s="130"/>
      <c r="H581" s="130"/>
      <c r="I581" s="130"/>
      <c r="J581" s="130"/>
      <c r="K581" s="130"/>
      <c r="L581" s="130"/>
      <c r="M581" s="131"/>
      <c r="N581" s="132"/>
      <c r="O581" s="133"/>
      <c r="P581" s="238"/>
      <c r="Q581" s="190"/>
      <c r="R581" s="239"/>
      <c r="S581" s="190"/>
      <c r="T581" s="240"/>
      <c r="U581" s="241"/>
      <c r="V581" s="190"/>
      <c r="W581" s="190"/>
      <c r="X581" s="190"/>
      <c r="Y581" s="56"/>
    </row>
    <row r="582">
      <c r="A582" s="237"/>
      <c r="B582" s="130"/>
      <c r="C582" s="130"/>
      <c r="D582" s="130"/>
      <c r="E582" s="199"/>
      <c r="F582" s="130"/>
      <c r="G582" s="130"/>
      <c r="H582" s="130"/>
      <c r="I582" s="130"/>
      <c r="J582" s="130"/>
      <c r="K582" s="130"/>
      <c r="L582" s="130"/>
      <c r="M582" s="131"/>
      <c r="N582" s="132"/>
      <c r="O582" s="133"/>
      <c r="P582" s="238"/>
      <c r="Q582" s="190"/>
      <c r="R582" s="239"/>
      <c r="S582" s="190"/>
      <c r="T582" s="240"/>
      <c r="U582" s="241"/>
      <c r="V582" s="190"/>
      <c r="W582" s="190"/>
      <c r="X582" s="190"/>
      <c r="Y582" s="56"/>
    </row>
    <row r="583">
      <c r="A583" s="237"/>
      <c r="B583" s="130"/>
      <c r="C583" s="130"/>
      <c r="D583" s="130"/>
      <c r="E583" s="199"/>
      <c r="F583" s="130"/>
      <c r="G583" s="130"/>
      <c r="H583" s="130"/>
      <c r="I583" s="130"/>
      <c r="J583" s="130"/>
      <c r="K583" s="130"/>
      <c r="L583" s="130"/>
      <c r="M583" s="131"/>
      <c r="N583" s="132"/>
      <c r="O583" s="133"/>
      <c r="P583" s="238"/>
      <c r="Q583" s="190"/>
      <c r="R583" s="239"/>
      <c r="S583" s="190"/>
      <c r="T583" s="240"/>
      <c r="U583" s="241"/>
      <c r="V583" s="190"/>
      <c r="W583" s="190"/>
      <c r="X583" s="190"/>
      <c r="Y583" s="56"/>
    </row>
    <row r="584">
      <c r="A584" s="237"/>
      <c r="B584" s="130"/>
      <c r="C584" s="130"/>
      <c r="D584" s="130"/>
      <c r="E584" s="199"/>
      <c r="F584" s="130"/>
      <c r="G584" s="130"/>
      <c r="H584" s="130"/>
      <c r="I584" s="130"/>
      <c r="J584" s="130"/>
      <c r="K584" s="130"/>
      <c r="L584" s="130"/>
      <c r="M584" s="131"/>
      <c r="N584" s="132"/>
      <c r="O584" s="133"/>
      <c r="P584" s="238"/>
      <c r="Q584" s="190"/>
      <c r="R584" s="239"/>
      <c r="S584" s="190"/>
      <c r="T584" s="240"/>
      <c r="U584" s="241"/>
      <c r="V584" s="190"/>
      <c r="W584" s="190"/>
      <c r="X584" s="190"/>
      <c r="Y584" s="56"/>
    </row>
    <row r="585">
      <c r="A585" s="237"/>
      <c r="B585" s="130"/>
      <c r="C585" s="130"/>
      <c r="D585" s="130"/>
      <c r="E585" s="199"/>
      <c r="F585" s="130"/>
      <c r="G585" s="130"/>
      <c r="H585" s="130"/>
      <c r="I585" s="130"/>
      <c r="J585" s="130"/>
      <c r="K585" s="130"/>
      <c r="L585" s="130"/>
      <c r="M585" s="131"/>
      <c r="N585" s="132"/>
      <c r="O585" s="133"/>
      <c r="P585" s="238"/>
      <c r="Q585" s="190"/>
      <c r="R585" s="239"/>
      <c r="S585" s="190"/>
      <c r="T585" s="240"/>
      <c r="U585" s="241"/>
      <c r="V585" s="190"/>
      <c r="W585" s="190"/>
      <c r="X585" s="190"/>
      <c r="Y585" s="56"/>
    </row>
    <row r="586">
      <c r="A586" s="237"/>
      <c r="B586" s="130"/>
      <c r="C586" s="130"/>
      <c r="D586" s="130"/>
      <c r="E586" s="199"/>
      <c r="F586" s="130"/>
      <c r="G586" s="130"/>
      <c r="H586" s="130"/>
      <c r="I586" s="130"/>
      <c r="J586" s="130"/>
      <c r="K586" s="130"/>
      <c r="L586" s="130"/>
      <c r="M586" s="131"/>
      <c r="N586" s="132"/>
      <c r="O586" s="133"/>
      <c r="P586" s="238"/>
      <c r="Q586" s="190"/>
      <c r="R586" s="239"/>
      <c r="S586" s="190"/>
      <c r="T586" s="240"/>
      <c r="U586" s="241"/>
      <c r="V586" s="190"/>
      <c r="W586" s="190"/>
      <c r="X586" s="190"/>
      <c r="Y586" s="56"/>
    </row>
    <row r="587">
      <c r="A587" s="237"/>
      <c r="B587" s="130"/>
      <c r="C587" s="130"/>
      <c r="D587" s="130"/>
      <c r="E587" s="199"/>
      <c r="F587" s="130"/>
      <c r="G587" s="130"/>
      <c r="H587" s="130"/>
      <c r="I587" s="130"/>
      <c r="J587" s="130"/>
      <c r="K587" s="130"/>
      <c r="L587" s="130"/>
      <c r="M587" s="131"/>
      <c r="N587" s="132"/>
      <c r="O587" s="133"/>
      <c r="P587" s="238"/>
      <c r="Q587" s="190"/>
      <c r="R587" s="239"/>
      <c r="S587" s="190"/>
      <c r="T587" s="240"/>
      <c r="U587" s="241"/>
      <c r="V587" s="190"/>
      <c r="W587" s="190"/>
      <c r="X587" s="190"/>
      <c r="Y587" s="56"/>
    </row>
    <row r="588">
      <c r="A588" s="237"/>
      <c r="B588" s="130"/>
      <c r="C588" s="130"/>
      <c r="D588" s="130"/>
      <c r="E588" s="199"/>
      <c r="F588" s="130"/>
      <c r="G588" s="130"/>
      <c r="H588" s="130"/>
      <c r="I588" s="130"/>
      <c r="J588" s="130"/>
      <c r="K588" s="130"/>
      <c r="L588" s="130"/>
      <c r="M588" s="131"/>
      <c r="N588" s="132"/>
      <c r="O588" s="133"/>
      <c r="P588" s="238"/>
      <c r="Q588" s="190"/>
      <c r="R588" s="239"/>
      <c r="S588" s="190"/>
      <c r="T588" s="240"/>
      <c r="U588" s="241"/>
      <c r="V588" s="190"/>
      <c r="W588" s="190"/>
      <c r="X588" s="190"/>
      <c r="Y588" s="56"/>
    </row>
    <row r="589">
      <c r="A589" s="237"/>
      <c r="B589" s="130"/>
      <c r="C589" s="130"/>
      <c r="D589" s="130"/>
      <c r="E589" s="199"/>
      <c r="F589" s="130"/>
      <c r="G589" s="130"/>
      <c r="H589" s="130"/>
      <c r="I589" s="130"/>
      <c r="J589" s="130"/>
      <c r="K589" s="130"/>
      <c r="L589" s="130"/>
      <c r="M589" s="131"/>
      <c r="N589" s="132"/>
      <c r="O589" s="133"/>
      <c r="P589" s="238"/>
      <c r="Q589" s="190"/>
      <c r="R589" s="239"/>
      <c r="S589" s="190"/>
      <c r="T589" s="240"/>
      <c r="U589" s="241"/>
      <c r="V589" s="190"/>
      <c r="W589" s="190"/>
      <c r="X589" s="190"/>
      <c r="Y589" s="56"/>
    </row>
    <row r="590">
      <c r="A590" s="237"/>
      <c r="B590" s="130"/>
      <c r="C590" s="130"/>
      <c r="D590" s="130"/>
      <c r="E590" s="199"/>
      <c r="F590" s="130"/>
      <c r="G590" s="130"/>
      <c r="H590" s="130"/>
      <c r="I590" s="130"/>
      <c r="J590" s="130"/>
      <c r="K590" s="130"/>
      <c r="L590" s="130"/>
      <c r="M590" s="131"/>
      <c r="N590" s="132"/>
      <c r="O590" s="133"/>
      <c r="P590" s="238"/>
      <c r="Q590" s="190"/>
      <c r="R590" s="239"/>
      <c r="S590" s="190"/>
      <c r="T590" s="240"/>
      <c r="U590" s="241"/>
      <c r="V590" s="190"/>
      <c r="W590" s="190"/>
      <c r="X590" s="190"/>
      <c r="Y590" s="56"/>
    </row>
    <row r="591">
      <c r="A591" s="237"/>
      <c r="B591" s="130"/>
      <c r="C591" s="130"/>
      <c r="D591" s="130"/>
      <c r="E591" s="199"/>
      <c r="F591" s="130"/>
      <c r="G591" s="130"/>
      <c r="H591" s="130"/>
      <c r="I591" s="130"/>
      <c r="J591" s="130"/>
      <c r="K591" s="130"/>
      <c r="L591" s="130"/>
      <c r="M591" s="131"/>
      <c r="N591" s="132"/>
      <c r="O591" s="133"/>
      <c r="P591" s="238"/>
      <c r="Q591" s="190"/>
      <c r="R591" s="239"/>
      <c r="S591" s="190"/>
      <c r="T591" s="240"/>
      <c r="U591" s="241"/>
      <c r="V591" s="190"/>
      <c r="W591" s="190"/>
      <c r="X591" s="190"/>
      <c r="Y591" s="56"/>
    </row>
    <row r="592">
      <c r="A592" s="237"/>
      <c r="B592" s="130"/>
      <c r="C592" s="130"/>
      <c r="D592" s="130"/>
      <c r="E592" s="199"/>
      <c r="F592" s="130"/>
      <c r="G592" s="130"/>
      <c r="H592" s="130"/>
      <c r="I592" s="130"/>
      <c r="J592" s="130"/>
      <c r="K592" s="130"/>
      <c r="L592" s="130"/>
      <c r="M592" s="131"/>
      <c r="N592" s="132"/>
      <c r="O592" s="133"/>
      <c r="P592" s="238"/>
      <c r="Q592" s="190"/>
      <c r="R592" s="239"/>
      <c r="S592" s="190"/>
      <c r="T592" s="240"/>
      <c r="U592" s="241"/>
      <c r="V592" s="190"/>
      <c r="W592" s="190"/>
      <c r="X592" s="190"/>
      <c r="Y592" s="56"/>
    </row>
    <row r="593">
      <c r="A593" s="237"/>
      <c r="B593" s="130"/>
      <c r="C593" s="130"/>
      <c r="D593" s="130"/>
      <c r="E593" s="199"/>
      <c r="F593" s="130"/>
      <c r="G593" s="130"/>
      <c r="H593" s="130"/>
      <c r="I593" s="130"/>
      <c r="J593" s="130"/>
      <c r="K593" s="130"/>
      <c r="L593" s="130"/>
      <c r="M593" s="131"/>
      <c r="N593" s="132"/>
      <c r="O593" s="133"/>
      <c r="P593" s="238"/>
      <c r="Q593" s="190"/>
      <c r="R593" s="239"/>
      <c r="S593" s="190"/>
      <c r="T593" s="240"/>
      <c r="U593" s="241"/>
      <c r="V593" s="190"/>
      <c r="W593" s="190"/>
      <c r="X593" s="190"/>
      <c r="Y593" s="56"/>
    </row>
    <row r="594">
      <c r="A594" s="237"/>
      <c r="B594" s="130"/>
      <c r="C594" s="130"/>
      <c r="D594" s="130"/>
      <c r="E594" s="199"/>
      <c r="F594" s="130"/>
      <c r="G594" s="130"/>
      <c r="H594" s="130"/>
      <c r="I594" s="130"/>
      <c r="J594" s="130"/>
      <c r="K594" s="130"/>
      <c r="L594" s="130"/>
      <c r="M594" s="131"/>
      <c r="N594" s="132"/>
      <c r="O594" s="133"/>
      <c r="P594" s="238"/>
      <c r="Q594" s="190"/>
      <c r="R594" s="239"/>
      <c r="S594" s="190"/>
      <c r="T594" s="240"/>
      <c r="U594" s="241"/>
      <c r="V594" s="190"/>
      <c r="W594" s="190"/>
      <c r="X594" s="190"/>
      <c r="Y594" s="56"/>
    </row>
    <row r="595">
      <c r="A595" s="237"/>
      <c r="B595" s="130"/>
      <c r="C595" s="130"/>
      <c r="D595" s="130"/>
      <c r="E595" s="199"/>
      <c r="F595" s="130"/>
      <c r="G595" s="130"/>
      <c r="H595" s="130"/>
      <c r="I595" s="130"/>
      <c r="J595" s="130"/>
      <c r="K595" s="130"/>
      <c r="L595" s="130"/>
      <c r="M595" s="131"/>
      <c r="N595" s="132"/>
      <c r="O595" s="133"/>
      <c r="P595" s="238"/>
      <c r="Q595" s="190"/>
      <c r="R595" s="239"/>
      <c r="S595" s="190"/>
      <c r="T595" s="240"/>
      <c r="U595" s="241"/>
      <c r="V595" s="190"/>
      <c r="W595" s="190"/>
      <c r="X595" s="190"/>
      <c r="Y595" s="56"/>
    </row>
    <row r="596">
      <c r="A596" s="237"/>
      <c r="B596" s="130"/>
      <c r="C596" s="130"/>
      <c r="D596" s="130"/>
      <c r="E596" s="199"/>
      <c r="F596" s="130"/>
      <c r="G596" s="130"/>
      <c r="H596" s="130"/>
      <c r="I596" s="130"/>
      <c r="J596" s="130"/>
      <c r="K596" s="130"/>
      <c r="L596" s="130"/>
      <c r="M596" s="131"/>
      <c r="N596" s="132"/>
      <c r="O596" s="133"/>
      <c r="P596" s="238"/>
      <c r="Q596" s="190"/>
      <c r="R596" s="239"/>
      <c r="S596" s="190"/>
      <c r="T596" s="240"/>
      <c r="U596" s="241"/>
      <c r="V596" s="190"/>
      <c r="W596" s="190"/>
      <c r="X596" s="190"/>
      <c r="Y596" s="56"/>
    </row>
    <row r="597">
      <c r="A597" s="237"/>
      <c r="B597" s="130"/>
      <c r="C597" s="130"/>
      <c r="D597" s="130"/>
      <c r="E597" s="199"/>
      <c r="F597" s="130"/>
      <c r="G597" s="130"/>
      <c r="H597" s="130"/>
      <c r="I597" s="130"/>
      <c r="J597" s="130"/>
      <c r="K597" s="130"/>
      <c r="L597" s="130"/>
      <c r="M597" s="131"/>
      <c r="N597" s="132"/>
      <c r="O597" s="133"/>
      <c r="P597" s="238"/>
      <c r="Q597" s="190"/>
      <c r="R597" s="239"/>
      <c r="S597" s="190"/>
      <c r="T597" s="240"/>
      <c r="U597" s="241"/>
      <c r="V597" s="190"/>
      <c r="W597" s="190"/>
      <c r="X597" s="190"/>
      <c r="Y597" s="56"/>
    </row>
    <row r="598">
      <c r="A598" s="237"/>
      <c r="B598" s="130"/>
      <c r="C598" s="130"/>
      <c r="D598" s="130"/>
      <c r="E598" s="199"/>
      <c r="F598" s="130"/>
      <c r="G598" s="130"/>
      <c r="H598" s="130"/>
      <c r="I598" s="130"/>
      <c r="J598" s="130"/>
      <c r="K598" s="130"/>
      <c r="L598" s="130"/>
      <c r="M598" s="131"/>
      <c r="N598" s="132"/>
      <c r="O598" s="133"/>
      <c r="P598" s="238"/>
      <c r="Q598" s="190"/>
      <c r="R598" s="239"/>
      <c r="S598" s="190"/>
      <c r="T598" s="240"/>
      <c r="U598" s="241"/>
      <c r="V598" s="190"/>
      <c r="W598" s="190"/>
      <c r="X598" s="190"/>
      <c r="Y598" s="56"/>
    </row>
    <row r="599">
      <c r="A599" s="237"/>
      <c r="B599" s="130"/>
      <c r="C599" s="130"/>
      <c r="D599" s="130"/>
      <c r="E599" s="199"/>
      <c r="F599" s="130"/>
      <c r="G599" s="130"/>
      <c r="H599" s="130"/>
      <c r="I599" s="130"/>
      <c r="J599" s="130"/>
      <c r="K599" s="130"/>
      <c r="L599" s="130"/>
      <c r="M599" s="131"/>
      <c r="N599" s="132"/>
      <c r="O599" s="133"/>
      <c r="P599" s="238"/>
      <c r="Q599" s="190"/>
      <c r="R599" s="239"/>
      <c r="S599" s="190"/>
      <c r="T599" s="240"/>
      <c r="U599" s="241"/>
      <c r="V599" s="190"/>
      <c r="W599" s="190"/>
      <c r="X599" s="190"/>
      <c r="Y599" s="56"/>
    </row>
    <row r="600">
      <c r="A600" s="237"/>
      <c r="B600" s="130"/>
      <c r="C600" s="130"/>
      <c r="D600" s="130"/>
      <c r="E600" s="199"/>
      <c r="F600" s="130"/>
      <c r="G600" s="130"/>
      <c r="H600" s="130"/>
      <c r="I600" s="130"/>
      <c r="J600" s="130"/>
      <c r="K600" s="130"/>
      <c r="L600" s="130"/>
      <c r="M600" s="131"/>
      <c r="N600" s="132"/>
      <c r="O600" s="133"/>
      <c r="P600" s="238"/>
      <c r="Q600" s="190"/>
      <c r="R600" s="239"/>
      <c r="S600" s="190"/>
      <c r="T600" s="240"/>
      <c r="U600" s="241"/>
      <c r="V600" s="190"/>
      <c r="W600" s="190"/>
      <c r="X600" s="190"/>
      <c r="Y600" s="56"/>
    </row>
    <row r="601">
      <c r="A601" s="237"/>
      <c r="B601" s="130"/>
      <c r="C601" s="130"/>
      <c r="D601" s="130"/>
      <c r="E601" s="199"/>
      <c r="F601" s="130"/>
      <c r="G601" s="130"/>
      <c r="H601" s="130"/>
      <c r="I601" s="130"/>
      <c r="J601" s="130"/>
      <c r="K601" s="130"/>
      <c r="L601" s="130"/>
      <c r="M601" s="131"/>
      <c r="N601" s="132"/>
      <c r="O601" s="133"/>
      <c r="P601" s="238"/>
      <c r="Q601" s="190"/>
      <c r="R601" s="239"/>
      <c r="S601" s="190"/>
      <c r="T601" s="240"/>
      <c r="U601" s="241"/>
      <c r="V601" s="190"/>
      <c r="W601" s="190"/>
      <c r="X601" s="190"/>
      <c r="Y601" s="56"/>
    </row>
    <row r="602">
      <c r="A602" s="237"/>
      <c r="B602" s="130"/>
      <c r="C602" s="130"/>
      <c r="D602" s="130"/>
      <c r="E602" s="199"/>
      <c r="F602" s="130"/>
      <c r="G602" s="130"/>
      <c r="H602" s="130"/>
      <c r="I602" s="130"/>
      <c r="J602" s="130"/>
      <c r="K602" s="130"/>
      <c r="L602" s="130"/>
      <c r="M602" s="131"/>
      <c r="N602" s="132"/>
      <c r="O602" s="133"/>
      <c r="P602" s="238"/>
      <c r="Q602" s="190"/>
      <c r="R602" s="239"/>
      <c r="S602" s="190"/>
      <c r="T602" s="240"/>
      <c r="U602" s="241"/>
      <c r="V602" s="190"/>
      <c r="W602" s="190"/>
      <c r="X602" s="190"/>
      <c r="Y602" s="56"/>
    </row>
    <row r="603">
      <c r="A603" s="237"/>
      <c r="B603" s="130"/>
      <c r="C603" s="130"/>
      <c r="D603" s="130"/>
      <c r="E603" s="199"/>
      <c r="F603" s="130"/>
      <c r="G603" s="130"/>
      <c r="H603" s="130"/>
      <c r="I603" s="130"/>
      <c r="J603" s="130"/>
      <c r="K603" s="130"/>
      <c r="L603" s="130"/>
      <c r="M603" s="131"/>
      <c r="N603" s="132"/>
      <c r="O603" s="133"/>
      <c r="P603" s="238"/>
      <c r="Q603" s="190"/>
      <c r="R603" s="239"/>
      <c r="S603" s="190"/>
      <c r="T603" s="240"/>
      <c r="U603" s="241"/>
      <c r="V603" s="190"/>
      <c r="W603" s="190"/>
      <c r="X603" s="190"/>
      <c r="Y603" s="56"/>
    </row>
    <row r="604">
      <c r="A604" s="237"/>
      <c r="B604" s="130"/>
      <c r="C604" s="130"/>
      <c r="D604" s="130"/>
      <c r="E604" s="199"/>
      <c r="F604" s="130"/>
      <c r="G604" s="130"/>
      <c r="H604" s="130"/>
      <c r="I604" s="130"/>
      <c r="J604" s="130"/>
      <c r="K604" s="130"/>
      <c r="L604" s="130"/>
      <c r="M604" s="131"/>
      <c r="N604" s="132"/>
      <c r="O604" s="133"/>
      <c r="P604" s="238"/>
      <c r="Q604" s="190"/>
      <c r="R604" s="239"/>
      <c r="S604" s="190"/>
      <c r="T604" s="240"/>
      <c r="U604" s="241"/>
      <c r="V604" s="190"/>
      <c r="W604" s="190"/>
      <c r="X604" s="190"/>
      <c r="Y604" s="56"/>
    </row>
    <row r="605">
      <c r="A605" s="237"/>
      <c r="B605" s="130"/>
      <c r="C605" s="130"/>
      <c r="D605" s="130"/>
      <c r="E605" s="199"/>
      <c r="F605" s="130"/>
      <c r="G605" s="130"/>
      <c r="H605" s="130"/>
      <c r="I605" s="130"/>
      <c r="J605" s="130"/>
      <c r="K605" s="130"/>
      <c r="L605" s="130"/>
      <c r="M605" s="131"/>
      <c r="N605" s="132"/>
      <c r="O605" s="133"/>
      <c r="P605" s="238"/>
      <c r="Q605" s="190"/>
      <c r="R605" s="239"/>
      <c r="S605" s="190"/>
      <c r="T605" s="240"/>
      <c r="U605" s="241"/>
      <c r="V605" s="190"/>
      <c r="W605" s="190"/>
      <c r="X605" s="190"/>
      <c r="Y605" s="56"/>
    </row>
    <row r="606">
      <c r="A606" s="237"/>
      <c r="B606" s="130"/>
      <c r="C606" s="130"/>
      <c r="D606" s="130"/>
      <c r="E606" s="199"/>
      <c r="F606" s="130"/>
      <c r="G606" s="130"/>
      <c r="H606" s="130"/>
      <c r="I606" s="130"/>
      <c r="J606" s="130"/>
      <c r="K606" s="130"/>
      <c r="L606" s="130"/>
      <c r="M606" s="131"/>
      <c r="N606" s="132"/>
      <c r="O606" s="133"/>
      <c r="P606" s="238"/>
      <c r="Q606" s="190"/>
      <c r="R606" s="239"/>
      <c r="S606" s="190"/>
      <c r="T606" s="240"/>
      <c r="U606" s="241"/>
      <c r="V606" s="190"/>
      <c r="W606" s="190"/>
      <c r="X606" s="190"/>
      <c r="Y606" s="56"/>
    </row>
    <row r="607">
      <c r="A607" s="237"/>
      <c r="B607" s="130"/>
      <c r="C607" s="130"/>
      <c r="D607" s="130"/>
      <c r="E607" s="199"/>
      <c r="F607" s="130"/>
      <c r="G607" s="130"/>
      <c r="H607" s="130"/>
      <c r="I607" s="130"/>
      <c r="J607" s="130"/>
      <c r="K607" s="130"/>
      <c r="L607" s="130"/>
      <c r="M607" s="131"/>
      <c r="N607" s="132"/>
      <c r="O607" s="133"/>
      <c r="P607" s="238"/>
      <c r="Q607" s="190"/>
      <c r="R607" s="239"/>
      <c r="S607" s="190"/>
      <c r="T607" s="240"/>
      <c r="U607" s="241"/>
      <c r="V607" s="190"/>
      <c r="W607" s="190"/>
      <c r="X607" s="190"/>
      <c r="Y607" s="56"/>
    </row>
    <row r="608">
      <c r="A608" s="237"/>
      <c r="B608" s="130"/>
      <c r="C608" s="130"/>
      <c r="D608" s="130"/>
      <c r="E608" s="199"/>
      <c r="F608" s="130"/>
      <c r="G608" s="130"/>
      <c r="H608" s="130"/>
      <c r="I608" s="130"/>
      <c r="J608" s="130"/>
      <c r="K608" s="130"/>
      <c r="L608" s="130"/>
      <c r="M608" s="131"/>
      <c r="N608" s="132"/>
      <c r="O608" s="133"/>
      <c r="P608" s="238"/>
      <c r="Q608" s="190"/>
      <c r="R608" s="239"/>
      <c r="S608" s="190"/>
      <c r="T608" s="240"/>
      <c r="U608" s="241"/>
      <c r="V608" s="190"/>
      <c r="W608" s="190"/>
      <c r="X608" s="190"/>
      <c r="Y608" s="56"/>
    </row>
    <row r="609">
      <c r="A609" s="237"/>
      <c r="B609" s="130"/>
      <c r="C609" s="130"/>
      <c r="D609" s="130"/>
      <c r="E609" s="199"/>
      <c r="F609" s="130"/>
      <c r="G609" s="130"/>
      <c r="H609" s="130"/>
      <c r="I609" s="130"/>
      <c r="J609" s="130"/>
      <c r="K609" s="130"/>
      <c r="L609" s="130"/>
      <c r="M609" s="131"/>
      <c r="N609" s="132"/>
      <c r="O609" s="133"/>
      <c r="P609" s="238"/>
      <c r="Q609" s="190"/>
      <c r="R609" s="239"/>
      <c r="S609" s="190"/>
      <c r="T609" s="240"/>
      <c r="U609" s="241"/>
      <c r="V609" s="190"/>
      <c r="W609" s="190"/>
      <c r="X609" s="190"/>
      <c r="Y609" s="56"/>
    </row>
    <row r="610">
      <c r="A610" s="237"/>
      <c r="B610" s="130"/>
      <c r="C610" s="130"/>
      <c r="D610" s="130"/>
      <c r="E610" s="199"/>
      <c r="F610" s="130"/>
      <c r="G610" s="130"/>
      <c r="H610" s="130"/>
      <c r="I610" s="130"/>
      <c r="J610" s="130"/>
      <c r="K610" s="130"/>
      <c r="L610" s="130"/>
      <c r="M610" s="131"/>
      <c r="N610" s="132"/>
      <c r="O610" s="133"/>
      <c r="P610" s="238"/>
      <c r="Q610" s="190"/>
      <c r="R610" s="239"/>
      <c r="S610" s="190"/>
      <c r="T610" s="240"/>
      <c r="U610" s="241"/>
      <c r="V610" s="190"/>
      <c r="W610" s="190"/>
      <c r="X610" s="190"/>
      <c r="Y610" s="56"/>
    </row>
    <row r="611">
      <c r="A611" s="237"/>
      <c r="B611" s="130"/>
      <c r="C611" s="130"/>
      <c r="D611" s="130"/>
      <c r="E611" s="199"/>
      <c r="F611" s="130"/>
      <c r="G611" s="130"/>
      <c r="H611" s="130"/>
      <c r="I611" s="130"/>
      <c r="J611" s="130"/>
      <c r="K611" s="130"/>
      <c r="L611" s="130"/>
      <c r="M611" s="131"/>
      <c r="N611" s="132"/>
      <c r="O611" s="133"/>
      <c r="P611" s="238"/>
      <c r="Q611" s="190"/>
      <c r="R611" s="239"/>
      <c r="S611" s="190"/>
      <c r="T611" s="240"/>
      <c r="U611" s="241"/>
      <c r="V611" s="190"/>
      <c r="W611" s="190"/>
      <c r="X611" s="190"/>
      <c r="Y611" s="56"/>
    </row>
    <row r="612">
      <c r="A612" s="237"/>
      <c r="B612" s="130"/>
      <c r="C612" s="130"/>
      <c r="D612" s="130"/>
      <c r="E612" s="199"/>
      <c r="F612" s="130"/>
      <c r="G612" s="130"/>
      <c r="H612" s="130"/>
      <c r="I612" s="130"/>
      <c r="J612" s="130"/>
      <c r="K612" s="130"/>
      <c r="L612" s="130"/>
      <c r="M612" s="131"/>
      <c r="N612" s="132"/>
      <c r="O612" s="133"/>
      <c r="P612" s="238"/>
      <c r="Q612" s="190"/>
      <c r="R612" s="239"/>
      <c r="S612" s="190"/>
      <c r="T612" s="240"/>
      <c r="U612" s="241"/>
      <c r="V612" s="190"/>
      <c r="W612" s="190"/>
      <c r="X612" s="190"/>
      <c r="Y612" s="56"/>
    </row>
    <row r="613">
      <c r="A613" s="237"/>
      <c r="B613" s="130"/>
      <c r="C613" s="130"/>
      <c r="D613" s="130"/>
      <c r="E613" s="199"/>
      <c r="F613" s="130"/>
      <c r="G613" s="130"/>
      <c r="H613" s="130"/>
      <c r="I613" s="130"/>
      <c r="J613" s="130"/>
      <c r="K613" s="130"/>
      <c r="L613" s="130"/>
      <c r="M613" s="131"/>
      <c r="N613" s="132"/>
      <c r="O613" s="133"/>
      <c r="P613" s="238"/>
      <c r="Q613" s="190"/>
      <c r="R613" s="239"/>
      <c r="S613" s="190"/>
      <c r="T613" s="240"/>
      <c r="U613" s="241"/>
      <c r="V613" s="190"/>
      <c r="W613" s="190"/>
      <c r="X613" s="190"/>
      <c r="Y613" s="56"/>
    </row>
    <row r="614">
      <c r="A614" s="237"/>
      <c r="B614" s="130"/>
      <c r="C614" s="130"/>
      <c r="D614" s="130"/>
      <c r="E614" s="199"/>
      <c r="F614" s="130"/>
      <c r="G614" s="130"/>
      <c r="H614" s="130"/>
      <c r="I614" s="130"/>
      <c r="J614" s="130"/>
      <c r="K614" s="130"/>
      <c r="L614" s="130"/>
      <c r="M614" s="131"/>
      <c r="N614" s="132"/>
      <c r="O614" s="133"/>
      <c r="P614" s="238"/>
      <c r="Q614" s="190"/>
      <c r="R614" s="239"/>
      <c r="S614" s="190"/>
      <c r="T614" s="240"/>
      <c r="U614" s="241"/>
      <c r="V614" s="190"/>
      <c r="W614" s="190"/>
      <c r="X614" s="190"/>
      <c r="Y614" s="56"/>
    </row>
    <row r="615">
      <c r="A615" s="237"/>
      <c r="B615" s="130"/>
      <c r="C615" s="130"/>
      <c r="D615" s="130"/>
      <c r="E615" s="199"/>
      <c r="F615" s="130"/>
      <c r="G615" s="130"/>
      <c r="H615" s="130"/>
      <c r="I615" s="130"/>
      <c r="J615" s="130"/>
      <c r="K615" s="130"/>
      <c r="L615" s="130"/>
      <c r="M615" s="131"/>
      <c r="N615" s="132"/>
      <c r="O615" s="133"/>
      <c r="P615" s="238"/>
      <c r="Q615" s="190"/>
      <c r="R615" s="239"/>
      <c r="S615" s="190"/>
      <c r="T615" s="240"/>
      <c r="U615" s="241"/>
      <c r="V615" s="190"/>
      <c r="W615" s="190"/>
      <c r="X615" s="190"/>
      <c r="Y615" s="56"/>
    </row>
    <row r="616">
      <c r="A616" s="237"/>
      <c r="B616" s="130"/>
      <c r="C616" s="130"/>
      <c r="D616" s="130"/>
      <c r="E616" s="199"/>
      <c r="F616" s="130"/>
      <c r="G616" s="130"/>
      <c r="H616" s="130"/>
      <c r="I616" s="130"/>
      <c r="J616" s="130"/>
      <c r="K616" s="130"/>
      <c r="L616" s="130"/>
      <c r="M616" s="131"/>
      <c r="N616" s="132"/>
      <c r="O616" s="133"/>
      <c r="P616" s="238"/>
      <c r="Q616" s="190"/>
      <c r="R616" s="239"/>
      <c r="S616" s="190"/>
      <c r="T616" s="240"/>
      <c r="U616" s="241"/>
      <c r="V616" s="190"/>
      <c r="W616" s="190"/>
      <c r="X616" s="190"/>
      <c r="Y616" s="56"/>
    </row>
    <row r="617">
      <c r="A617" s="237"/>
      <c r="B617" s="130"/>
      <c r="C617" s="130"/>
      <c r="D617" s="130"/>
      <c r="E617" s="199"/>
      <c r="F617" s="130"/>
      <c r="G617" s="130"/>
      <c r="H617" s="130"/>
      <c r="I617" s="130"/>
      <c r="J617" s="130"/>
      <c r="K617" s="130"/>
      <c r="L617" s="130"/>
      <c r="M617" s="131"/>
      <c r="N617" s="132"/>
      <c r="O617" s="133"/>
      <c r="P617" s="238"/>
      <c r="Q617" s="190"/>
      <c r="R617" s="239"/>
      <c r="S617" s="190"/>
      <c r="T617" s="240"/>
      <c r="U617" s="241"/>
      <c r="V617" s="190"/>
      <c r="W617" s="190"/>
      <c r="X617" s="190"/>
      <c r="Y617" s="56"/>
    </row>
    <row r="618">
      <c r="A618" s="237"/>
      <c r="B618" s="130"/>
      <c r="C618" s="130"/>
      <c r="D618" s="130"/>
      <c r="E618" s="199"/>
      <c r="F618" s="130"/>
      <c r="G618" s="130"/>
      <c r="H618" s="130"/>
      <c r="I618" s="130"/>
      <c r="J618" s="130"/>
      <c r="K618" s="130"/>
      <c r="L618" s="130"/>
      <c r="M618" s="131"/>
      <c r="N618" s="132"/>
      <c r="O618" s="133"/>
      <c r="P618" s="238"/>
      <c r="Q618" s="190"/>
      <c r="R618" s="239"/>
      <c r="S618" s="190"/>
      <c r="T618" s="240"/>
      <c r="U618" s="241"/>
      <c r="V618" s="190"/>
      <c r="W618" s="190"/>
      <c r="X618" s="190"/>
      <c r="Y618" s="56"/>
    </row>
    <row r="619">
      <c r="A619" s="237"/>
      <c r="B619" s="130"/>
      <c r="C619" s="130"/>
      <c r="D619" s="130"/>
      <c r="E619" s="199"/>
      <c r="F619" s="130"/>
      <c r="G619" s="130"/>
      <c r="H619" s="130"/>
      <c r="I619" s="130"/>
      <c r="J619" s="130"/>
      <c r="K619" s="130"/>
      <c r="L619" s="130"/>
      <c r="M619" s="131"/>
      <c r="N619" s="132"/>
      <c r="O619" s="133"/>
      <c r="P619" s="238"/>
      <c r="Q619" s="190"/>
      <c r="R619" s="239"/>
      <c r="S619" s="190"/>
      <c r="T619" s="240"/>
      <c r="U619" s="241"/>
      <c r="V619" s="190"/>
      <c r="W619" s="190"/>
      <c r="X619" s="190"/>
      <c r="Y619" s="56"/>
    </row>
    <row r="620">
      <c r="A620" s="237"/>
      <c r="B620" s="130"/>
      <c r="C620" s="130"/>
      <c r="D620" s="130"/>
      <c r="E620" s="199"/>
      <c r="F620" s="130"/>
      <c r="G620" s="130"/>
      <c r="H620" s="130"/>
      <c r="I620" s="130"/>
      <c r="J620" s="130"/>
      <c r="K620" s="130"/>
      <c r="L620" s="130"/>
      <c r="M620" s="131"/>
      <c r="N620" s="132"/>
      <c r="O620" s="133"/>
      <c r="P620" s="238"/>
      <c r="Q620" s="190"/>
      <c r="R620" s="239"/>
      <c r="S620" s="190"/>
      <c r="T620" s="240"/>
      <c r="U620" s="241"/>
      <c r="V620" s="190"/>
      <c r="W620" s="190"/>
      <c r="X620" s="190"/>
      <c r="Y620" s="56"/>
    </row>
    <row r="621">
      <c r="A621" s="237"/>
      <c r="B621" s="130"/>
      <c r="C621" s="130"/>
      <c r="D621" s="130"/>
      <c r="E621" s="199"/>
      <c r="F621" s="130"/>
      <c r="G621" s="130"/>
      <c r="H621" s="130"/>
      <c r="I621" s="130"/>
      <c r="J621" s="130"/>
      <c r="K621" s="130"/>
      <c r="L621" s="130"/>
      <c r="M621" s="131"/>
      <c r="N621" s="132"/>
      <c r="O621" s="133"/>
      <c r="P621" s="238"/>
      <c r="Q621" s="190"/>
      <c r="R621" s="239"/>
      <c r="S621" s="190"/>
      <c r="T621" s="240"/>
      <c r="U621" s="241"/>
      <c r="V621" s="190"/>
      <c r="W621" s="190"/>
      <c r="X621" s="190"/>
      <c r="Y621" s="56"/>
    </row>
    <row r="622">
      <c r="A622" s="237"/>
      <c r="B622" s="130"/>
      <c r="C622" s="130"/>
      <c r="D622" s="130"/>
      <c r="E622" s="199"/>
      <c r="F622" s="130"/>
      <c r="G622" s="130"/>
      <c r="H622" s="130"/>
      <c r="I622" s="130"/>
      <c r="J622" s="130"/>
      <c r="K622" s="130"/>
      <c r="L622" s="130"/>
      <c r="M622" s="131"/>
      <c r="N622" s="132"/>
      <c r="O622" s="133"/>
      <c r="P622" s="238"/>
      <c r="Q622" s="190"/>
      <c r="R622" s="239"/>
      <c r="S622" s="190"/>
      <c r="T622" s="240"/>
      <c r="U622" s="241"/>
      <c r="V622" s="190"/>
      <c r="W622" s="190"/>
      <c r="X622" s="190"/>
      <c r="Y622" s="56"/>
    </row>
    <row r="623">
      <c r="A623" s="237"/>
      <c r="B623" s="130"/>
      <c r="C623" s="130"/>
      <c r="D623" s="130"/>
      <c r="E623" s="199"/>
      <c r="F623" s="130"/>
      <c r="G623" s="130"/>
      <c r="H623" s="130"/>
      <c r="I623" s="130"/>
      <c r="J623" s="130"/>
      <c r="K623" s="130"/>
      <c r="L623" s="130"/>
      <c r="M623" s="131"/>
      <c r="N623" s="132"/>
      <c r="O623" s="133"/>
      <c r="P623" s="238"/>
      <c r="Q623" s="190"/>
      <c r="R623" s="239"/>
      <c r="S623" s="190"/>
      <c r="T623" s="240"/>
      <c r="U623" s="241"/>
      <c r="V623" s="190"/>
      <c r="W623" s="190"/>
      <c r="X623" s="190"/>
      <c r="Y623" s="56"/>
    </row>
    <row r="624">
      <c r="A624" s="237"/>
      <c r="B624" s="130"/>
      <c r="C624" s="130"/>
      <c r="D624" s="130"/>
      <c r="E624" s="199"/>
      <c r="F624" s="130"/>
      <c r="G624" s="130"/>
      <c r="H624" s="130"/>
      <c r="I624" s="130"/>
      <c r="J624" s="130"/>
      <c r="K624" s="130"/>
      <c r="L624" s="130"/>
      <c r="M624" s="131"/>
      <c r="N624" s="132"/>
      <c r="O624" s="133"/>
      <c r="P624" s="238"/>
      <c r="Q624" s="190"/>
      <c r="R624" s="239"/>
      <c r="S624" s="190"/>
      <c r="T624" s="240"/>
      <c r="U624" s="241"/>
      <c r="V624" s="190"/>
      <c r="W624" s="190"/>
      <c r="X624" s="190"/>
      <c r="Y624" s="56"/>
    </row>
    <row r="625">
      <c r="A625" s="237"/>
      <c r="B625" s="130"/>
      <c r="C625" s="130"/>
      <c r="D625" s="130"/>
      <c r="E625" s="199"/>
      <c r="F625" s="130"/>
      <c r="G625" s="130"/>
      <c r="H625" s="130"/>
      <c r="I625" s="130"/>
      <c r="J625" s="130"/>
      <c r="K625" s="130"/>
      <c r="L625" s="130"/>
      <c r="M625" s="131"/>
      <c r="N625" s="132"/>
      <c r="O625" s="133"/>
      <c r="P625" s="238"/>
      <c r="Q625" s="190"/>
      <c r="R625" s="239"/>
      <c r="S625" s="190"/>
      <c r="T625" s="240"/>
      <c r="U625" s="241"/>
      <c r="V625" s="190"/>
      <c r="W625" s="190"/>
      <c r="X625" s="190"/>
      <c r="Y625" s="56"/>
    </row>
    <row r="626">
      <c r="A626" s="237"/>
      <c r="B626" s="130"/>
      <c r="C626" s="130"/>
      <c r="D626" s="130"/>
      <c r="E626" s="199"/>
      <c r="F626" s="130"/>
      <c r="G626" s="130"/>
      <c r="H626" s="130"/>
      <c r="I626" s="130"/>
      <c r="J626" s="130"/>
      <c r="K626" s="130"/>
      <c r="L626" s="130"/>
      <c r="M626" s="131"/>
      <c r="N626" s="132"/>
      <c r="O626" s="133"/>
      <c r="P626" s="238"/>
      <c r="Q626" s="190"/>
      <c r="R626" s="239"/>
      <c r="S626" s="190"/>
      <c r="T626" s="240"/>
      <c r="U626" s="241"/>
      <c r="V626" s="190"/>
      <c r="W626" s="190"/>
      <c r="X626" s="190"/>
      <c r="Y626" s="56"/>
    </row>
    <row r="627">
      <c r="A627" s="237"/>
      <c r="B627" s="130"/>
      <c r="C627" s="130"/>
      <c r="D627" s="130"/>
      <c r="E627" s="199"/>
      <c r="F627" s="130"/>
      <c r="G627" s="130"/>
      <c r="H627" s="130"/>
      <c r="I627" s="130"/>
      <c r="J627" s="130"/>
      <c r="K627" s="130"/>
      <c r="L627" s="130"/>
      <c r="M627" s="131"/>
      <c r="N627" s="132"/>
      <c r="O627" s="133"/>
      <c r="P627" s="238"/>
      <c r="Q627" s="190"/>
      <c r="R627" s="239"/>
      <c r="S627" s="190"/>
      <c r="T627" s="240"/>
      <c r="U627" s="241"/>
      <c r="V627" s="190"/>
      <c r="W627" s="190"/>
      <c r="X627" s="190"/>
      <c r="Y627" s="56"/>
    </row>
    <row r="628">
      <c r="A628" s="237"/>
      <c r="B628" s="130"/>
      <c r="C628" s="130"/>
      <c r="D628" s="130"/>
      <c r="E628" s="199"/>
      <c r="F628" s="130"/>
      <c r="G628" s="130"/>
      <c r="H628" s="130"/>
      <c r="I628" s="130"/>
      <c r="J628" s="130"/>
      <c r="K628" s="130"/>
      <c r="L628" s="130"/>
      <c r="M628" s="131"/>
      <c r="N628" s="132"/>
      <c r="O628" s="133"/>
      <c r="P628" s="238"/>
      <c r="Q628" s="190"/>
      <c r="R628" s="239"/>
      <c r="S628" s="190"/>
      <c r="T628" s="240"/>
      <c r="U628" s="241"/>
      <c r="V628" s="190"/>
      <c r="W628" s="190"/>
      <c r="X628" s="190"/>
      <c r="Y628" s="56"/>
    </row>
    <row r="629">
      <c r="A629" s="237"/>
      <c r="B629" s="130"/>
      <c r="C629" s="130"/>
      <c r="D629" s="130"/>
      <c r="E629" s="199"/>
      <c r="F629" s="130"/>
      <c r="G629" s="130"/>
      <c r="H629" s="130"/>
      <c r="I629" s="130"/>
      <c r="J629" s="130"/>
      <c r="K629" s="130"/>
      <c r="L629" s="130"/>
      <c r="M629" s="131"/>
      <c r="N629" s="132"/>
      <c r="O629" s="133"/>
      <c r="P629" s="238"/>
      <c r="Q629" s="190"/>
      <c r="R629" s="239"/>
      <c r="S629" s="190"/>
      <c r="T629" s="240"/>
      <c r="U629" s="241"/>
      <c r="V629" s="190"/>
      <c r="W629" s="190"/>
      <c r="X629" s="190"/>
      <c r="Y629" s="56"/>
    </row>
    <row r="630">
      <c r="A630" s="237"/>
      <c r="B630" s="130"/>
      <c r="C630" s="130"/>
      <c r="D630" s="130"/>
      <c r="E630" s="199"/>
      <c r="F630" s="130"/>
      <c r="G630" s="130"/>
      <c r="H630" s="130"/>
      <c r="I630" s="130"/>
      <c r="J630" s="130"/>
      <c r="K630" s="130"/>
      <c r="L630" s="130"/>
      <c r="M630" s="131"/>
      <c r="N630" s="132"/>
      <c r="O630" s="133"/>
      <c r="P630" s="238"/>
      <c r="Q630" s="190"/>
      <c r="R630" s="239"/>
      <c r="S630" s="190"/>
      <c r="T630" s="240"/>
      <c r="U630" s="241"/>
      <c r="V630" s="190"/>
      <c r="W630" s="190"/>
      <c r="X630" s="190"/>
      <c r="Y630" s="56"/>
    </row>
    <row r="631">
      <c r="A631" s="237"/>
      <c r="B631" s="130"/>
      <c r="C631" s="130"/>
      <c r="D631" s="130"/>
      <c r="E631" s="199"/>
      <c r="F631" s="130"/>
      <c r="G631" s="130"/>
      <c r="H631" s="130"/>
      <c r="I631" s="130"/>
      <c r="J631" s="130"/>
      <c r="K631" s="130"/>
      <c r="L631" s="130"/>
      <c r="M631" s="131"/>
      <c r="N631" s="132"/>
      <c r="O631" s="133"/>
      <c r="P631" s="238"/>
      <c r="Q631" s="190"/>
      <c r="R631" s="239"/>
      <c r="S631" s="190"/>
      <c r="T631" s="240"/>
      <c r="U631" s="241"/>
      <c r="V631" s="190"/>
      <c r="W631" s="190"/>
      <c r="X631" s="190"/>
      <c r="Y631" s="56"/>
    </row>
    <row r="632">
      <c r="A632" s="237"/>
      <c r="B632" s="130"/>
      <c r="C632" s="130"/>
      <c r="D632" s="130"/>
      <c r="E632" s="199"/>
      <c r="F632" s="130"/>
      <c r="G632" s="130"/>
      <c r="H632" s="130"/>
      <c r="I632" s="130"/>
      <c r="J632" s="130"/>
      <c r="K632" s="130"/>
      <c r="L632" s="130"/>
      <c r="M632" s="131"/>
      <c r="N632" s="132"/>
      <c r="O632" s="133"/>
      <c r="P632" s="238"/>
      <c r="Q632" s="190"/>
      <c r="R632" s="239"/>
      <c r="S632" s="190"/>
      <c r="T632" s="240"/>
      <c r="U632" s="241"/>
      <c r="V632" s="190"/>
      <c r="W632" s="190"/>
      <c r="X632" s="190"/>
      <c r="Y632" s="56"/>
    </row>
    <row r="633">
      <c r="A633" s="237"/>
      <c r="B633" s="130"/>
      <c r="C633" s="130"/>
      <c r="D633" s="130"/>
      <c r="E633" s="199"/>
      <c r="F633" s="130"/>
      <c r="G633" s="130"/>
      <c r="H633" s="130"/>
      <c r="I633" s="130"/>
      <c r="J633" s="130"/>
      <c r="K633" s="130"/>
      <c r="L633" s="130"/>
      <c r="M633" s="131"/>
      <c r="N633" s="132"/>
      <c r="O633" s="133"/>
      <c r="P633" s="238"/>
      <c r="Q633" s="190"/>
      <c r="R633" s="239"/>
      <c r="S633" s="190"/>
      <c r="T633" s="240"/>
      <c r="U633" s="241"/>
      <c r="V633" s="190"/>
      <c r="W633" s="190"/>
      <c r="X633" s="190"/>
      <c r="Y633" s="56"/>
    </row>
    <row r="634">
      <c r="A634" s="237"/>
      <c r="B634" s="130"/>
      <c r="C634" s="130"/>
      <c r="D634" s="130"/>
      <c r="E634" s="199"/>
      <c r="F634" s="130"/>
      <c r="G634" s="130"/>
      <c r="H634" s="130"/>
      <c r="I634" s="130"/>
      <c r="J634" s="130"/>
      <c r="K634" s="130"/>
      <c r="L634" s="130"/>
      <c r="M634" s="131"/>
      <c r="N634" s="132"/>
      <c r="O634" s="133"/>
      <c r="P634" s="238"/>
      <c r="Q634" s="190"/>
      <c r="R634" s="239"/>
      <c r="S634" s="190"/>
      <c r="T634" s="240"/>
      <c r="U634" s="241"/>
      <c r="V634" s="190"/>
      <c r="W634" s="190"/>
      <c r="X634" s="190"/>
      <c r="Y634" s="56"/>
    </row>
    <row r="635">
      <c r="A635" s="237"/>
      <c r="B635" s="130"/>
      <c r="C635" s="130"/>
      <c r="D635" s="130"/>
      <c r="E635" s="199"/>
      <c r="F635" s="130"/>
      <c r="G635" s="130"/>
      <c r="H635" s="130"/>
      <c r="I635" s="130"/>
      <c r="J635" s="130"/>
      <c r="K635" s="130"/>
      <c r="L635" s="130"/>
      <c r="M635" s="131"/>
      <c r="N635" s="132"/>
      <c r="O635" s="133"/>
      <c r="P635" s="238"/>
      <c r="Q635" s="190"/>
      <c r="R635" s="239"/>
      <c r="S635" s="190"/>
      <c r="T635" s="240"/>
      <c r="U635" s="241"/>
      <c r="V635" s="190"/>
      <c r="W635" s="190"/>
      <c r="X635" s="190"/>
      <c r="Y635" s="56"/>
    </row>
    <row r="636">
      <c r="A636" s="237"/>
      <c r="B636" s="130"/>
      <c r="C636" s="130"/>
      <c r="D636" s="130"/>
      <c r="E636" s="199"/>
      <c r="F636" s="130"/>
      <c r="G636" s="130"/>
      <c r="H636" s="130"/>
      <c r="I636" s="130"/>
      <c r="J636" s="130"/>
      <c r="K636" s="130"/>
      <c r="L636" s="130"/>
      <c r="M636" s="131"/>
      <c r="N636" s="132"/>
      <c r="O636" s="133"/>
      <c r="P636" s="238"/>
      <c r="Q636" s="190"/>
      <c r="R636" s="239"/>
      <c r="S636" s="190"/>
      <c r="T636" s="240"/>
      <c r="U636" s="241"/>
      <c r="V636" s="190"/>
      <c r="W636" s="190"/>
      <c r="X636" s="190"/>
      <c r="Y636" s="56"/>
    </row>
    <row r="637">
      <c r="A637" s="237"/>
      <c r="B637" s="130"/>
      <c r="C637" s="130"/>
      <c r="D637" s="130"/>
      <c r="E637" s="199"/>
      <c r="F637" s="130"/>
      <c r="G637" s="130"/>
      <c r="H637" s="130"/>
      <c r="I637" s="130"/>
      <c r="J637" s="130"/>
      <c r="K637" s="130"/>
      <c r="L637" s="130"/>
      <c r="M637" s="131"/>
      <c r="N637" s="132"/>
      <c r="O637" s="133"/>
      <c r="P637" s="238"/>
      <c r="Q637" s="190"/>
      <c r="R637" s="239"/>
      <c r="S637" s="190"/>
      <c r="T637" s="240"/>
      <c r="U637" s="241"/>
      <c r="V637" s="190"/>
      <c r="W637" s="190"/>
      <c r="X637" s="190"/>
      <c r="Y637" s="56"/>
    </row>
    <row r="638">
      <c r="A638" s="237"/>
      <c r="B638" s="130"/>
      <c r="C638" s="130"/>
      <c r="D638" s="130"/>
      <c r="E638" s="199"/>
      <c r="F638" s="130"/>
      <c r="G638" s="130"/>
      <c r="H638" s="130"/>
      <c r="I638" s="130"/>
      <c r="J638" s="130"/>
      <c r="K638" s="130"/>
      <c r="L638" s="130"/>
      <c r="M638" s="131"/>
      <c r="N638" s="132"/>
      <c r="O638" s="133"/>
      <c r="P638" s="238"/>
      <c r="Q638" s="190"/>
      <c r="R638" s="239"/>
      <c r="S638" s="190"/>
      <c r="T638" s="240"/>
      <c r="U638" s="241"/>
      <c r="V638" s="190"/>
      <c r="W638" s="190"/>
      <c r="X638" s="190"/>
      <c r="Y638" s="56"/>
    </row>
    <row r="639">
      <c r="A639" s="237"/>
      <c r="B639" s="130"/>
      <c r="C639" s="130"/>
      <c r="D639" s="130"/>
      <c r="E639" s="199"/>
      <c r="F639" s="130"/>
      <c r="G639" s="130"/>
      <c r="H639" s="130"/>
      <c r="I639" s="130"/>
      <c r="J639" s="130"/>
      <c r="K639" s="130"/>
      <c r="L639" s="130"/>
      <c r="M639" s="131"/>
      <c r="N639" s="132"/>
      <c r="O639" s="133"/>
      <c r="P639" s="238"/>
      <c r="Q639" s="190"/>
      <c r="R639" s="239"/>
      <c r="S639" s="190"/>
      <c r="T639" s="240"/>
      <c r="U639" s="241"/>
      <c r="V639" s="190"/>
      <c r="W639" s="190"/>
      <c r="X639" s="190"/>
      <c r="Y639" s="56"/>
    </row>
    <row r="640">
      <c r="A640" s="237"/>
      <c r="B640" s="130"/>
      <c r="C640" s="130"/>
      <c r="D640" s="130"/>
      <c r="E640" s="199"/>
      <c r="F640" s="130"/>
      <c r="G640" s="130"/>
      <c r="H640" s="130"/>
      <c r="I640" s="130"/>
      <c r="J640" s="130"/>
      <c r="K640" s="130"/>
      <c r="L640" s="130"/>
      <c r="M640" s="131"/>
      <c r="N640" s="132"/>
      <c r="O640" s="133"/>
      <c r="P640" s="238"/>
      <c r="Q640" s="190"/>
      <c r="R640" s="239"/>
      <c r="S640" s="190"/>
      <c r="T640" s="240"/>
      <c r="U640" s="241"/>
      <c r="V640" s="190"/>
      <c r="W640" s="190"/>
      <c r="X640" s="190"/>
      <c r="Y640" s="56"/>
    </row>
    <row r="641">
      <c r="A641" s="237"/>
      <c r="B641" s="130"/>
      <c r="C641" s="130"/>
      <c r="D641" s="130"/>
      <c r="E641" s="199"/>
      <c r="F641" s="130"/>
      <c r="G641" s="130"/>
      <c r="H641" s="130"/>
      <c r="I641" s="130"/>
      <c r="J641" s="130"/>
      <c r="K641" s="130"/>
      <c r="L641" s="130"/>
      <c r="M641" s="131"/>
      <c r="N641" s="132"/>
      <c r="O641" s="133"/>
      <c r="P641" s="238"/>
      <c r="Q641" s="190"/>
      <c r="R641" s="239"/>
      <c r="S641" s="190"/>
      <c r="T641" s="240"/>
      <c r="U641" s="241"/>
      <c r="V641" s="190"/>
      <c r="W641" s="190"/>
      <c r="X641" s="190"/>
      <c r="Y641" s="56"/>
    </row>
    <row r="642">
      <c r="A642" s="237"/>
      <c r="B642" s="130"/>
      <c r="C642" s="130"/>
      <c r="D642" s="130"/>
      <c r="E642" s="199"/>
      <c r="F642" s="130"/>
      <c r="G642" s="130"/>
      <c r="H642" s="130"/>
      <c r="I642" s="130"/>
      <c r="J642" s="130"/>
      <c r="K642" s="130"/>
      <c r="L642" s="130"/>
      <c r="M642" s="131"/>
      <c r="N642" s="132"/>
      <c r="O642" s="133"/>
      <c r="P642" s="238"/>
      <c r="Q642" s="190"/>
      <c r="R642" s="239"/>
      <c r="S642" s="190"/>
      <c r="T642" s="240"/>
      <c r="U642" s="241"/>
      <c r="V642" s="190"/>
      <c r="W642" s="190"/>
      <c r="X642" s="190"/>
      <c r="Y642" s="56"/>
    </row>
    <row r="643">
      <c r="A643" s="237"/>
      <c r="B643" s="130"/>
      <c r="C643" s="130"/>
      <c r="D643" s="130"/>
      <c r="E643" s="199"/>
      <c r="F643" s="130"/>
      <c r="G643" s="130"/>
      <c r="H643" s="130"/>
      <c r="I643" s="130"/>
      <c r="J643" s="130"/>
      <c r="K643" s="130"/>
      <c r="L643" s="130"/>
      <c r="M643" s="131"/>
      <c r="N643" s="132"/>
      <c r="O643" s="133"/>
      <c r="P643" s="238"/>
      <c r="Q643" s="190"/>
      <c r="R643" s="239"/>
      <c r="S643" s="190"/>
      <c r="T643" s="240"/>
      <c r="U643" s="241"/>
      <c r="V643" s="190"/>
      <c r="W643" s="190"/>
      <c r="X643" s="190"/>
      <c r="Y643" s="56"/>
    </row>
    <row r="644">
      <c r="A644" s="237"/>
      <c r="B644" s="130"/>
      <c r="C644" s="130"/>
      <c r="D644" s="130"/>
      <c r="E644" s="199"/>
      <c r="F644" s="130"/>
      <c r="G644" s="130"/>
      <c r="H644" s="130"/>
      <c r="I644" s="130"/>
      <c r="J644" s="130"/>
      <c r="K644" s="130"/>
      <c r="L644" s="130"/>
      <c r="M644" s="131"/>
      <c r="N644" s="132"/>
      <c r="O644" s="133"/>
      <c r="P644" s="238"/>
      <c r="Q644" s="190"/>
      <c r="R644" s="239"/>
      <c r="S644" s="190"/>
      <c r="T644" s="240"/>
      <c r="U644" s="241"/>
      <c r="V644" s="190"/>
      <c r="W644" s="190"/>
      <c r="X644" s="190"/>
      <c r="Y644" s="56"/>
    </row>
    <row r="645">
      <c r="A645" s="237"/>
      <c r="B645" s="130"/>
      <c r="C645" s="130"/>
      <c r="D645" s="130"/>
      <c r="E645" s="199"/>
      <c r="F645" s="130"/>
      <c r="G645" s="130"/>
      <c r="H645" s="130"/>
      <c r="I645" s="130"/>
      <c r="J645" s="130"/>
      <c r="K645" s="130"/>
      <c r="L645" s="130"/>
      <c r="M645" s="131"/>
      <c r="N645" s="132"/>
      <c r="O645" s="133"/>
      <c r="P645" s="238"/>
      <c r="Q645" s="190"/>
      <c r="R645" s="239"/>
      <c r="S645" s="190"/>
      <c r="T645" s="240"/>
      <c r="U645" s="241"/>
      <c r="V645" s="190"/>
      <c r="W645" s="190"/>
      <c r="X645" s="190"/>
      <c r="Y645" s="56"/>
    </row>
    <row r="646">
      <c r="A646" s="237"/>
      <c r="B646" s="130"/>
      <c r="C646" s="130"/>
      <c r="D646" s="130"/>
      <c r="E646" s="199"/>
      <c r="F646" s="130"/>
      <c r="G646" s="130"/>
      <c r="H646" s="130"/>
      <c r="I646" s="130"/>
      <c r="J646" s="130"/>
      <c r="K646" s="130"/>
      <c r="L646" s="130"/>
      <c r="M646" s="131"/>
      <c r="N646" s="132"/>
      <c r="O646" s="133"/>
      <c r="P646" s="238"/>
      <c r="Q646" s="190"/>
      <c r="R646" s="239"/>
      <c r="S646" s="190"/>
      <c r="T646" s="240"/>
      <c r="U646" s="241"/>
      <c r="V646" s="190"/>
      <c r="W646" s="190"/>
      <c r="X646" s="190"/>
      <c r="Y646" s="56"/>
    </row>
    <row r="647">
      <c r="A647" s="237"/>
      <c r="B647" s="130"/>
      <c r="C647" s="130"/>
      <c r="D647" s="130"/>
      <c r="E647" s="199"/>
      <c r="F647" s="130"/>
      <c r="G647" s="130"/>
      <c r="H647" s="130"/>
      <c r="I647" s="130"/>
      <c r="J647" s="130"/>
      <c r="K647" s="130"/>
      <c r="L647" s="130"/>
      <c r="M647" s="131"/>
      <c r="N647" s="132"/>
      <c r="O647" s="133"/>
      <c r="P647" s="238"/>
      <c r="Q647" s="190"/>
      <c r="R647" s="239"/>
      <c r="S647" s="190"/>
      <c r="T647" s="240"/>
      <c r="U647" s="241"/>
      <c r="V647" s="190"/>
      <c r="W647" s="190"/>
      <c r="X647" s="190"/>
      <c r="Y647" s="56"/>
    </row>
    <row r="648">
      <c r="A648" s="237"/>
      <c r="B648" s="130"/>
      <c r="C648" s="130"/>
      <c r="D648" s="130"/>
      <c r="E648" s="199"/>
      <c r="F648" s="130"/>
      <c r="G648" s="130"/>
      <c r="H648" s="130"/>
      <c r="I648" s="130"/>
      <c r="J648" s="130"/>
      <c r="K648" s="130"/>
      <c r="L648" s="130"/>
      <c r="M648" s="131"/>
      <c r="N648" s="132"/>
      <c r="O648" s="133"/>
      <c r="P648" s="238"/>
      <c r="Q648" s="190"/>
      <c r="R648" s="239"/>
      <c r="S648" s="190"/>
      <c r="T648" s="240"/>
      <c r="U648" s="241"/>
      <c r="V648" s="190"/>
      <c r="W648" s="190"/>
      <c r="X648" s="190"/>
      <c r="Y648" s="56"/>
    </row>
    <row r="649">
      <c r="A649" s="237"/>
      <c r="B649" s="130"/>
      <c r="C649" s="130"/>
      <c r="D649" s="130"/>
      <c r="E649" s="199"/>
      <c r="F649" s="130"/>
      <c r="G649" s="130"/>
      <c r="H649" s="130"/>
      <c r="I649" s="130"/>
      <c r="J649" s="130"/>
      <c r="K649" s="130"/>
      <c r="L649" s="130"/>
      <c r="M649" s="131"/>
      <c r="N649" s="132"/>
      <c r="O649" s="133"/>
      <c r="P649" s="238"/>
      <c r="Q649" s="190"/>
      <c r="R649" s="239"/>
      <c r="S649" s="190"/>
      <c r="T649" s="240"/>
      <c r="U649" s="241"/>
      <c r="V649" s="190"/>
      <c r="W649" s="190"/>
      <c r="X649" s="190"/>
      <c r="Y649" s="56"/>
    </row>
    <row r="650">
      <c r="A650" s="237"/>
      <c r="B650" s="130"/>
      <c r="C650" s="130"/>
      <c r="D650" s="130"/>
      <c r="E650" s="199"/>
      <c r="F650" s="130"/>
      <c r="G650" s="130"/>
      <c r="H650" s="130"/>
      <c r="I650" s="130"/>
      <c r="J650" s="130"/>
      <c r="K650" s="130"/>
      <c r="L650" s="130"/>
      <c r="M650" s="131"/>
      <c r="N650" s="132"/>
      <c r="O650" s="133"/>
      <c r="P650" s="238"/>
      <c r="Q650" s="190"/>
      <c r="R650" s="239"/>
      <c r="S650" s="190"/>
      <c r="T650" s="240"/>
      <c r="U650" s="241"/>
      <c r="V650" s="190"/>
      <c r="W650" s="190"/>
      <c r="X650" s="190"/>
      <c r="Y650" s="56"/>
    </row>
    <row r="651">
      <c r="A651" s="237"/>
      <c r="B651" s="130"/>
      <c r="C651" s="130"/>
      <c r="D651" s="130"/>
      <c r="E651" s="199"/>
      <c r="F651" s="130"/>
      <c r="G651" s="130"/>
      <c r="H651" s="130"/>
      <c r="I651" s="130"/>
      <c r="J651" s="130"/>
      <c r="K651" s="130"/>
      <c r="L651" s="130"/>
      <c r="M651" s="131"/>
      <c r="N651" s="132"/>
      <c r="O651" s="133"/>
      <c r="P651" s="238"/>
      <c r="Q651" s="190"/>
      <c r="R651" s="239"/>
      <c r="S651" s="190"/>
      <c r="T651" s="240"/>
      <c r="U651" s="241"/>
      <c r="V651" s="190"/>
      <c r="W651" s="190"/>
      <c r="X651" s="190"/>
      <c r="Y651" s="56"/>
    </row>
    <row r="652">
      <c r="A652" s="237"/>
      <c r="B652" s="130"/>
      <c r="C652" s="130"/>
      <c r="D652" s="130"/>
      <c r="E652" s="199"/>
      <c r="F652" s="130"/>
      <c r="G652" s="130"/>
      <c r="H652" s="130"/>
      <c r="I652" s="130"/>
      <c r="J652" s="130"/>
      <c r="K652" s="130"/>
      <c r="L652" s="130"/>
      <c r="M652" s="131"/>
      <c r="N652" s="132"/>
      <c r="O652" s="133"/>
      <c r="P652" s="238"/>
      <c r="Q652" s="190"/>
      <c r="R652" s="239"/>
      <c r="S652" s="190"/>
      <c r="T652" s="240"/>
      <c r="U652" s="241"/>
      <c r="V652" s="190"/>
      <c r="W652" s="190"/>
      <c r="X652" s="190"/>
      <c r="Y652" s="56"/>
    </row>
    <row r="653">
      <c r="A653" s="237"/>
      <c r="B653" s="130"/>
      <c r="C653" s="130"/>
      <c r="D653" s="130"/>
      <c r="E653" s="199"/>
      <c r="F653" s="130"/>
      <c r="G653" s="130"/>
      <c r="H653" s="130"/>
      <c r="I653" s="130"/>
      <c r="J653" s="130"/>
      <c r="K653" s="130"/>
      <c r="L653" s="130"/>
      <c r="M653" s="131"/>
      <c r="N653" s="132"/>
      <c r="O653" s="133"/>
      <c r="P653" s="238"/>
      <c r="Q653" s="190"/>
      <c r="R653" s="239"/>
      <c r="S653" s="190"/>
      <c r="T653" s="240"/>
      <c r="U653" s="241"/>
      <c r="V653" s="190"/>
      <c r="W653" s="190"/>
      <c r="X653" s="190"/>
      <c r="Y653" s="56"/>
    </row>
    <row r="654">
      <c r="A654" s="237"/>
      <c r="B654" s="130"/>
      <c r="C654" s="130"/>
      <c r="D654" s="130"/>
      <c r="E654" s="199"/>
      <c r="F654" s="130"/>
      <c r="G654" s="130"/>
      <c r="H654" s="130"/>
      <c r="I654" s="130"/>
      <c r="J654" s="130"/>
      <c r="K654" s="130"/>
      <c r="L654" s="130"/>
      <c r="M654" s="131"/>
      <c r="N654" s="132"/>
      <c r="O654" s="133"/>
      <c r="P654" s="238"/>
      <c r="Q654" s="190"/>
      <c r="R654" s="239"/>
      <c r="S654" s="190"/>
      <c r="T654" s="240"/>
      <c r="U654" s="241"/>
      <c r="V654" s="190"/>
      <c r="W654" s="190"/>
      <c r="X654" s="190"/>
      <c r="Y654" s="56"/>
    </row>
    <row r="655">
      <c r="A655" s="237"/>
      <c r="B655" s="130"/>
      <c r="C655" s="130"/>
      <c r="D655" s="130"/>
      <c r="E655" s="199"/>
      <c r="F655" s="130"/>
      <c r="G655" s="130"/>
      <c r="H655" s="130"/>
      <c r="I655" s="130"/>
      <c r="J655" s="130"/>
      <c r="K655" s="130"/>
      <c r="L655" s="130"/>
      <c r="M655" s="131"/>
      <c r="N655" s="132"/>
      <c r="O655" s="133"/>
      <c r="P655" s="238"/>
      <c r="Q655" s="190"/>
      <c r="R655" s="239"/>
      <c r="S655" s="190"/>
      <c r="T655" s="240"/>
      <c r="U655" s="241"/>
      <c r="V655" s="190"/>
      <c r="W655" s="190"/>
      <c r="X655" s="190"/>
      <c r="Y655" s="56"/>
    </row>
    <row r="656">
      <c r="A656" s="237"/>
      <c r="B656" s="130"/>
      <c r="C656" s="130"/>
      <c r="D656" s="130"/>
      <c r="E656" s="199"/>
      <c r="F656" s="130"/>
      <c r="G656" s="130"/>
      <c r="H656" s="130"/>
      <c r="I656" s="130"/>
      <c r="J656" s="130"/>
      <c r="K656" s="130"/>
      <c r="L656" s="130"/>
      <c r="M656" s="131"/>
      <c r="N656" s="132"/>
      <c r="O656" s="133"/>
      <c r="P656" s="238"/>
      <c r="Q656" s="190"/>
      <c r="R656" s="239"/>
      <c r="S656" s="190"/>
      <c r="T656" s="240"/>
      <c r="U656" s="241"/>
      <c r="V656" s="190"/>
      <c r="W656" s="190"/>
      <c r="X656" s="190"/>
      <c r="Y656" s="56"/>
    </row>
    <row r="657">
      <c r="A657" s="237"/>
      <c r="B657" s="130"/>
      <c r="C657" s="130"/>
      <c r="D657" s="130"/>
      <c r="E657" s="199"/>
      <c r="F657" s="130"/>
      <c r="G657" s="130"/>
      <c r="H657" s="130"/>
      <c r="I657" s="130"/>
      <c r="J657" s="130"/>
      <c r="K657" s="130"/>
      <c r="L657" s="130"/>
      <c r="M657" s="131"/>
      <c r="N657" s="132"/>
      <c r="O657" s="133"/>
      <c r="P657" s="238"/>
      <c r="Q657" s="190"/>
      <c r="R657" s="239"/>
      <c r="S657" s="190"/>
      <c r="T657" s="240"/>
      <c r="U657" s="241"/>
      <c r="V657" s="190"/>
      <c r="W657" s="190"/>
      <c r="X657" s="190"/>
      <c r="Y657" s="56"/>
    </row>
    <row r="658">
      <c r="A658" s="237"/>
      <c r="B658" s="130"/>
      <c r="C658" s="130"/>
      <c r="D658" s="130"/>
      <c r="E658" s="199"/>
      <c r="F658" s="130"/>
      <c r="G658" s="130"/>
      <c r="H658" s="130"/>
      <c r="I658" s="130"/>
      <c r="J658" s="130"/>
      <c r="K658" s="130"/>
      <c r="L658" s="130"/>
      <c r="M658" s="131"/>
      <c r="N658" s="132"/>
      <c r="O658" s="133"/>
      <c r="P658" s="238"/>
      <c r="Q658" s="190"/>
      <c r="R658" s="239"/>
      <c r="S658" s="190"/>
      <c r="T658" s="240"/>
      <c r="U658" s="241"/>
      <c r="V658" s="190"/>
      <c r="W658" s="190"/>
      <c r="X658" s="190"/>
      <c r="Y658" s="56"/>
    </row>
    <row r="659">
      <c r="A659" s="237"/>
      <c r="B659" s="130"/>
      <c r="C659" s="130"/>
      <c r="D659" s="130"/>
      <c r="E659" s="199"/>
      <c r="F659" s="130"/>
      <c r="G659" s="130"/>
      <c r="H659" s="130"/>
      <c r="I659" s="130"/>
      <c r="J659" s="130"/>
      <c r="K659" s="130"/>
      <c r="L659" s="130"/>
      <c r="M659" s="131"/>
      <c r="N659" s="132"/>
      <c r="O659" s="133"/>
      <c r="P659" s="238"/>
      <c r="Q659" s="190"/>
      <c r="R659" s="239"/>
      <c r="S659" s="190"/>
      <c r="T659" s="240"/>
      <c r="U659" s="241"/>
      <c r="V659" s="190"/>
      <c r="W659" s="190"/>
      <c r="X659" s="190"/>
      <c r="Y659" s="56"/>
    </row>
    <row r="660">
      <c r="A660" s="237"/>
      <c r="B660" s="130"/>
      <c r="C660" s="130"/>
      <c r="D660" s="130"/>
      <c r="E660" s="199"/>
      <c r="F660" s="130"/>
      <c r="G660" s="130"/>
      <c r="H660" s="130"/>
      <c r="I660" s="130"/>
      <c r="J660" s="130"/>
      <c r="K660" s="130"/>
      <c r="L660" s="130"/>
      <c r="M660" s="131"/>
      <c r="N660" s="132"/>
      <c r="O660" s="133"/>
      <c r="P660" s="238"/>
      <c r="Q660" s="190"/>
      <c r="R660" s="239"/>
      <c r="S660" s="190"/>
      <c r="T660" s="240"/>
      <c r="U660" s="241"/>
      <c r="V660" s="190"/>
      <c r="W660" s="190"/>
      <c r="X660" s="190"/>
      <c r="Y660" s="56"/>
    </row>
    <row r="661">
      <c r="A661" s="237"/>
      <c r="B661" s="130"/>
      <c r="C661" s="130"/>
      <c r="D661" s="130"/>
      <c r="E661" s="199"/>
      <c r="F661" s="130"/>
      <c r="G661" s="130"/>
      <c r="H661" s="130"/>
      <c r="I661" s="130"/>
      <c r="J661" s="130"/>
      <c r="K661" s="130"/>
      <c r="L661" s="130"/>
      <c r="M661" s="131"/>
      <c r="N661" s="132"/>
      <c r="O661" s="133"/>
      <c r="P661" s="238"/>
      <c r="Q661" s="190"/>
      <c r="R661" s="239"/>
      <c r="S661" s="190"/>
      <c r="T661" s="240"/>
      <c r="U661" s="241"/>
      <c r="V661" s="190"/>
      <c r="W661" s="190"/>
      <c r="X661" s="190"/>
      <c r="Y661" s="56"/>
    </row>
    <row r="662">
      <c r="A662" s="237"/>
      <c r="B662" s="130"/>
      <c r="C662" s="130"/>
      <c r="D662" s="130"/>
      <c r="E662" s="199"/>
      <c r="F662" s="130"/>
      <c r="G662" s="130"/>
      <c r="H662" s="130"/>
      <c r="I662" s="130"/>
      <c r="J662" s="130"/>
      <c r="K662" s="130"/>
      <c r="L662" s="130"/>
      <c r="M662" s="131"/>
      <c r="N662" s="132"/>
      <c r="O662" s="133"/>
      <c r="P662" s="238"/>
      <c r="Q662" s="190"/>
      <c r="R662" s="239"/>
      <c r="S662" s="190"/>
      <c r="T662" s="240"/>
      <c r="U662" s="241"/>
      <c r="V662" s="190"/>
      <c r="W662" s="190"/>
      <c r="X662" s="190"/>
      <c r="Y662" s="56"/>
    </row>
    <row r="663">
      <c r="A663" s="237"/>
      <c r="B663" s="130"/>
      <c r="C663" s="130"/>
      <c r="D663" s="130"/>
      <c r="E663" s="199"/>
      <c r="F663" s="130"/>
      <c r="G663" s="130"/>
      <c r="H663" s="130"/>
      <c r="I663" s="130"/>
      <c r="J663" s="130"/>
      <c r="K663" s="130"/>
      <c r="L663" s="130"/>
      <c r="M663" s="131"/>
      <c r="N663" s="132"/>
      <c r="O663" s="133"/>
      <c r="P663" s="238"/>
      <c r="Q663" s="190"/>
      <c r="R663" s="239"/>
      <c r="S663" s="190"/>
      <c r="T663" s="240"/>
      <c r="U663" s="241"/>
      <c r="V663" s="190"/>
      <c r="W663" s="190"/>
      <c r="X663" s="190"/>
      <c r="Y663" s="56"/>
    </row>
    <row r="664">
      <c r="A664" s="237"/>
      <c r="B664" s="130"/>
      <c r="C664" s="130"/>
      <c r="D664" s="130"/>
      <c r="E664" s="199"/>
      <c r="F664" s="130"/>
      <c r="G664" s="130"/>
      <c r="H664" s="130"/>
      <c r="I664" s="130"/>
      <c r="J664" s="130"/>
      <c r="K664" s="130"/>
      <c r="L664" s="130"/>
      <c r="M664" s="131"/>
      <c r="N664" s="132"/>
      <c r="O664" s="133"/>
      <c r="P664" s="238"/>
      <c r="Q664" s="190"/>
      <c r="R664" s="239"/>
      <c r="S664" s="190"/>
      <c r="T664" s="240"/>
      <c r="U664" s="241"/>
      <c r="V664" s="190"/>
      <c r="W664" s="190"/>
      <c r="X664" s="190"/>
      <c r="Y664" s="56"/>
    </row>
    <row r="665">
      <c r="A665" s="237"/>
      <c r="B665" s="130"/>
      <c r="C665" s="130"/>
      <c r="D665" s="130"/>
      <c r="E665" s="199"/>
      <c r="F665" s="130"/>
      <c r="G665" s="130"/>
      <c r="H665" s="130"/>
      <c r="I665" s="130"/>
      <c r="J665" s="130"/>
      <c r="K665" s="130"/>
      <c r="L665" s="130"/>
      <c r="M665" s="131"/>
      <c r="N665" s="132"/>
      <c r="O665" s="133"/>
      <c r="P665" s="238"/>
      <c r="Q665" s="190"/>
      <c r="R665" s="239"/>
      <c r="S665" s="190"/>
      <c r="T665" s="240"/>
      <c r="U665" s="241"/>
      <c r="V665" s="190"/>
      <c r="W665" s="190"/>
      <c r="X665" s="190"/>
      <c r="Y665" s="56"/>
    </row>
    <row r="666">
      <c r="A666" s="237"/>
      <c r="B666" s="130"/>
      <c r="C666" s="130"/>
      <c r="D666" s="130"/>
      <c r="E666" s="199"/>
      <c r="F666" s="130"/>
      <c r="G666" s="130"/>
      <c r="H666" s="130"/>
      <c r="I666" s="130"/>
      <c r="J666" s="130"/>
      <c r="K666" s="130"/>
      <c r="L666" s="130"/>
      <c r="M666" s="131"/>
      <c r="N666" s="132"/>
      <c r="O666" s="133"/>
      <c r="P666" s="238"/>
      <c r="Q666" s="190"/>
      <c r="R666" s="239"/>
      <c r="S666" s="190"/>
      <c r="T666" s="240"/>
      <c r="U666" s="241"/>
      <c r="V666" s="190"/>
      <c r="W666" s="190"/>
      <c r="X666" s="190"/>
      <c r="Y666" s="56"/>
    </row>
    <row r="667">
      <c r="A667" s="237"/>
      <c r="B667" s="130"/>
      <c r="C667" s="130"/>
      <c r="D667" s="130"/>
      <c r="E667" s="199"/>
      <c r="F667" s="130"/>
      <c r="G667" s="130"/>
      <c r="H667" s="130"/>
      <c r="I667" s="130"/>
      <c r="J667" s="130"/>
      <c r="K667" s="130"/>
      <c r="L667" s="130"/>
      <c r="M667" s="131"/>
      <c r="N667" s="132"/>
      <c r="O667" s="133"/>
      <c r="P667" s="238"/>
      <c r="Q667" s="190"/>
      <c r="R667" s="239"/>
      <c r="S667" s="190"/>
      <c r="T667" s="240"/>
      <c r="U667" s="241"/>
      <c r="V667" s="190"/>
      <c r="W667" s="190"/>
      <c r="X667" s="190"/>
      <c r="Y667" s="56"/>
    </row>
    <row r="668">
      <c r="A668" s="237"/>
      <c r="B668" s="130"/>
      <c r="C668" s="130"/>
      <c r="D668" s="130"/>
      <c r="E668" s="199"/>
      <c r="F668" s="130"/>
      <c r="G668" s="130"/>
      <c r="H668" s="130"/>
      <c r="I668" s="130"/>
      <c r="J668" s="130"/>
      <c r="K668" s="130"/>
      <c r="L668" s="130"/>
      <c r="M668" s="131"/>
      <c r="N668" s="132"/>
      <c r="O668" s="133"/>
      <c r="P668" s="238"/>
      <c r="Q668" s="190"/>
      <c r="R668" s="239"/>
      <c r="S668" s="190"/>
      <c r="T668" s="240"/>
      <c r="U668" s="241"/>
      <c r="V668" s="190"/>
      <c r="W668" s="190"/>
      <c r="X668" s="190"/>
      <c r="Y668" s="56"/>
    </row>
    <row r="669">
      <c r="A669" s="237"/>
      <c r="B669" s="130"/>
      <c r="C669" s="130"/>
      <c r="D669" s="130"/>
      <c r="E669" s="199"/>
      <c r="F669" s="130"/>
      <c r="G669" s="130"/>
      <c r="H669" s="130"/>
      <c r="I669" s="130"/>
      <c r="J669" s="130"/>
      <c r="K669" s="130"/>
      <c r="L669" s="130"/>
      <c r="M669" s="131"/>
      <c r="N669" s="132"/>
      <c r="O669" s="133"/>
      <c r="P669" s="238"/>
      <c r="Q669" s="190"/>
      <c r="R669" s="239"/>
      <c r="S669" s="190"/>
      <c r="T669" s="240"/>
      <c r="U669" s="241"/>
      <c r="V669" s="190"/>
      <c r="W669" s="190"/>
      <c r="X669" s="190"/>
      <c r="Y669" s="56"/>
    </row>
    <row r="670">
      <c r="A670" s="237"/>
      <c r="B670" s="130"/>
      <c r="C670" s="130"/>
      <c r="D670" s="130"/>
      <c r="E670" s="199"/>
      <c r="F670" s="130"/>
      <c r="G670" s="130"/>
      <c r="H670" s="130"/>
      <c r="I670" s="130"/>
      <c r="J670" s="130"/>
      <c r="K670" s="130"/>
      <c r="L670" s="130"/>
      <c r="M670" s="131"/>
      <c r="N670" s="132"/>
      <c r="O670" s="133"/>
      <c r="P670" s="238"/>
      <c r="Q670" s="190"/>
      <c r="R670" s="239"/>
      <c r="S670" s="190"/>
      <c r="T670" s="240"/>
      <c r="U670" s="241"/>
      <c r="V670" s="190"/>
      <c r="W670" s="190"/>
      <c r="X670" s="190"/>
      <c r="Y670" s="56"/>
    </row>
    <row r="671">
      <c r="A671" s="237"/>
      <c r="B671" s="130"/>
      <c r="C671" s="130"/>
      <c r="D671" s="130"/>
      <c r="E671" s="199"/>
      <c r="F671" s="130"/>
      <c r="G671" s="130"/>
      <c r="H671" s="130"/>
      <c r="I671" s="130"/>
      <c r="J671" s="130"/>
      <c r="K671" s="130"/>
      <c r="L671" s="130"/>
      <c r="M671" s="131"/>
      <c r="N671" s="132"/>
      <c r="O671" s="133"/>
      <c r="P671" s="238"/>
      <c r="Q671" s="190"/>
      <c r="R671" s="239"/>
      <c r="S671" s="190"/>
      <c r="T671" s="240"/>
      <c r="U671" s="241"/>
      <c r="V671" s="190"/>
      <c r="W671" s="190"/>
      <c r="X671" s="190"/>
      <c r="Y671" s="56"/>
    </row>
    <row r="672">
      <c r="A672" s="237"/>
      <c r="B672" s="130"/>
      <c r="C672" s="130"/>
      <c r="D672" s="130"/>
      <c r="E672" s="199"/>
      <c r="F672" s="130"/>
      <c r="G672" s="130"/>
      <c r="H672" s="130"/>
      <c r="I672" s="130"/>
      <c r="J672" s="130"/>
      <c r="K672" s="130"/>
      <c r="L672" s="130"/>
      <c r="M672" s="131"/>
      <c r="N672" s="132"/>
      <c r="O672" s="133"/>
      <c r="P672" s="238"/>
      <c r="Q672" s="190"/>
      <c r="R672" s="239"/>
      <c r="S672" s="190"/>
      <c r="T672" s="240"/>
      <c r="U672" s="241"/>
      <c r="V672" s="190"/>
      <c r="W672" s="190"/>
      <c r="X672" s="190"/>
      <c r="Y672" s="56"/>
    </row>
    <row r="673">
      <c r="A673" s="237"/>
      <c r="B673" s="130"/>
      <c r="C673" s="130"/>
      <c r="D673" s="130"/>
      <c r="E673" s="199"/>
      <c r="F673" s="130"/>
      <c r="G673" s="130"/>
      <c r="H673" s="130"/>
      <c r="I673" s="130"/>
      <c r="J673" s="130"/>
      <c r="K673" s="130"/>
      <c r="L673" s="130"/>
      <c r="M673" s="131"/>
      <c r="N673" s="132"/>
      <c r="O673" s="133"/>
      <c r="P673" s="238"/>
      <c r="Q673" s="190"/>
      <c r="R673" s="239"/>
      <c r="S673" s="190"/>
      <c r="T673" s="240"/>
      <c r="U673" s="241"/>
      <c r="V673" s="190"/>
      <c r="W673" s="190"/>
      <c r="X673" s="190"/>
      <c r="Y673" s="56"/>
    </row>
    <row r="674">
      <c r="A674" s="237"/>
      <c r="B674" s="130"/>
      <c r="C674" s="130"/>
      <c r="D674" s="130"/>
      <c r="E674" s="199"/>
      <c r="F674" s="130"/>
      <c r="G674" s="130"/>
      <c r="H674" s="130"/>
      <c r="I674" s="130"/>
      <c r="J674" s="130"/>
      <c r="K674" s="130"/>
      <c r="L674" s="130"/>
      <c r="M674" s="131"/>
      <c r="N674" s="132"/>
      <c r="O674" s="133"/>
      <c r="P674" s="238"/>
      <c r="Q674" s="190"/>
      <c r="R674" s="239"/>
      <c r="S674" s="190"/>
      <c r="T674" s="240"/>
      <c r="U674" s="241"/>
      <c r="V674" s="190"/>
      <c r="W674" s="190"/>
      <c r="X674" s="190"/>
      <c r="Y674" s="56"/>
    </row>
    <row r="675">
      <c r="A675" s="237"/>
      <c r="B675" s="130"/>
      <c r="C675" s="130"/>
      <c r="D675" s="130"/>
      <c r="E675" s="199"/>
      <c r="F675" s="130"/>
      <c r="G675" s="130"/>
      <c r="H675" s="130"/>
      <c r="I675" s="130"/>
      <c r="J675" s="130"/>
      <c r="K675" s="130"/>
      <c r="L675" s="130"/>
      <c r="M675" s="131"/>
      <c r="N675" s="132"/>
      <c r="O675" s="133"/>
      <c r="P675" s="238"/>
      <c r="Q675" s="190"/>
      <c r="R675" s="239"/>
      <c r="S675" s="190"/>
      <c r="T675" s="240"/>
      <c r="U675" s="241"/>
      <c r="V675" s="190"/>
      <c r="W675" s="190"/>
      <c r="X675" s="190"/>
      <c r="Y675" s="56"/>
    </row>
    <row r="676">
      <c r="A676" s="237"/>
      <c r="B676" s="130"/>
      <c r="C676" s="130"/>
      <c r="D676" s="130"/>
      <c r="E676" s="199"/>
      <c r="F676" s="130"/>
      <c r="G676" s="130"/>
      <c r="H676" s="130"/>
      <c r="I676" s="130"/>
      <c r="J676" s="130"/>
      <c r="K676" s="130"/>
      <c r="L676" s="130"/>
      <c r="M676" s="131"/>
      <c r="N676" s="132"/>
      <c r="O676" s="133"/>
      <c r="P676" s="238"/>
      <c r="Q676" s="190"/>
      <c r="R676" s="239"/>
      <c r="S676" s="190"/>
      <c r="T676" s="240"/>
      <c r="U676" s="241"/>
      <c r="V676" s="190"/>
      <c r="W676" s="190"/>
      <c r="X676" s="190"/>
      <c r="Y676" s="56"/>
    </row>
    <row r="677">
      <c r="A677" s="237"/>
      <c r="B677" s="130"/>
      <c r="C677" s="130"/>
      <c r="D677" s="130"/>
      <c r="E677" s="199"/>
      <c r="F677" s="130"/>
      <c r="G677" s="130"/>
      <c r="H677" s="130"/>
      <c r="I677" s="130"/>
      <c r="J677" s="130"/>
      <c r="K677" s="130"/>
      <c r="L677" s="130"/>
      <c r="M677" s="131"/>
      <c r="N677" s="132"/>
      <c r="O677" s="133"/>
      <c r="P677" s="238"/>
      <c r="Q677" s="190"/>
      <c r="R677" s="239"/>
      <c r="S677" s="190"/>
      <c r="T677" s="240"/>
      <c r="U677" s="241"/>
      <c r="V677" s="190"/>
      <c r="W677" s="190"/>
      <c r="X677" s="190"/>
      <c r="Y677" s="56"/>
    </row>
    <row r="678">
      <c r="A678" s="237"/>
      <c r="B678" s="130"/>
      <c r="C678" s="130"/>
      <c r="D678" s="130"/>
      <c r="E678" s="199"/>
      <c r="F678" s="130"/>
      <c r="G678" s="130"/>
      <c r="H678" s="130"/>
      <c r="I678" s="130"/>
      <c r="J678" s="130"/>
      <c r="K678" s="130"/>
      <c r="L678" s="130"/>
      <c r="M678" s="131"/>
      <c r="N678" s="132"/>
      <c r="O678" s="133"/>
      <c r="P678" s="238"/>
      <c r="Q678" s="190"/>
      <c r="R678" s="239"/>
      <c r="S678" s="190"/>
      <c r="T678" s="240"/>
      <c r="U678" s="241"/>
      <c r="V678" s="190"/>
      <c r="W678" s="190"/>
      <c r="X678" s="190"/>
      <c r="Y678" s="56"/>
    </row>
    <row r="679">
      <c r="A679" s="237"/>
      <c r="B679" s="130"/>
      <c r="C679" s="130"/>
      <c r="D679" s="130"/>
      <c r="E679" s="199"/>
      <c r="F679" s="130"/>
      <c r="G679" s="130"/>
      <c r="H679" s="130"/>
      <c r="I679" s="130"/>
      <c r="J679" s="130"/>
      <c r="K679" s="130"/>
      <c r="L679" s="130"/>
      <c r="M679" s="131"/>
      <c r="N679" s="132"/>
      <c r="O679" s="133"/>
      <c r="P679" s="238"/>
      <c r="Q679" s="190"/>
      <c r="R679" s="239"/>
      <c r="S679" s="190"/>
      <c r="T679" s="240"/>
      <c r="U679" s="241"/>
      <c r="V679" s="190"/>
      <c r="W679" s="190"/>
      <c r="X679" s="190"/>
      <c r="Y679" s="56"/>
    </row>
    <row r="680">
      <c r="A680" s="237"/>
      <c r="B680" s="130"/>
      <c r="C680" s="130"/>
      <c r="D680" s="130"/>
      <c r="E680" s="199"/>
      <c r="F680" s="130"/>
      <c r="G680" s="130"/>
      <c r="H680" s="130"/>
      <c r="I680" s="130"/>
      <c r="J680" s="130"/>
      <c r="K680" s="130"/>
      <c r="L680" s="130"/>
      <c r="M680" s="131"/>
      <c r="N680" s="132"/>
      <c r="O680" s="133"/>
      <c r="P680" s="238"/>
      <c r="Q680" s="190"/>
      <c r="R680" s="239"/>
      <c r="S680" s="190"/>
      <c r="T680" s="240"/>
      <c r="U680" s="241"/>
      <c r="V680" s="190"/>
      <c r="W680" s="190"/>
      <c r="X680" s="190"/>
      <c r="Y680" s="56"/>
    </row>
    <row r="681">
      <c r="A681" s="237"/>
      <c r="B681" s="130"/>
      <c r="C681" s="130"/>
      <c r="D681" s="130"/>
      <c r="E681" s="199"/>
      <c r="F681" s="130"/>
      <c r="G681" s="130"/>
      <c r="H681" s="130"/>
      <c r="I681" s="130"/>
      <c r="J681" s="130"/>
      <c r="K681" s="130"/>
      <c r="L681" s="130"/>
      <c r="M681" s="131"/>
      <c r="N681" s="132"/>
      <c r="O681" s="133"/>
      <c r="P681" s="238"/>
      <c r="Q681" s="190"/>
      <c r="R681" s="239"/>
      <c r="S681" s="190"/>
      <c r="T681" s="240"/>
      <c r="U681" s="241"/>
      <c r="V681" s="190"/>
      <c r="W681" s="190"/>
      <c r="X681" s="190"/>
      <c r="Y681" s="56"/>
    </row>
    <row r="682">
      <c r="A682" s="237"/>
      <c r="B682" s="130"/>
      <c r="C682" s="130"/>
      <c r="D682" s="130"/>
      <c r="E682" s="199"/>
      <c r="F682" s="130"/>
      <c r="G682" s="130"/>
      <c r="H682" s="130"/>
      <c r="I682" s="130"/>
      <c r="J682" s="130"/>
      <c r="K682" s="130"/>
      <c r="L682" s="130"/>
      <c r="M682" s="131"/>
      <c r="N682" s="132"/>
      <c r="O682" s="133"/>
      <c r="P682" s="238"/>
      <c r="Q682" s="190"/>
      <c r="R682" s="239"/>
      <c r="S682" s="190"/>
      <c r="T682" s="240"/>
      <c r="U682" s="241"/>
      <c r="V682" s="190"/>
      <c r="W682" s="190"/>
      <c r="X682" s="190"/>
      <c r="Y682" s="56"/>
    </row>
    <row r="683">
      <c r="A683" s="237"/>
      <c r="B683" s="130"/>
      <c r="C683" s="130"/>
      <c r="D683" s="130"/>
      <c r="E683" s="199"/>
      <c r="F683" s="130"/>
      <c r="G683" s="130"/>
      <c r="H683" s="130"/>
      <c r="I683" s="130"/>
      <c r="J683" s="130"/>
      <c r="K683" s="130"/>
      <c r="L683" s="130"/>
      <c r="M683" s="131"/>
      <c r="N683" s="132"/>
      <c r="O683" s="133"/>
      <c r="P683" s="238"/>
      <c r="Q683" s="190"/>
      <c r="R683" s="239"/>
      <c r="S683" s="190"/>
      <c r="T683" s="240"/>
      <c r="U683" s="241"/>
      <c r="V683" s="190"/>
      <c r="W683" s="190"/>
      <c r="X683" s="190"/>
      <c r="Y683" s="56"/>
    </row>
    <row r="684">
      <c r="A684" s="237"/>
      <c r="B684" s="130"/>
      <c r="C684" s="130"/>
      <c r="D684" s="130"/>
      <c r="E684" s="199"/>
      <c r="F684" s="130"/>
      <c r="G684" s="130"/>
      <c r="H684" s="130"/>
      <c r="I684" s="130"/>
      <c r="J684" s="130"/>
      <c r="K684" s="130"/>
      <c r="L684" s="130"/>
      <c r="M684" s="131"/>
      <c r="N684" s="132"/>
      <c r="O684" s="133"/>
      <c r="P684" s="238"/>
      <c r="Q684" s="190"/>
      <c r="R684" s="239"/>
      <c r="S684" s="190"/>
      <c r="T684" s="240"/>
      <c r="U684" s="241"/>
      <c r="V684" s="190"/>
      <c r="W684" s="190"/>
      <c r="X684" s="190"/>
      <c r="Y684" s="56"/>
    </row>
    <row r="685">
      <c r="A685" s="237"/>
      <c r="B685" s="130"/>
      <c r="C685" s="130"/>
      <c r="D685" s="130"/>
      <c r="E685" s="199"/>
      <c r="F685" s="130"/>
      <c r="G685" s="130"/>
      <c r="H685" s="130"/>
      <c r="I685" s="130"/>
      <c r="J685" s="130"/>
      <c r="K685" s="130"/>
      <c r="L685" s="130"/>
      <c r="M685" s="131"/>
      <c r="N685" s="132"/>
      <c r="O685" s="133"/>
      <c r="P685" s="238"/>
      <c r="Q685" s="190"/>
      <c r="R685" s="239"/>
      <c r="S685" s="190"/>
      <c r="T685" s="240"/>
      <c r="U685" s="241"/>
      <c r="V685" s="190"/>
      <c r="W685" s="190"/>
      <c r="X685" s="190"/>
      <c r="Y685" s="56"/>
    </row>
    <row r="686">
      <c r="A686" s="237"/>
      <c r="B686" s="130"/>
      <c r="C686" s="130"/>
      <c r="D686" s="130"/>
      <c r="E686" s="199"/>
      <c r="F686" s="130"/>
      <c r="G686" s="130"/>
      <c r="H686" s="130"/>
      <c r="I686" s="130"/>
      <c r="J686" s="130"/>
      <c r="K686" s="130"/>
      <c r="L686" s="130"/>
      <c r="M686" s="131"/>
      <c r="N686" s="132"/>
      <c r="O686" s="133"/>
      <c r="P686" s="238"/>
      <c r="Q686" s="190"/>
      <c r="R686" s="239"/>
      <c r="S686" s="190"/>
      <c r="T686" s="240"/>
      <c r="U686" s="241"/>
      <c r="V686" s="190"/>
      <c r="W686" s="190"/>
      <c r="X686" s="190"/>
      <c r="Y686" s="56"/>
    </row>
    <row r="687">
      <c r="A687" s="237"/>
      <c r="B687" s="130"/>
      <c r="C687" s="130"/>
      <c r="D687" s="130"/>
      <c r="E687" s="199"/>
      <c r="F687" s="130"/>
      <c r="G687" s="130"/>
      <c r="H687" s="130"/>
      <c r="I687" s="130"/>
      <c r="J687" s="130"/>
      <c r="K687" s="130"/>
      <c r="L687" s="130"/>
      <c r="M687" s="131"/>
      <c r="N687" s="132"/>
      <c r="O687" s="133"/>
      <c r="P687" s="238"/>
      <c r="Q687" s="190"/>
      <c r="R687" s="239"/>
      <c r="S687" s="190"/>
      <c r="T687" s="240"/>
      <c r="U687" s="241"/>
      <c r="V687" s="190"/>
      <c r="W687" s="190"/>
      <c r="X687" s="190"/>
      <c r="Y687" s="56"/>
    </row>
    <row r="688">
      <c r="A688" s="237"/>
      <c r="B688" s="130"/>
      <c r="C688" s="130"/>
      <c r="D688" s="130"/>
      <c r="E688" s="199"/>
      <c r="F688" s="130"/>
      <c r="G688" s="130"/>
      <c r="H688" s="130"/>
      <c r="I688" s="130"/>
      <c r="J688" s="130"/>
      <c r="K688" s="130"/>
      <c r="L688" s="130"/>
      <c r="M688" s="131"/>
      <c r="N688" s="132"/>
      <c r="O688" s="133"/>
      <c r="P688" s="238"/>
      <c r="Q688" s="190"/>
      <c r="R688" s="239"/>
      <c r="S688" s="190"/>
      <c r="T688" s="240"/>
      <c r="U688" s="241"/>
      <c r="V688" s="190"/>
      <c r="W688" s="190"/>
      <c r="X688" s="190"/>
      <c r="Y688" s="56"/>
    </row>
    <row r="689">
      <c r="A689" s="237"/>
      <c r="B689" s="130"/>
      <c r="C689" s="130"/>
      <c r="D689" s="130"/>
      <c r="E689" s="199"/>
      <c r="F689" s="130"/>
      <c r="G689" s="130"/>
      <c r="H689" s="130"/>
      <c r="I689" s="130"/>
      <c r="J689" s="130"/>
      <c r="K689" s="130"/>
      <c r="L689" s="130"/>
      <c r="M689" s="131"/>
      <c r="N689" s="132"/>
      <c r="O689" s="133"/>
      <c r="P689" s="238"/>
      <c r="Q689" s="190"/>
      <c r="R689" s="239"/>
      <c r="S689" s="190"/>
      <c r="T689" s="240"/>
      <c r="U689" s="241"/>
      <c r="V689" s="190"/>
      <c r="W689" s="190"/>
      <c r="X689" s="190"/>
      <c r="Y689" s="56"/>
    </row>
    <row r="690">
      <c r="A690" s="237"/>
      <c r="B690" s="130"/>
      <c r="C690" s="130"/>
      <c r="D690" s="130"/>
      <c r="E690" s="199"/>
      <c r="F690" s="130"/>
      <c r="G690" s="130"/>
      <c r="H690" s="130"/>
      <c r="I690" s="130"/>
      <c r="J690" s="130"/>
      <c r="K690" s="130"/>
      <c r="L690" s="130"/>
      <c r="M690" s="131"/>
      <c r="N690" s="132"/>
      <c r="O690" s="133"/>
      <c r="P690" s="238"/>
      <c r="Q690" s="190"/>
      <c r="R690" s="239"/>
      <c r="S690" s="190"/>
      <c r="T690" s="240"/>
      <c r="U690" s="241"/>
      <c r="V690" s="190"/>
      <c r="W690" s="190"/>
      <c r="X690" s="190"/>
      <c r="Y690" s="56"/>
    </row>
    <row r="691">
      <c r="A691" s="237"/>
      <c r="B691" s="130"/>
      <c r="C691" s="130"/>
      <c r="D691" s="130"/>
      <c r="E691" s="199"/>
      <c r="F691" s="130"/>
      <c r="G691" s="130"/>
      <c r="H691" s="130"/>
      <c r="I691" s="130"/>
      <c r="J691" s="130"/>
      <c r="K691" s="130"/>
      <c r="L691" s="130"/>
      <c r="M691" s="131"/>
      <c r="N691" s="132"/>
      <c r="O691" s="133"/>
      <c r="P691" s="238"/>
      <c r="Q691" s="190"/>
      <c r="R691" s="239"/>
      <c r="S691" s="190"/>
      <c r="T691" s="240"/>
      <c r="U691" s="241"/>
      <c r="V691" s="190"/>
      <c r="W691" s="190"/>
      <c r="X691" s="190"/>
      <c r="Y691" s="56"/>
    </row>
    <row r="692">
      <c r="A692" s="237"/>
      <c r="B692" s="130"/>
      <c r="C692" s="130"/>
      <c r="D692" s="130"/>
      <c r="E692" s="199"/>
      <c r="F692" s="130"/>
      <c r="G692" s="130"/>
      <c r="H692" s="130"/>
      <c r="I692" s="130"/>
      <c r="J692" s="130"/>
      <c r="K692" s="130"/>
      <c r="L692" s="130"/>
      <c r="M692" s="131"/>
      <c r="N692" s="132"/>
      <c r="O692" s="133"/>
      <c r="P692" s="238"/>
      <c r="Q692" s="190"/>
      <c r="R692" s="239"/>
      <c r="S692" s="190"/>
      <c r="T692" s="240"/>
      <c r="U692" s="241"/>
      <c r="V692" s="190"/>
      <c r="W692" s="190"/>
      <c r="X692" s="190"/>
      <c r="Y692" s="56"/>
    </row>
    <row r="693">
      <c r="A693" s="237"/>
      <c r="B693" s="130"/>
      <c r="C693" s="130"/>
      <c r="D693" s="130"/>
      <c r="E693" s="199"/>
      <c r="F693" s="130"/>
      <c r="G693" s="130"/>
      <c r="H693" s="130"/>
      <c r="I693" s="130"/>
      <c r="J693" s="130"/>
      <c r="K693" s="130"/>
      <c r="L693" s="130"/>
      <c r="M693" s="131"/>
      <c r="N693" s="132"/>
      <c r="O693" s="133"/>
      <c r="P693" s="238"/>
      <c r="Q693" s="190"/>
      <c r="R693" s="239"/>
      <c r="S693" s="190"/>
      <c r="T693" s="240"/>
      <c r="U693" s="241"/>
      <c r="V693" s="190"/>
      <c r="W693" s="190"/>
      <c r="X693" s="190"/>
      <c r="Y693" s="56"/>
    </row>
    <row r="694">
      <c r="A694" s="237"/>
      <c r="B694" s="130"/>
      <c r="C694" s="130"/>
      <c r="D694" s="130"/>
      <c r="E694" s="199"/>
      <c r="F694" s="130"/>
      <c r="G694" s="130"/>
      <c r="H694" s="130"/>
      <c r="I694" s="130"/>
      <c r="J694" s="130"/>
      <c r="K694" s="130"/>
      <c r="L694" s="130"/>
      <c r="M694" s="131"/>
      <c r="N694" s="132"/>
      <c r="O694" s="133"/>
      <c r="P694" s="238"/>
      <c r="Q694" s="190"/>
      <c r="R694" s="239"/>
      <c r="S694" s="190"/>
      <c r="T694" s="240"/>
      <c r="U694" s="241"/>
      <c r="V694" s="190"/>
      <c r="W694" s="190"/>
      <c r="X694" s="190"/>
      <c r="Y694" s="56"/>
    </row>
    <row r="695">
      <c r="A695" s="237"/>
      <c r="B695" s="130"/>
      <c r="C695" s="130"/>
      <c r="D695" s="130"/>
      <c r="E695" s="199"/>
      <c r="F695" s="130"/>
      <c r="G695" s="130"/>
      <c r="H695" s="130"/>
      <c r="I695" s="130"/>
      <c r="J695" s="130"/>
      <c r="K695" s="130"/>
      <c r="L695" s="130"/>
      <c r="M695" s="131"/>
      <c r="N695" s="132"/>
      <c r="O695" s="133"/>
      <c r="P695" s="238"/>
      <c r="Q695" s="190"/>
      <c r="R695" s="239"/>
      <c r="S695" s="190"/>
      <c r="T695" s="240"/>
      <c r="U695" s="241"/>
      <c r="V695" s="190"/>
      <c r="W695" s="190"/>
      <c r="X695" s="190"/>
      <c r="Y695" s="56"/>
    </row>
    <row r="696">
      <c r="A696" s="237"/>
      <c r="B696" s="130"/>
      <c r="C696" s="130"/>
      <c r="D696" s="130"/>
      <c r="E696" s="199"/>
      <c r="F696" s="130"/>
      <c r="G696" s="130"/>
      <c r="H696" s="130"/>
      <c r="I696" s="130"/>
      <c r="J696" s="130"/>
      <c r="K696" s="130"/>
      <c r="L696" s="130"/>
      <c r="M696" s="131"/>
      <c r="N696" s="132"/>
      <c r="O696" s="133"/>
      <c r="P696" s="238"/>
      <c r="Q696" s="190"/>
      <c r="R696" s="239"/>
      <c r="S696" s="190"/>
      <c r="T696" s="240"/>
      <c r="U696" s="241"/>
      <c r="V696" s="190"/>
      <c r="W696" s="190"/>
      <c r="X696" s="190"/>
      <c r="Y696" s="56"/>
    </row>
    <row r="697">
      <c r="A697" s="237"/>
      <c r="B697" s="130"/>
      <c r="C697" s="130"/>
      <c r="D697" s="130"/>
      <c r="E697" s="199"/>
      <c r="F697" s="130"/>
      <c r="G697" s="130"/>
      <c r="H697" s="130"/>
      <c r="I697" s="130"/>
      <c r="J697" s="130"/>
      <c r="K697" s="130"/>
      <c r="L697" s="130"/>
      <c r="M697" s="131"/>
      <c r="N697" s="132"/>
      <c r="O697" s="133"/>
      <c r="P697" s="238"/>
      <c r="Q697" s="190"/>
      <c r="R697" s="239"/>
      <c r="S697" s="190"/>
      <c r="T697" s="240"/>
      <c r="U697" s="241"/>
      <c r="V697" s="190"/>
      <c r="W697" s="190"/>
      <c r="X697" s="190"/>
      <c r="Y697" s="56"/>
    </row>
    <row r="698">
      <c r="A698" s="237"/>
      <c r="B698" s="130"/>
      <c r="C698" s="130"/>
      <c r="D698" s="130"/>
      <c r="E698" s="199"/>
      <c r="F698" s="130"/>
      <c r="G698" s="130"/>
      <c r="H698" s="130"/>
      <c r="I698" s="130"/>
      <c r="J698" s="130"/>
      <c r="K698" s="130"/>
      <c r="L698" s="130"/>
      <c r="M698" s="131"/>
      <c r="N698" s="132"/>
      <c r="O698" s="133"/>
      <c r="P698" s="238"/>
      <c r="Q698" s="190"/>
      <c r="R698" s="239"/>
      <c r="S698" s="190"/>
      <c r="T698" s="240"/>
      <c r="U698" s="241"/>
      <c r="V698" s="190"/>
      <c r="W698" s="190"/>
      <c r="X698" s="190"/>
      <c r="Y698" s="56"/>
    </row>
    <row r="699">
      <c r="A699" s="237"/>
      <c r="B699" s="130"/>
      <c r="C699" s="130"/>
      <c r="D699" s="130"/>
      <c r="E699" s="199"/>
      <c r="F699" s="130"/>
      <c r="G699" s="130"/>
      <c r="H699" s="130"/>
      <c r="I699" s="130"/>
      <c r="J699" s="130"/>
      <c r="K699" s="130"/>
      <c r="L699" s="130"/>
      <c r="M699" s="131"/>
      <c r="N699" s="132"/>
      <c r="O699" s="133"/>
      <c r="P699" s="238"/>
      <c r="Q699" s="190"/>
      <c r="R699" s="239"/>
      <c r="S699" s="190"/>
      <c r="T699" s="240"/>
      <c r="U699" s="241"/>
      <c r="V699" s="190"/>
      <c r="W699" s="190"/>
      <c r="X699" s="190"/>
      <c r="Y699" s="56"/>
    </row>
    <row r="700">
      <c r="A700" s="237"/>
      <c r="B700" s="130"/>
      <c r="C700" s="130"/>
      <c r="D700" s="130"/>
      <c r="E700" s="199"/>
      <c r="F700" s="130"/>
      <c r="G700" s="130"/>
      <c r="H700" s="130"/>
      <c r="I700" s="130"/>
      <c r="J700" s="130"/>
      <c r="K700" s="130"/>
      <c r="L700" s="130"/>
      <c r="M700" s="131"/>
      <c r="N700" s="132"/>
      <c r="O700" s="133"/>
      <c r="P700" s="238"/>
      <c r="Q700" s="190"/>
      <c r="R700" s="239"/>
      <c r="S700" s="190"/>
      <c r="T700" s="240"/>
      <c r="U700" s="241"/>
      <c r="V700" s="190"/>
      <c r="W700" s="190"/>
      <c r="X700" s="190"/>
      <c r="Y700" s="56"/>
    </row>
    <row r="701">
      <c r="A701" s="237"/>
      <c r="B701" s="130"/>
      <c r="C701" s="130"/>
      <c r="D701" s="130"/>
      <c r="E701" s="199"/>
      <c r="F701" s="130"/>
      <c r="G701" s="130"/>
      <c r="H701" s="130"/>
      <c r="I701" s="130"/>
      <c r="J701" s="130"/>
      <c r="K701" s="130"/>
      <c r="L701" s="130"/>
      <c r="M701" s="131"/>
      <c r="N701" s="132"/>
      <c r="O701" s="133"/>
      <c r="P701" s="238"/>
      <c r="Q701" s="190"/>
      <c r="R701" s="239"/>
      <c r="S701" s="190"/>
      <c r="T701" s="240"/>
      <c r="U701" s="241"/>
      <c r="V701" s="190"/>
      <c r="W701" s="190"/>
      <c r="X701" s="190"/>
      <c r="Y701" s="56"/>
    </row>
    <row r="702">
      <c r="A702" s="237"/>
      <c r="B702" s="130"/>
      <c r="C702" s="130"/>
      <c r="D702" s="130"/>
      <c r="E702" s="199"/>
      <c r="F702" s="130"/>
      <c r="G702" s="130"/>
      <c r="H702" s="130"/>
      <c r="I702" s="130"/>
      <c r="J702" s="130"/>
      <c r="K702" s="130"/>
      <c r="L702" s="130"/>
      <c r="M702" s="131"/>
      <c r="N702" s="132"/>
      <c r="O702" s="133"/>
      <c r="P702" s="238"/>
      <c r="Q702" s="190"/>
      <c r="R702" s="239"/>
      <c r="S702" s="190"/>
      <c r="T702" s="240"/>
      <c r="U702" s="241"/>
      <c r="V702" s="190"/>
      <c r="W702" s="190"/>
      <c r="X702" s="190"/>
      <c r="Y702" s="56"/>
    </row>
    <row r="703">
      <c r="A703" s="237"/>
      <c r="B703" s="130"/>
      <c r="C703" s="130"/>
      <c r="D703" s="130"/>
      <c r="E703" s="199"/>
      <c r="F703" s="130"/>
      <c r="G703" s="130"/>
      <c r="H703" s="130"/>
      <c r="I703" s="130"/>
      <c r="J703" s="130"/>
      <c r="K703" s="130"/>
      <c r="L703" s="130"/>
      <c r="M703" s="131"/>
      <c r="N703" s="132"/>
      <c r="O703" s="133"/>
      <c r="P703" s="238"/>
      <c r="Q703" s="190"/>
      <c r="R703" s="239"/>
      <c r="S703" s="190"/>
      <c r="T703" s="240"/>
      <c r="U703" s="241"/>
      <c r="V703" s="190"/>
      <c r="W703" s="190"/>
      <c r="X703" s="190"/>
      <c r="Y703" s="56"/>
    </row>
    <row r="704">
      <c r="A704" s="237"/>
      <c r="B704" s="130"/>
      <c r="C704" s="130"/>
      <c r="D704" s="130"/>
      <c r="E704" s="199"/>
      <c r="F704" s="130"/>
      <c r="G704" s="130"/>
      <c r="H704" s="130"/>
      <c r="I704" s="130"/>
      <c r="J704" s="130"/>
      <c r="K704" s="130"/>
      <c r="L704" s="130"/>
      <c r="M704" s="131"/>
      <c r="N704" s="132"/>
      <c r="O704" s="133"/>
      <c r="P704" s="238"/>
      <c r="Q704" s="190"/>
      <c r="R704" s="239"/>
      <c r="S704" s="190"/>
      <c r="T704" s="240"/>
      <c r="U704" s="241"/>
      <c r="V704" s="190"/>
      <c r="W704" s="190"/>
      <c r="X704" s="190"/>
      <c r="Y704" s="56"/>
    </row>
    <row r="705">
      <c r="A705" s="237"/>
      <c r="B705" s="130"/>
      <c r="C705" s="130"/>
      <c r="D705" s="130"/>
      <c r="E705" s="199"/>
      <c r="F705" s="130"/>
      <c r="G705" s="130"/>
      <c r="H705" s="130"/>
      <c r="I705" s="130"/>
      <c r="J705" s="130"/>
      <c r="K705" s="130"/>
      <c r="L705" s="130"/>
      <c r="M705" s="131"/>
      <c r="N705" s="132"/>
      <c r="O705" s="133"/>
      <c r="P705" s="238"/>
      <c r="Q705" s="190"/>
      <c r="R705" s="239"/>
      <c r="S705" s="190"/>
      <c r="T705" s="240"/>
      <c r="U705" s="241"/>
      <c r="V705" s="190"/>
      <c r="W705" s="190"/>
      <c r="X705" s="190"/>
      <c r="Y705" s="56"/>
    </row>
    <row r="706">
      <c r="A706" s="237"/>
      <c r="B706" s="130"/>
      <c r="C706" s="130"/>
      <c r="D706" s="130"/>
      <c r="E706" s="199"/>
      <c r="F706" s="130"/>
      <c r="G706" s="130"/>
      <c r="H706" s="130"/>
      <c r="I706" s="130"/>
      <c r="J706" s="130"/>
      <c r="K706" s="130"/>
      <c r="L706" s="130"/>
      <c r="M706" s="131"/>
      <c r="N706" s="132"/>
      <c r="O706" s="133"/>
      <c r="P706" s="238"/>
      <c r="Q706" s="190"/>
      <c r="R706" s="239"/>
      <c r="S706" s="190"/>
      <c r="T706" s="240"/>
      <c r="U706" s="241"/>
      <c r="V706" s="190"/>
      <c r="W706" s="190"/>
      <c r="X706" s="190"/>
      <c r="Y706" s="56"/>
    </row>
    <row r="707">
      <c r="A707" s="237"/>
      <c r="B707" s="130"/>
      <c r="C707" s="130"/>
      <c r="D707" s="130"/>
      <c r="E707" s="199"/>
      <c r="F707" s="130"/>
      <c r="G707" s="130"/>
      <c r="H707" s="130"/>
      <c r="I707" s="130"/>
      <c r="J707" s="130"/>
      <c r="K707" s="130"/>
      <c r="L707" s="130"/>
      <c r="M707" s="131"/>
      <c r="N707" s="132"/>
      <c r="O707" s="133"/>
      <c r="P707" s="238"/>
      <c r="Q707" s="190"/>
      <c r="R707" s="239"/>
      <c r="S707" s="190"/>
      <c r="T707" s="240"/>
      <c r="U707" s="241"/>
      <c r="V707" s="190"/>
      <c r="W707" s="190"/>
      <c r="X707" s="190"/>
      <c r="Y707" s="56"/>
    </row>
    <row r="708">
      <c r="A708" s="237"/>
      <c r="B708" s="130"/>
      <c r="C708" s="130"/>
      <c r="D708" s="130"/>
      <c r="E708" s="199"/>
      <c r="F708" s="130"/>
      <c r="G708" s="130"/>
      <c r="H708" s="130"/>
      <c r="I708" s="130"/>
      <c r="J708" s="130"/>
      <c r="K708" s="130"/>
      <c r="L708" s="130"/>
      <c r="M708" s="131"/>
      <c r="N708" s="132"/>
      <c r="O708" s="133"/>
      <c r="P708" s="238"/>
      <c r="Q708" s="190"/>
      <c r="R708" s="239"/>
      <c r="S708" s="190"/>
      <c r="T708" s="240"/>
      <c r="U708" s="241"/>
      <c r="V708" s="190"/>
      <c r="W708" s="190"/>
      <c r="X708" s="190"/>
      <c r="Y708" s="56"/>
    </row>
    <row r="709">
      <c r="A709" s="237"/>
      <c r="B709" s="130"/>
      <c r="C709" s="130"/>
      <c r="D709" s="130"/>
      <c r="E709" s="199"/>
      <c r="F709" s="130"/>
      <c r="G709" s="130"/>
      <c r="H709" s="130"/>
      <c r="I709" s="130"/>
      <c r="J709" s="130"/>
      <c r="K709" s="130"/>
      <c r="L709" s="130"/>
      <c r="M709" s="131"/>
      <c r="N709" s="132"/>
      <c r="O709" s="133"/>
      <c r="P709" s="238"/>
      <c r="Q709" s="190"/>
      <c r="R709" s="239"/>
      <c r="S709" s="190"/>
      <c r="T709" s="240"/>
      <c r="U709" s="241"/>
      <c r="V709" s="190"/>
      <c r="W709" s="190"/>
      <c r="X709" s="190"/>
      <c r="Y709" s="56"/>
    </row>
    <row r="710">
      <c r="A710" s="237"/>
      <c r="B710" s="130"/>
      <c r="C710" s="130"/>
      <c r="D710" s="130"/>
      <c r="E710" s="199"/>
      <c r="F710" s="130"/>
      <c r="G710" s="130"/>
      <c r="H710" s="130"/>
      <c r="I710" s="130"/>
      <c r="J710" s="130"/>
      <c r="K710" s="130"/>
      <c r="L710" s="130"/>
      <c r="M710" s="131"/>
      <c r="N710" s="132"/>
      <c r="O710" s="133"/>
      <c r="P710" s="238"/>
      <c r="Q710" s="190"/>
      <c r="R710" s="239"/>
      <c r="S710" s="190"/>
      <c r="T710" s="240"/>
      <c r="U710" s="241"/>
      <c r="V710" s="190"/>
      <c r="W710" s="190"/>
      <c r="X710" s="190"/>
      <c r="Y710" s="56"/>
    </row>
    <row r="711">
      <c r="A711" s="237"/>
      <c r="B711" s="130"/>
      <c r="C711" s="130"/>
      <c r="D711" s="130"/>
      <c r="E711" s="199"/>
      <c r="F711" s="130"/>
      <c r="G711" s="130"/>
      <c r="H711" s="130"/>
      <c r="I711" s="130"/>
      <c r="J711" s="130"/>
      <c r="K711" s="130"/>
      <c r="L711" s="130"/>
      <c r="M711" s="131"/>
      <c r="N711" s="132"/>
      <c r="O711" s="133"/>
      <c r="P711" s="238"/>
      <c r="Q711" s="190"/>
      <c r="R711" s="239"/>
      <c r="S711" s="190"/>
      <c r="T711" s="240"/>
      <c r="U711" s="241"/>
      <c r="V711" s="190"/>
      <c r="W711" s="190"/>
      <c r="X711" s="190"/>
      <c r="Y711" s="56"/>
    </row>
    <row r="712">
      <c r="A712" s="237"/>
      <c r="B712" s="130"/>
      <c r="C712" s="130"/>
      <c r="D712" s="130"/>
      <c r="E712" s="199"/>
      <c r="F712" s="130"/>
      <c r="G712" s="130"/>
      <c r="H712" s="130"/>
      <c r="I712" s="130"/>
      <c r="J712" s="130"/>
      <c r="K712" s="130"/>
      <c r="L712" s="130"/>
      <c r="M712" s="131"/>
      <c r="N712" s="132"/>
      <c r="O712" s="133"/>
      <c r="P712" s="238"/>
      <c r="Q712" s="190"/>
      <c r="R712" s="239"/>
      <c r="S712" s="190"/>
      <c r="T712" s="240"/>
      <c r="U712" s="241"/>
      <c r="V712" s="190"/>
      <c r="W712" s="190"/>
      <c r="X712" s="190"/>
      <c r="Y712" s="56"/>
    </row>
    <row r="713">
      <c r="A713" s="237"/>
      <c r="B713" s="130"/>
      <c r="C713" s="130"/>
      <c r="D713" s="130"/>
      <c r="E713" s="199"/>
      <c r="F713" s="130"/>
      <c r="G713" s="130"/>
      <c r="H713" s="130"/>
      <c r="I713" s="130"/>
      <c r="J713" s="130"/>
      <c r="K713" s="130"/>
      <c r="L713" s="130"/>
      <c r="M713" s="131"/>
      <c r="N713" s="132"/>
      <c r="O713" s="133"/>
      <c r="P713" s="238"/>
      <c r="Q713" s="190"/>
      <c r="R713" s="239"/>
      <c r="S713" s="190"/>
      <c r="T713" s="240"/>
      <c r="U713" s="241"/>
      <c r="V713" s="190"/>
      <c r="W713" s="190"/>
      <c r="X713" s="190"/>
      <c r="Y713" s="56"/>
    </row>
    <row r="714">
      <c r="A714" s="237"/>
      <c r="B714" s="130"/>
      <c r="C714" s="130"/>
      <c r="D714" s="130"/>
      <c r="E714" s="199"/>
      <c r="F714" s="130"/>
      <c r="G714" s="130"/>
      <c r="H714" s="130"/>
      <c r="I714" s="130"/>
      <c r="J714" s="130"/>
      <c r="K714" s="130"/>
      <c r="L714" s="130"/>
      <c r="M714" s="131"/>
      <c r="N714" s="132"/>
      <c r="O714" s="133"/>
      <c r="P714" s="238"/>
      <c r="Q714" s="190"/>
      <c r="R714" s="239"/>
      <c r="S714" s="190"/>
      <c r="T714" s="240"/>
      <c r="U714" s="241"/>
      <c r="V714" s="190"/>
      <c r="W714" s="190"/>
      <c r="X714" s="190"/>
      <c r="Y714" s="56"/>
    </row>
    <row r="715">
      <c r="A715" s="237"/>
      <c r="B715" s="130"/>
      <c r="C715" s="130"/>
      <c r="D715" s="130"/>
      <c r="E715" s="199"/>
      <c r="F715" s="130"/>
      <c r="G715" s="130"/>
      <c r="H715" s="130"/>
      <c r="I715" s="130"/>
      <c r="J715" s="130"/>
      <c r="K715" s="130"/>
      <c r="L715" s="130"/>
      <c r="M715" s="131"/>
      <c r="N715" s="132"/>
      <c r="O715" s="133"/>
      <c r="P715" s="238"/>
      <c r="Q715" s="190"/>
      <c r="R715" s="239"/>
      <c r="S715" s="190"/>
      <c r="T715" s="240"/>
      <c r="U715" s="241"/>
      <c r="V715" s="190"/>
      <c r="W715" s="190"/>
      <c r="X715" s="190"/>
      <c r="Y715" s="56"/>
    </row>
    <row r="716">
      <c r="A716" s="237"/>
      <c r="B716" s="130"/>
      <c r="C716" s="130"/>
      <c r="D716" s="130"/>
      <c r="E716" s="199"/>
      <c r="F716" s="130"/>
      <c r="G716" s="130"/>
      <c r="H716" s="130"/>
      <c r="I716" s="130"/>
      <c r="J716" s="130"/>
      <c r="K716" s="130"/>
      <c r="L716" s="130"/>
      <c r="M716" s="131"/>
      <c r="N716" s="132"/>
      <c r="O716" s="133"/>
      <c r="P716" s="238"/>
      <c r="Q716" s="190"/>
      <c r="R716" s="239"/>
      <c r="S716" s="190"/>
      <c r="T716" s="240"/>
      <c r="U716" s="241"/>
      <c r="V716" s="190"/>
      <c r="W716" s="190"/>
      <c r="X716" s="190"/>
      <c r="Y716" s="56"/>
    </row>
    <row r="717">
      <c r="A717" s="237"/>
      <c r="B717" s="130"/>
      <c r="C717" s="130"/>
      <c r="D717" s="130"/>
      <c r="E717" s="199"/>
      <c r="F717" s="130"/>
      <c r="G717" s="130"/>
      <c r="H717" s="130"/>
      <c r="I717" s="130"/>
      <c r="J717" s="130"/>
      <c r="K717" s="130"/>
      <c r="L717" s="130"/>
      <c r="M717" s="131"/>
      <c r="N717" s="132"/>
      <c r="O717" s="133"/>
      <c r="P717" s="238"/>
      <c r="Q717" s="190"/>
      <c r="R717" s="239"/>
      <c r="S717" s="190"/>
      <c r="T717" s="240"/>
      <c r="U717" s="241"/>
      <c r="V717" s="190"/>
      <c r="W717" s="190"/>
      <c r="X717" s="190"/>
      <c r="Y717" s="56"/>
    </row>
    <row r="718">
      <c r="A718" s="237"/>
      <c r="B718" s="130"/>
      <c r="C718" s="130"/>
      <c r="D718" s="130"/>
      <c r="E718" s="199"/>
      <c r="F718" s="130"/>
      <c r="G718" s="130"/>
      <c r="H718" s="130"/>
      <c r="I718" s="130"/>
      <c r="J718" s="130"/>
      <c r="K718" s="130"/>
      <c r="L718" s="130"/>
      <c r="M718" s="131"/>
      <c r="N718" s="132"/>
      <c r="O718" s="133"/>
      <c r="P718" s="238"/>
      <c r="Q718" s="190"/>
      <c r="R718" s="239"/>
      <c r="S718" s="190"/>
      <c r="T718" s="240"/>
      <c r="U718" s="241"/>
      <c r="V718" s="190"/>
      <c r="W718" s="190"/>
      <c r="X718" s="190"/>
      <c r="Y718" s="56"/>
    </row>
    <row r="719">
      <c r="A719" s="237"/>
      <c r="B719" s="130"/>
      <c r="C719" s="130"/>
      <c r="D719" s="130"/>
      <c r="E719" s="199"/>
      <c r="F719" s="130"/>
      <c r="G719" s="130"/>
      <c r="H719" s="130"/>
      <c r="I719" s="130"/>
      <c r="J719" s="130"/>
      <c r="K719" s="130"/>
      <c r="L719" s="130"/>
      <c r="M719" s="131"/>
      <c r="N719" s="132"/>
      <c r="O719" s="133"/>
      <c r="P719" s="238"/>
      <c r="Q719" s="190"/>
      <c r="R719" s="239"/>
      <c r="S719" s="190"/>
      <c r="T719" s="240"/>
      <c r="U719" s="241"/>
      <c r="V719" s="190"/>
      <c r="W719" s="190"/>
      <c r="X719" s="190"/>
      <c r="Y719" s="56"/>
    </row>
    <row r="720">
      <c r="A720" s="237"/>
      <c r="B720" s="130"/>
      <c r="C720" s="130"/>
      <c r="D720" s="130"/>
      <c r="E720" s="199"/>
      <c r="F720" s="130"/>
      <c r="G720" s="130"/>
      <c r="H720" s="130"/>
      <c r="I720" s="130"/>
      <c r="J720" s="130"/>
      <c r="K720" s="130"/>
      <c r="L720" s="130"/>
      <c r="M720" s="131"/>
      <c r="N720" s="132"/>
      <c r="O720" s="133"/>
      <c r="P720" s="238"/>
      <c r="Q720" s="190"/>
      <c r="R720" s="239"/>
      <c r="S720" s="190"/>
      <c r="T720" s="240"/>
      <c r="U720" s="241"/>
      <c r="V720" s="190"/>
      <c r="W720" s="190"/>
      <c r="X720" s="190"/>
      <c r="Y720" s="56"/>
    </row>
    <row r="721">
      <c r="A721" s="237"/>
      <c r="B721" s="130"/>
      <c r="C721" s="130"/>
      <c r="D721" s="130"/>
      <c r="E721" s="199"/>
      <c r="F721" s="130"/>
      <c r="G721" s="130"/>
      <c r="H721" s="130"/>
      <c r="I721" s="130"/>
      <c r="J721" s="130"/>
      <c r="K721" s="130"/>
      <c r="L721" s="130"/>
      <c r="M721" s="131"/>
      <c r="N721" s="132"/>
      <c r="O721" s="133"/>
      <c r="P721" s="238"/>
      <c r="Q721" s="190"/>
      <c r="R721" s="239"/>
      <c r="S721" s="190"/>
      <c r="T721" s="240"/>
      <c r="U721" s="241"/>
      <c r="V721" s="190"/>
      <c r="W721" s="190"/>
      <c r="X721" s="190"/>
      <c r="Y721" s="56"/>
    </row>
    <row r="722">
      <c r="A722" s="237"/>
      <c r="B722" s="130"/>
      <c r="C722" s="130"/>
      <c r="D722" s="130"/>
      <c r="E722" s="199"/>
      <c r="F722" s="130"/>
      <c r="G722" s="130"/>
      <c r="H722" s="130"/>
      <c r="I722" s="130"/>
      <c r="J722" s="130"/>
      <c r="K722" s="130"/>
      <c r="L722" s="130"/>
      <c r="M722" s="131"/>
      <c r="N722" s="132"/>
      <c r="O722" s="133"/>
      <c r="P722" s="238"/>
      <c r="Q722" s="190"/>
      <c r="R722" s="239"/>
      <c r="S722" s="190"/>
      <c r="T722" s="240"/>
      <c r="U722" s="241"/>
      <c r="V722" s="190"/>
      <c r="W722" s="190"/>
      <c r="X722" s="190"/>
      <c r="Y722" s="56"/>
    </row>
    <row r="723">
      <c r="A723" s="237"/>
      <c r="B723" s="130"/>
      <c r="C723" s="130"/>
      <c r="D723" s="130"/>
      <c r="E723" s="199"/>
      <c r="F723" s="130"/>
      <c r="G723" s="130"/>
      <c r="H723" s="130"/>
      <c r="I723" s="130"/>
      <c r="J723" s="130"/>
      <c r="K723" s="130"/>
      <c r="L723" s="130"/>
      <c r="M723" s="131"/>
      <c r="N723" s="132"/>
      <c r="O723" s="133"/>
      <c r="P723" s="238"/>
      <c r="Q723" s="190"/>
      <c r="R723" s="239"/>
      <c r="S723" s="190"/>
      <c r="T723" s="240"/>
      <c r="U723" s="241"/>
      <c r="V723" s="190"/>
      <c r="W723" s="190"/>
      <c r="X723" s="190"/>
      <c r="Y723" s="56"/>
    </row>
    <row r="724">
      <c r="A724" s="237"/>
      <c r="B724" s="130"/>
      <c r="C724" s="130"/>
      <c r="D724" s="130"/>
      <c r="E724" s="199"/>
      <c r="F724" s="130"/>
      <c r="G724" s="130"/>
      <c r="H724" s="130"/>
      <c r="I724" s="130"/>
      <c r="J724" s="130"/>
      <c r="K724" s="130"/>
      <c r="L724" s="130"/>
      <c r="M724" s="131"/>
      <c r="N724" s="132"/>
      <c r="O724" s="133"/>
      <c r="P724" s="238"/>
      <c r="Q724" s="190"/>
      <c r="R724" s="239"/>
      <c r="S724" s="190"/>
      <c r="T724" s="240"/>
      <c r="U724" s="241"/>
      <c r="V724" s="190"/>
      <c r="W724" s="190"/>
      <c r="X724" s="190"/>
      <c r="Y724" s="56"/>
    </row>
    <row r="725">
      <c r="A725" s="237"/>
      <c r="B725" s="130"/>
      <c r="C725" s="130"/>
      <c r="D725" s="130"/>
      <c r="E725" s="199"/>
      <c r="F725" s="130"/>
      <c r="G725" s="130"/>
      <c r="H725" s="130"/>
      <c r="I725" s="130"/>
      <c r="J725" s="130"/>
      <c r="K725" s="130"/>
      <c r="L725" s="130"/>
      <c r="M725" s="131"/>
      <c r="N725" s="132"/>
      <c r="O725" s="133"/>
      <c r="P725" s="238"/>
      <c r="Q725" s="190"/>
      <c r="R725" s="239"/>
      <c r="S725" s="190"/>
      <c r="T725" s="240"/>
      <c r="U725" s="241"/>
      <c r="V725" s="190"/>
      <c r="W725" s="190"/>
      <c r="X725" s="190"/>
      <c r="Y725" s="56"/>
    </row>
    <row r="726">
      <c r="A726" s="237"/>
      <c r="B726" s="130"/>
      <c r="C726" s="130"/>
      <c r="D726" s="130"/>
      <c r="E726" s="199"/>
      <c r="F726" s="130"/>
      <c r="G726" s="130"/>
      <c r="H726" s="130"/>
      <c r="I726" s="130"/>
      <c r="J726" s="130"/>
      <c r="K726" s="130"/>
      <c r="L726" s="130"/>
      <c r="M726" s="131"/>
      <c r="N726" s="132"/>
      <c r="O726" s="133"/>
      <c r="P726" s="238"/>
      <c r="Q726" s="190"/>
      <c r="R726" s="239"/>
      <c r="S726" s="190"/>
      <c r="T726" s="240"/>
      <c r="U726" s="241"/>
      <c r="V726" s="190"/>
      <c r="W726" s="190"/>
      <c r="X726" s="190"/>
      <c r="Y726" s="56"/>
    </row>
    <row r="727">
      <c r="A727" s="237"/>
      <c r="B727" s="130"/>
      <c r="C727" s="130"/>
      <c r="D727" s="130"/>
      <c r="E727" s="199"/>
      <c r="F727" s="130"/>
      <c r="G727" s="130"/>
      <c r="H727" s="130"/>
      <c r="I727" s="130"/>
      <c r="J727" s="130"/>
      <c r="K727" s="130"/>
      <c r="L727" s="130"/>
      <c r="M727" s="131"/>
      <c r="N727" s="132"/>
      <c r="O727" s="133"/>
      <c r="P727" s="238"/>
      <c r="Q727" s="190"/>
      <c r="R727" s="239"/>
      <c r="S727" s="190"/>
      <c r="T727" s="240"/>
      <c r="U727" s="241"/>
      <c r="V727" s="190"/>
      <c r="W727" s="190"/>
      <c r="X727" s="190"/>
      <c r="Y727" s="56"/>
    </row>
    <row r="728">
      <c r="A728" s="237"/>
      <c r="B728" s="130"/>
      <c r="C728" s="130"/>
      <c r="D728" s="130"/>
      <c r="E728" s="199"/>
      <c r="F728" s="130"/>
      <c r="G728" s="130"/>
      <c r="H728" s="130"/>
      <c r="I728" s="130"/>
      <c r="J728" s="130"/>
      <c r="K728" s="130"/>
      <c r="L728" s="130"/>
      <c r="M728" s="131"/>
      <c r="N728" s="132"/>
      <c r="O728" s="133"/>
      <c r="P728" s="238"/>
      <c r="Q728" s="190"/>
      <c r="R728" s="239"/>
      <c r="S728" s="190"/>
      <c r="T728" s="240"/>
      <c r="U728" s="241"/>
      <c r="V728" s="190"/>
      <c r="W728" s="190"/>
      <c r="X728" s="190"/>
      <c r="Y728" s="56"/>
    </row>
    <row r="729">
      <c r="A729" s="237"/>
      <c r="B729" s="130"/>
      <c r="C729" s="130"/>
      <c r="D729" s="130"/>
      <c r="E729" s="199"/>
      <c r="F729" s="130"/>
      <c r="G729" s="130"/>
      <c r="H729" s="130"/>
      <c r="I729" s="130"/>
      <c r="J729" s="130"/>
      <c r="K729" s="130"/>
      <c r="L729" s="130"/>
      <c r="M729" s="131"/>
      <c r="N729" s="132"/>
      <c r="O729" s="133"/>
      <c r="P729" s="238"/>
      <c r="Q729" s="190"/>
      <c r="R729" s="239"/>
      <c r="S729" s="190"/>
      <c r="T729" s="240"/>
      <c r="U729" s="241"/>
      <c r="V729" s="190"/>
      <c r="W729" s="190"/>
      <c r="X729" s="190"/>
      <c r="Y729" s="56"/>
    </row>
    <row r="730">
      <c r="A730" s="237"/>
      <c r="B730" s="130"/>
      <c r="C730" s="130"/>
      <c r="D730" s="130"/>
      <c r="E730" s="199"/>
      <c r="F730" s="130"/>
      <c r="G730" s="130"/>
      <c r="H730" s="130"/>
      <c r="I730" s="130"/>
      <c r="J730" s="130"/>
      <c r="K730" s="130"/>
      <c r="L730" s="130"/>
      <c r="M730" s="131"/>
      <c r="N730" s="132"/>
      <c r="O730" s="133"/>
      <c r="P730" s="238"/>
      <c r="Q730" s="190"/>
      <c r="R730" s="239"/>
      <c r="S730" s="190"/>
      <c r="T730" s="240"/>
      <c r="U730" s="241"/>
      <c r="V730" s="190"/>
      <c r="W730" s="190"/>
      <c r="X730" s="190"/>
      <c r="Y730" s="56"/>
    </row>
    <row r="731">
      <c r="A731" s="237"/>
      <c r="B731" s="130"/>
      <c r="C731" s="130"/>
      <c r="D731" s="130"/>
      <c r="E731" s="199"/>
      <c r="F731" s="130"/>
      <c r="G731" s="130"/>
      <c r="H731" s="130"/>
      <c r="I731" s="130"/>
      <c r="J731" s="130"/>
      <c r="K731" s="130"/>
      <c r="L731" s="130"/>
      <c r="M731" s="131"/>
      <c r="N731" s="132"/>
      <c r="O731" s="133"/>
      <c r="P731" s="238"/>
      <c r="Q731" s="190"/>
      <c r="R731" s="239"/>
      <c r="S731" s="190"/>
      <c r="T731" s="240"/>
      <c r="U731" s="241"/>
      <c r="V731" s="190"/>
      <c r="W731" s="190"/>
      <c r="X731" s="190"/>
      <c r="Y731" s="56"/>
    </row>
    <row r="732">
      <c r="A732" s="237"/>
      <c r="B732" s="130"/>
      <c r="C732" s="130"/>
      <c r="D732" s="130"/>
      <c r="E732" s="199"/>
      <c r="F732" s="130"/>
      <c r="G732" s="130"/>
      <c r="H732" s="130"/>
      <c r="I732" s="130"/>
      <c r="J732" s="130"/>
      <c r="K732" s="130"/>
      <c r="L732" s="130"/>
      <c r="M732" s="131"/>
      <c r="N732" s="132"/>
      <c r="O732" s="133"/>
      <c r="P732" s="238"/>
      <c r="Q732" s="190"/>
      <c r="R732" s="239"/>
      <c r="S732" s="190"/>
      <c r="T732" s="240"/>
      <c r="U732" s="241"/>
      <c r="V732" s="190"/>
      <c r="W732" s="190"/>
      <c r="X732" s="190"/>
      <c r="Y732" s="56"/>
    </row>
    <row r="733">
      <c r="A733" s="237"/>
      <c r="B733" s="130"/>
      <c r="C733" s="130"/>
      <c r="D733" s="130"/>
      <c r="E733" s="199"/>
      <c r="F733" s="130"/>
      <c r="G733" s="130"/>
      <c r="H733" s="130"/>
      <c r="I733" s="130"/>
      <c r="J733" s="130"/>
      <c r="K733" s="130"/>
      <c r="L733" s="130"/>
      <c r="M733" s="131"/>
      <c r="N733" s="132"/>
      <c r="O733" s="133"/>
      <c r="P733" s="238"/>
      <c r="Q733" s="190"/>
      <c r="R733" s="239"/>
      <c r="S733" s="190"/>
      <c r="T733" s="240"/>
      <c r="U733" s="241"/>
      <c r="V733" s="190"/>
      <c r="W733" s="190"/>
      <c r="X733" s="190"/>
      <c r="Y733" s="56"/>
    </row>
    <row r="734">
      <c r="A734" s="237"/>
      <c r="B734" s="130"/>
      <c r="C734" s="130"/>
      <c r="D734" s="130"/>
      <c r="E734" s="199"/>
      <c r="F734" s="130"/>
      <c r="G734" s="130"/>
      <c r="H734" s="130"/>
      <c r="I734" s="130"/>
      <c r="J734" s="130"/>
      <c r="K734" s="130"/>
      <c r="L734" s="130"/>
      <c r="M734" s="131"/>
      <c r="N734" s="132"/>
      <c r="O734" s="133"/>
      <c r="P734" s="238"/>
      <c r="Q734" s="190"/>
      <c r="R734" s="239"/>
      <c r="S734" s="190"/>
      <c r="T734" s="240"/>
      <c r="U734" s="241"/>
      <c r="V734" s="190"/>
      <c r="W734" s="190"/>
      <c r="X734" s="190"/>
      <c r="Y734" s="56"/>
    </row>
    <row r="735">
      <c r="A735" s="237"/>
      <c r="B735" s="130"/>
      <c r="C735" s="130"/>
      <c r="D735" s="130"/>
      <c r="E735" s="199"/>
      <c r="F735" s="130"/>
      <c r="G735" s="130"/>
      <c r="H735" s="130"/>
      <c r="I735" s="130"/>
      <c r="J735" s="130"/>
      <c r="K735" s="130"/>
      <c r="L735" s="130"/>
      <c r="M735" s="131"/>
      <c r="N735" s="132"/>
      <c r="O735" s="133"/>
      <c r="P735" s="238"/>
      <c r="Q735" s="190"/>
      <c r="R735" s="239"/>
      <c r="S735" s="190"/>
      <c r="T735" s="240"/>
      <c r="U735" s="241"/>
      <c r="V735" s="190"/>
      <c r="W735" s="190"/>
      <c r="X735" s="190"/>
      <c r="Y735" s="56"/>
    </row>
    <row r="736">
      <c r="A736" s="237"/>
      <c r="B736" s="130"/>
      <c r="C736" s="130"/>
      <c r="D736" s="130"/>
      <c r="E736" s="199"/>
      <c r="F736" s="130"/>
      <c r="G736" s="130"/>
      <c r="H736" s="130"/>
      <c r="I736" s="130"/>
      <c r="J736" s="130"/>
      <c r="K736" s="130"/>
      <c r="L736" s="130"/>
      <c r="M736" s="131"/>
      <c r="N736" s="132"/>
      <c r="O736" s="133"/>
      <c r="P736" s="238"/>
      <c r="Q736" s="190"/>
      <c r="R736" s="239"/>
      <c r="S736" s="190"/>
      <c r="T736" s="240"/>
      <c r="U736" s="241"/>
      <c r="V736" s="190"/>
      <c r="W736" s="190"/>
      <c r="X736" s="190"/>
      <c r="Y736" s="56"/>
    </row>
    <row r="737">
      <c r="A737" s="237"/>
      <c r="B737" s="130"/>
      <c r="C737" s="130"/>
      <c r="D737" s="130"/>
      <c r="E737" s="199"/>
      <c r="F737" s="130"/>
      <c r="G737" s="130"/>
      <c r="H737" s="130"/>
      <c r="I737" s="130"/>
      <c r="J737" s="130"/>
      <c r="K737" s="130"/>
      <c r="L737" s="130"/>
      <c r="M737" s="131"/>
      <c r="N737" s="132"/>
      <c r="O737" s="133"/>
      <c r="P737" s="238"/>
      <c r="Q737" s="190"/>
      <c r="R737" s="239"/>
      <c r="S737" s="190"/>
      <c r="T737" s="240"/>
      <c r="U737" s="241"/>
      <c r="V737" s="190"/>
      <c r="W737" s="190"/>
      <c r="X737" s="190"/>
      <c r="Y737" s="56"/>
    </row>
    <row r="738">
      <c r="A738" s="237"/>
      <c r="B738" s="130"/>
      <c r="C738" s="130"/>
      <c r="D738" s="130"/>
      <c r="E738" s="199"/>
      <c r="F738" s="130"/>
      <c r="G738" s="130"/>
      <c r="H738" s="130"/>
      <c r="I738" s="130"/>
      <c r="J738" s="130"/>
      <c r="K738" s="130"/>
      <c r="L738" s="130"/>
      <c r="M738" s="131"/>
      <c r="N738" s="132"/>
      <c r="O738" s="133"/>
      <c r="P738" s="238"/>
      <c r="Q738" s="190"/>
      <c r="R738" s="239"/>
      <c r="S738" s="190"/>
      <c r="T738" s="240"/>
      <c r="U738" s="241"/>
      <c r="V738" s="190"/>
      <c r="W738" s="190"/>
      <c r="X738" s="190"/>
      <c r="Y738" s="56"/>
    </row>
    <row r="739">
      <c r="A739" s="237"/>
      <c r="B739" s="130"/>
      <c r="C739" s="130"/>
      <c r="D739" s="130"/>
      <c r="E739" s="199"/>
      <c r="F739" s="130"/>
      <c r="G739" s="130"/>
      <c r="H739" s="130"/>
      <c r="I739" s="130"/>
      <c r="J739" s="130"/>
      <c r="K739" s="130"/>
      <c r="L739" s="130"/>
      <c r="M739" s="131"/>
      <c r="N739" s="132"/>
      <c r="O739" s="133"/>
      <c r="P739" s="238"/>
      <c r="Q739" s="190"/>
      <c r="R739" s="239"/>
      <c r="S739" s="190"/>
      <c r="T739" s="240"/>
      <c r="U739" s="241"/>
      <c r="V739" s="190"/>
      <c r="W739" s="190"/>
      <c r="X739" s="190"/>
      <c r="Y739" s="56"/>
    </row>
    <row r="740">
      <c r="A740" s="237"/>
      <c r="B740" s="130"/>
      <c r="C740" s="130"/>
      <c r="D740" s="130"/>
      <c r="E740" s="199"/>
      <c r="F740" s="130"/>
      <c r="G740" s="130"/>
      <c r="H740" s="130"/>
      <c r="I740" s="130"/>
      <c r="J740" s="130"/>
      <c r="K740" s="130"/>
      <c r="L740" s="130"/>
      <c r="M740" s="131"/>
      <c r="N740" s="132"/>
      <c r="O740" s="133"/>
      <c r="P740" s="238"/>
      <c r="Q740" s="190"/>
      <c r="R740" s="239"/>
      <c r="S740" s="190"/>
      <c r="T740" s="240"/>
      <c r="U740" s="241"/>
      <c r="V740" s="190"/>
      <c r="W740" s="190"/>
      <c r="X740" s="190"/>
      <c r="Y740" s="56"/>
    </row>
    <row r="741">
      <c r="A741" s="237"/>
      <c r="B741" s="130"/>
      <c r="C741" s="130"/>
      <c r="D741" s="130"/>
      <c r="E741" s="199"/>
      <c r="F741" s="130"/>
      <c r="G741" s="130"/>
      <c r="H741" s="130"/>
      <c r="I741" s="130"/>
      <c r="J741" s="130"/>
      <c r="K741" s="130"/>
      <c r="L741" s="130"/>
      <c r="M741" s="131"/>
      <c r="N741" s="132"/>
      <c r="O741" s="133"/>
      <c r="P741" s="238"/>
      <c r="Q741" s="190"/>
      <c r="R741" s="239"/>
      <c r="S741" s="190"/>
      <c r="T741" s="240"/>
      <c r="U741" s="241"/>
      <c r="V741" s="190"/>
      <c r="W741" s="190"/>
      <c r="X741" s="190"/>
      <c r="Y741" s="56"/>
    </row>
    <row r="742">
      <c r="A742" s="237"/>
      <c r="B742" s="130"/>
      <c r="C742" s="130"/>
      <c r="D742" s="130"/>
      <c r="E742" s="199"/>
      <c r="F742" s="130"/>
      <c r="G742" s="130"/>
      <c r="H742" s="130"/>
      <c r="I742" s="130"/>
      <c r="J742" s="130"/>
      <c r="K742" s="130"/>
      <c r="L742" s="130"/>
      <c r="M742" s="131"/>
      <c r="N742" s="132"/>
      <c r="O742" s="133"/>
      <c r="P742" s="238"/>
      <c r="Q742" s="190"/>
      <c r="R742" s="239"/>
      <c r="S742" s="190"/>
      <c r="T742" s="240"/>
      <c r="U742" s="241"/>
      <c r="V742" s="190"/>
      <c r="W742" s="190"/>
      <c r="X742" s="190"/>
      <c r="Y742" s="56"/>
    </row>
    <row r="743">
      <c r="A743" s="237"/>
      <c r="B743" s="130"/>
      <c r="C743" s="130"/>
      <c r="D743" s="130"/>
      <c r="E743" s="199"/>
      <c r="F743" s="130"/>
      <c r="G743" s="130"/>
      <c r="H743" s="130"/>
      <c r="I743" s="130"/>
      <c r="J743" s="130"/>
      <c r="K743" s="130"/>
      <c r="L743" s="130"/>
      <c r="M743" s="131"/>
      <c r="N743" s="132"/>
      <c r="O743" s="133"/>
      <c r="P743" s="238"/>
      <c r="Q743" s="190"/>
      <c r="R743" s="239"/>
      <c r="S743" s="190"/>
      <c r="T743" s="240"/>
      <c r="U743" s="241"/>
      <c r="V743" s="190"/>
      <c r="W743" s="190"/>
      <c r="X743" s="190"/>
      <c r="Y743" s="56"/>
    </row>
    <row r="744">
      <c r="A744" s="237"/>
      <c r="B744" s="130"/>
      <c r="C744" s="130"/>
      <c r="D744" s="130"/>
      <c r="E744" s="199"/>
      <c r="F744" s="130"/>
      <c r="G744" s="130"/>
      <c r="H744" s="130"/>
      <c r="I744" s="130"/>
      <c r="J744" s="130"/>
      <c r="K744" s="130"/>
      <c r="L744" s="130"/>
      <c r="M744" s="131"/>
      <c r="N744" s="132"/>
      <c r="O744" s="133"/>
      <c r="P744" s="238"/>
      <c r="Q744" s="190"/>
      <c r="R744" s="239"/>
      <c r="S744" s="190"/>
      <c r="T744" s="240"/>
      <c r="U744" s="241"/>
      <c r="V744" s="190"/>
      <c r="W744" s="190"/>
      <c r="X744" s="190"/>
      <c r="Y744" s="56"/>
    </row>
    <row r="745">
      <c r="A745" s="237"/>
      <c r="B745" s="130"/>
      <c r="C745" s="130"/>
      <c r="D745" s="130"/>
      <c r="E745" s="199"/>
      <c r="F745" s="130"/>
      <c r="G745" s="130"/>
      <c r="H745" s="130"/>
      <c r="I745" s="130"/>
      <c r="J745" s="130"/>
      <c r="K745" s="130"/>
      <c r="L745" s="130"/>
      <c r="M745" s="131"/>
      <c r="N745" s="132"/>
      <c r="O745" s="133"/>
      <c r="P745" s="238"/>
      <c r="Q745" s="190"/>
      <c r="R745" s="239"/>
      <c r="S745" s="190"/>
      <c r="T745" s="240"/>
      <c r="U745" s="241"/>
      <c r="V745" s="190"/>
      <c r="W745" s="190"/>
      <c r="X745" s="190"/>
      <c r="Y745" s="56"/>
    </row>
    <row r="746">
      <c r="A746" s="237"/>
      <c r="B746" s="130"/>
      <c r="C746" s="130"/>
      <c r="D746" s="130"/>
      <c r="E746" s="199"/>
      <c r="F746" s="130"/>
      <c r="G746" s="130"/>
      <c r="H746" s="130"/>
      <c r="I746" s="130"/>
      <c r="J746" s="130"/>
      <c r="K746" s="130"/>
      <c r="L746" s="130"/>
      <c r="M746" s="131"/>
      <c r="N746" s="132"/>
      <c r="O746" s="133"/>
      <c r="P746" s="238"/>
      <c r="Q746" s="190"/>
      <c r="R746" s="239"/>
      <c r="S746" s="190"/>
      <c r="T746" s="240"/>
      <c r="U746" s="241"/>
      <c r="V746" s="190"/>
      <c r="W746" s="190"/>
      <c r="X746" s="190"/>
      <c r="Y746" s="56"/>
    </row>
    <row r="747">
      <c r="A747" s="237"/>
      <c r="B747" s="130"/>
      <c r="C747" s="130"/>
      <c r="D747" s="130"/>
      <c r="E747" s="199"/>
      <c r="F747" s="130"/>
      <c r="G747" s="130"/>
      <c r="H747" s="130"/>
      <c r="I747" s="130"/>
      <c r="J747" s="130"/>
      <c r="K747" s="130"/>
      <c r="L747" s="130"/>
      <c r="M747" s="131"/>
      <c r="N747" s="132"/>
      <c r="O747" s="133"/>
      <c r="P747" s="238"/>
      <c r="Q747" s="190"/>
      <c r="R747" s="239"/>
      <c r="S747" s="190"/>
      <c r="T747" s="240"/>
      <c r="U747" s="241"/>
      <c r="V747" s="190"/>
      <c r="W747" s="190"/>
      <c r="X747" s="190"/>
      <c r="Y747" s="56"/>
    </row>
    <row r="748">
      <c r="A748" s="237"/>
      <c r="B748" s="130"/>
      <c r="C748" s="130"/>
      <c r="D748" s="130"/>
      <c r="E748" s="199"/>
      <c r="F748" s="130"/>
      <c r="G748" s="130"/>
      <c r="H748" s="130"/>
      <c r="I748" s="130"/>
      <c r="J748" s="130"/>
      <c r="K748" s="130"/>
      <c r="L748" s="130"/>
      <c r="M748" s="131"/>
      <c r="N748" s="132"/>
      <c r="O748" s="133"/>
      <c r="P748" s="238"/>
      <c r="Q748" s="190"/>
      <c r="R748" s="239"/>
      <c r="S748" s="190"/>
      <c r="T748" s="240"/>
      <c r="U748" s="241"/>
      <c r="V748" s="190"/>
      <c r="W748" s="190"/>
      <c r="X748" s="190"/>
      <c r="Y748" s="56"/>
    </row>
    <row r="749">
      <c r="A749" s="237"/>
      <c r="B749" s="130"/>
      <c r="C749" s="130"/>
      <c r="D749" s="130"/>
      <c r="E749" s="199"/>
      <c r="F749" s="130"/>
      <c r="G749" s="130"/>
      <c r="H749" s="130"/>
      <c r="I749" s="130"/>
      <c r="J749" s="130"/>
      <c r="K749" s="130"/>
      <c r="L749" s="130"/>
      <c r="M749" s="131"/>
      <c r="N749" s="132"/>
      <c r="O749" s="133"/>
      <c r="P749" s="238"/>
      <c r="Q749" s="190"/>
      <c r="R749" s="239"/>
      <c r="S749" s="190"/>
      <c r="T749" s="240"/>
      <c r="U749" s="241"/>
      <c r="V749" s="190"/>
      <c r="W749" s="190"/>
      <c r="X749" s="190"/>
      <c r="Y749" s="56"/>
    </row>
    <row r="750">
      <c r="A750" s="237"/>
      <c r="B750" s="130"/>
      <c r="C750" s="130"/>
      <c r="D750" s="130"/>
      <c r="E750" s="199"/>
      <c r="F750" s="130"/>
      <c r="G750" s="130"/>
      <c r="H750" s="130"/>
      <c r="I750" s="130"/>
      <c r="J750" s="130"/>
      <c r="K750" s="130"/>
      <c r="L750" s="130"/>
      <c r="M750" s="131"/>
      <c r="N750" s="132"/>
      <c r="O750" s="133"/>
      <c r="P750" s="238"/>
      <c r="Q750" s="190"/>
      <c r="R750" s="239"/>
      <c r="S750" s="190"/>
      <c r="T750" s="240"/>
      <c r="U750" s="241"/>
      <c r="V750" s="190"/>
      <c r="W750" s="190"/>
      <c r="X750" s="190"/>
      <c r="Y750" s="56"/>
    </row>
    <row r="751">
      <c r="A751" s="237"/>
      <c r="B751" s="130"/>
      <c r="C751" s="130"/>
      <c r="D751" s="130"/>
      <c r="E751" s="199"/>
      <c r="F751" s="130"/>
      <c r="G751" s="130"/>
      <c r="H751" s="130"/>
      <c r="I751" s="130"/>
      <c r="J751" s="130"/>
      <c r="K751" s="130"/>
      <c r="L751" s="130"/>
      <c r="M751" s="131"/>
      <c r="N751" s="132"/>
      <c r="O751" s="133"/>
      <c r="P751" s="238"/>
      <c r="Q751" s="190"/>
      <c r="R751" s="239"/>
      <c r="S751" s="190"/>
      <c r="T751" s="240"/>
      <c r="U751" s="241"/>
      <c r="V751" s="190"/>
      <c r="W751" s="190"/>
      <c r="X751" s="190"/>
      <c r="Y751" s="56"/>
    </row>
    <row r="752">
      <c r="A752" s="237"/>
      <c r="B752" s="130"/>
      <c r="C752" s="130"/>
      <c r="D752" s="130"/>
      <c r="E752" s="199"/>
      <c r="F752" s="130"/>
      <c r="G752" s="130"/>
      <c r="H752" s="130"/>
      <c r="I752" s="130"/>
      <c r="J752" s="130"/>
      <c r="K752" s="130"/>
      <c r="L752" s="130"/>
      <c r="M752" s="131"/>
      <c r="N752" s="132"/>
      <c r="O752" s="133"/>
      <c r="P752" s="238"/>
      <c r="Q752" s="190"/>
      <c r="R752" s="239"/>
      <c r="S752" s="190"/>
      <c r="T752" s="240"/>
      <c r="U752" s="241"/>
      <c r="V752" s="190"/>
      <c r="W752" s="190"/>
      <c r="X752" s="190"/>
      <c r="Y752" s="56"/>
    </row>
    <row r="753">
      <c r="A753" s="237"/>
      <c r="B753" s="130"/>
      <c r="C753" s="130"/>
      <c r="D753" s="130"/>
      <c r="E753" s="199"/>
      <c r="F753" s="130"/>
      <c r="G753" s="130"/>
      <c r="H753" s="130"/>
      <c r="I753" s="130"/>
      <c r="J753" s="130"/>
      <c r="K753" s="130"/>
      <c r="L753" s="130"/>
      <c r="M753" s="131"/>
      <c r="N753" s="132"/>
      <c r="O753" s="133"/>
      <c r="P753" s="238"/>
      <c r="Q753" s="190"/>
      <c r="R753" s="239"/>
      <c r="S753" s="190"/>
      <c r="T753" s="240"/>
      <c r="U753" s="241"/>
      <c r="V753" s="190"/>
      <c r="W753" s="190"/>
      <c r="X753" s="190"/>
      <c r="Y753" s="56"/>
    </row>
    <row r="754">
      <c r="A754" s="237"/>
      <c r="B754" s="130"/>
      <c r="C754" s="130"/>
      <c r="D754" s="130"/>
      <c r="E754" s="199"/>
      <c r="F754" s="130"/>
      <c r="G754" s="130"/>
      <c r="H754" s="130"/>
      <c r="I754" s="130"/>
      <c r="J754" s="130"/>
      <c r="K754" s="130"/>
      <c r="L754" s="130"/>
      <c r="M754" s="131"/>
      <c r="N754" s="132"/>
      <c r="O754" s="133"/>
      <c r="P754" s="238"/>
      <c r="Q754" s="190"/>
      <c r="R754" s="239"/>
      <c r="S754" s="190"/>
      <c r="T754" s="240"/>
      <c r="U754" s="241"/>
      <c r="V754" s="190"/>
      <c r="W754" s="190"/>
      <c r="X754" s="190"/>
      <c r="Y754" s="56"/>
    </row>
    <row r="755">
      <c r="A755" s="237"/>
      <c r="B755" s="130"/>
      <c r="C755" s="130"/>
      <c r="D755" s="130"/>
      <c r="E755" s="199"/>
      <c r="F755" s="130"/>
      <c r="G755" s="130"/>
      <c r="H755" s="130"/>
      <c r="I755" s="130"/>
      <c r="J755" s="130"/>
      <c r="K755" s="130"/>
      <c r="L755" s="130"/>
      <c r="M755" s="131"/>
      <c r="N755" s="132"/>
      <c r="O755" s="133"/>
      <c r="P755" s="238"/>
      <c r="Q755" s="190"/>
      <c r="R755" s="239"/>
      <c r="S755" s="190"/>
      <c r="T755" s="240"/>
      <c r="U755" s="241"/>
      <c r="V755" s="190"/>
      <c r="W755" s="190"/>
      <c r="X755" s="190"/>
      <c r="Y755" s="56"/>
    </row>
    <row r="756">
      <c r="A756" s="237"/>
      <c r="B756" s="130"/>
      <c r="C756" s="130"/>
      <c r="D756" s="130"/>
      <c r="E756" s="199"/>
      <c r="F756" s="130"/>
      <c r="G756" s="130"/>
      <c r="H756" s="130"/>
      <c r="I756" s="130"/>
      <c r="J756" s="130"/>
      <c r="K756" s="130"/>
      <c r="L756" s="130"/>
      <c r="M756" s="131"/>
      <c r="N756" s="132"/>
      <c r="O756" s="133"/>
      <c r="P756" s="238"/>
      <c r="Q756" s="190"/>
      <c r="R756" s="239"/>
      <c r="S756" s="190"/>
      <c r="T756" s="240"/>
      <c r="U756" s="241"/>
      <c r="V756" s="190"/>
      <c r="W756" s="190"/>
      <c r="X756" s="190"/>
      <c r="Y756" s="56"/>
    </row>
    <row r="757">
      <c r="A757" s="237"/>
      <c r="B757" s="130"/>
      <c r="C757" s="130"/>
      <c r="D757" s="130"/>
      <c r="E757" s="199"/>
      <c r="F757" s="130"/>
      <c r="G757" s="130"/>
      <c r="H757" s="130"/>
      <c r="I757" s="130"/>
      <c r="J757" s="130"/>
      <c r="K757" s="130"/>
      <c r="L757" s="130"/>
      <c r="M757" s="131"/>
      <c r="N757" s="132"/>
      <c r="O757" s="133"/>
      <c r="P757" s="238"/>
      <c r="Q757" s="190"/>
      <c r="R757" s="239"/>
      <c r="S757" s="190"/>
      <c r="T757" s="240"/>
      <c r="U757" s="241"/>
      <c r="V757" s="190"/>
      <c r="W757" s="190"/>
      <c r="X757" s="190"/>
      <c r="Y757" s="56"/>
    </row>
    <row r="758">
      <c r="A758" s="237"/>
      <c r="B758" s="130"/>
      <c r="C758" s="130"/>
      <c r="D758" s="130"/>
      <c r="E758" s="199"/>
      <c r="F758" s="130"/>
      <c r="G758" s="130"/>
      <c r="H758" s="130"/>
      <c r="I758" s="130"/>
      <c r="J758" s="130"/>
      <c r="K758" s="130"/>
      <c r="L758" s="130"/>
      <c r="M758" s="131"/>
      <c r="N758" s="132"/>
      <c r="O758" s="133"/>
      <c r="P758" s="238"/>
      <c r="Q758" s="190"/>
      <c r="R758" s="239"/>
      <c r="S758" s="190"/>
      <c r="T758" s="240"/>
      <c r="U758" s="241"/>
      <c r="V758" s="190"/>
      <c r="W758" s="190"/>
      <c r="X758" s="190"/>
      <c r="Y758" s="56"/>
    </row>
    <row r="759">
      <c r="A759" s="237"/>
      <c r="B759" s="130"/>
      <c r="C759" s="130"/>
      <c r="D759" s="130"/>
      <c r="E759" s="199"/>
      <c r="F759" s="130"/>
      <c r="G759" s="130"/>
      <c r="H759" s="130"/>
      <c r="I759" s="130"/>
      <c r="J759" s="130"/>
      <c r="K759" s="130"/>
      <c r="L759" s="130"/>
      <c r="M759" s="131"/>
      <c r="N759" s="132"/>
      <c r="O759" s="133"/>
      <c r="P759" s="238"/>
      <c r="Q759" s="190"/>
      <c r="R759" s="239"/>
      <c r="S759" s="190"/>
      <c r="T759" s="240"/>
      <c r="U759" s="241"/>
      <c r="V759" s="190"/>
      <c r="W759" s="190"/>
      <c r="X759" s="190"/>
      <c r="Y759" s="56"/>
    </row>
    <row r="760">
      <c r="A760" s="237"/>
      <c r="B760" s="130"/>
      <c r="C760" s="130"/>
      <c r="D760" s="130"/>
      <c r="E760" s="199"/>
      <c r="F760" s="130"/>
      <c r="G760" s="130"/>
      <c r="H760" s="130"/>
      <c r="I760" s="130"/>
      <c r="J760" s="130"/>
      <c r="K760" s="130"/>
      <c r="L760" s="130"/>
      <c r="M760" s="131"/>
      <c r="N760" s="132"/>
      <c r="O760" s="133"/>
      <c r="P760" s="238"/>
      <c r="Q760" s="190"/>
      <c r="R760" s="239"/>
      <c r="S760" s="190"/>
      <c r="T760" s="240"/>
      <c r="U760" s="241"/>
      <c r="V760" s="190"/>
      <c r="W760" s="190"/>
      <c r="X760" s="190"/>
      <c r="Y760" s="56"/>
    </row>
    <row r="761">
      <c r="A761" s="237"/>
      <c r="B761" s="130"/>
      <c r="C761" s="130"/>
      <c r="D761" s="130"/>
      <c r="E761" s="199"/>
      <c r="F761" s="130"/>
      <c r="G761" s="130"/>
      <c r="H761" s="130"/>
      <c r="I761" s="130"/>
      <c r="J761" s="130"/>
      <c r="K761" s="130"/>
      <c r="L761" s="130"/>
      <c r="M761" s="131"/>
      <c r="N761" s="132"/>
      <c r="O761" s="133"/>
      <c r="P761" s="238"/>
      <c r="Q761" s="190"/>
      <c r="R761" s="239"/>
      <c r="S761" s="190"/>
      <c r="T761" s="240"/>
      <c r="U761" s="241"/>
      <c r="V761" s="190"/>
      <c r="W761" s="190"/>
      <c r="X761" s="190"/>
      <c r="Y761" s="56"/>
    </row>
    <row r="762">
      <c r="A762" s="237"/>
      <c r="B762" s="130"/>
      <c r="C762" s="130"/>
      <c r="D762" s="130"/>
      <c r="E762" s="199"/>
      <c r="F762" s="130"/>
      <c r="G762" s="130"/>
      <c r="H762" s="130"/>
      <c r="I762" s="130"/>
      <c r="J762" s="130"/>
      <c r="K762" s="130"/>
      <c r="L762" s="130"/>
      <c r="M762" s="131"/>
      <c r="N762" s="132"/>
      <c r="O762" s="133"/>
      <c r="P762" s="238"/>
      <c r="Q762" s="190"/>
      <c r="R762" s="239"/>
      <c r="S762" s="190"/>
      <c r="T762" s="240"/>
      <c r="U762" s="241"/>
      <c r="V762" s="190"/>
      <c r="W762" s="190"/>
      <c r="X762" s="190"/>
      <c r="Y762" s="56"/>
    </row>
    <row r="763">
      <c r="A763" s="237"/>
      <c r="B763" s="130"/>
      <c r="C763" s="130"/>
      <c r="D763" s="130"/>
      <c r="E763" s="199"/>
      <c r="F763" s="130"/>
      <c r="G763" s="130"/>
      <c r="H763" s="130"/>
      <c r="I763" s="130"/>
      <c r="J763" s="130"/>
      <c r="K763" s="130"/>
      <c r="L763" s="130"/>
      <c r="M763" s="131"/>
      <c r="N763" s="132"/>
      <c r="O763" s="133"/>
      <c r="P763" s="238"/>
      <c r="Q763" s="190"/>
      <c r="R763" s="239"/>
      <c r="S763" s="190"/>
      <c r="T763" s="240"/>
      <c r="U763" s="241"/>
      <c r="V763" s="190"/>
      <c r="W763" s="190"/>
      <c r="X763" s="190"/>
      <c r="Y763" s="56"/>
    </row>
    <row r="764">
      <c r="A764" s="237"/>
      <c r="B764" s="130"/>
      <c r="C764" s="130"/>
      <c r="D764" s="130"/>
      <c r="E764" s="199"/>
      <c r="F764" s="130"/>
      <c r="G764" s="130"/>
      <c r="H764" s="130"/>
      <c r="I764" s="130"/>
      <c r="J764" s="130"/>
      <c r="K764" s="130"/>
      <c r="L764" s="130"/>
      <c r="M764" s="131"/>
      <c r="N764" s="132"/>
      <c r="O764" s="133"/>
      <c r="P764" s="238"/>
      <c r="Q764" s="190"/>
      <c r="R764" s="239"/>
      <c r="S764" s="190"/>
      <c r="T764" s="240"/>
      <c r="U764" s="241"/>
      <c r="V764" s="190"/>
      <c r="W764" s="190"/>
      <c r="X764" s="190"/>
      <c r="Y764" s="56"/>
    </row>
    <row r="765">
      <c r="A765" s="237"/>
      <c r="B765" s="130"/>
      <c r="C765" s="130"/>
      <c r="D765" s="130"/>
      <c r="E765" s="199"/>
      <c r="F765" s="130"/>
      <c r="G765" s="130"/>
      <c r="H765" s="130"/>
      <c r="I765" s="130"/>
      <c r="J765" s="130"/>
      <c r="K765" s="130"/>
      <c r="L765" s="130"/>
      <c r="M765" s="131"/>
      <c r="N765" s="132"/>
      <c r="O765" s="133"/>
      <c r="P765" s="238"/>
      <c r="Q765" s="190"/>
      <c r="R765" s="239"/>
      <c r="S765" s="190"/>
      <c r="T765" s="240"/>
      <c r="U765" s="241"/>
      <c r="V765" s="190"/>
      <c r="W765" s="190"/>
      <c r="X765" s="190"/>
      <c r="Y765" s="56"/>
    </row>
    <row r="766">
      <c r="A766" s="237"/>
      <c r="B766" s="130"/>
      <c r="C766" s="130"/>
      <c r="D766" s="130"/>
      <c r="E766" s="199"/>
      <c r="F766" s="130"/>
      <c r="G766" s="130"/>
      <c r="H766" s="130"/>
      <c r="I766" s="130"/>
      <c r="J766" s="130"/>
      <c r="K766" s="130"/>
      <c r="L766" s="130"/>
      <c r="M766" s="131"/>
      <c r="N766" s="132"/>
      <c r="O766" s="133"/>
      <c r="P766" s="238"/>
      <c r="Q766" s="190"/>
      <c r="R766" s="239"/>
      <c r="S766" s="190"/>
      <c r="T766" s="240"/>
      <c r="U766" s="241"/>
      <c r="V766" s="190"/>
      <c r="W766" s="190"/>
      <c r="X766" s="190"/>
      <c r="Y766" s="56"/>
    </row>
    <row r="767">
      <c r="A767" s="237"/>
      <c r="B767" s="130"/>
      <c r="C767" s="130"/>
      <c r="D767" s="130"/>
      <c r="E767" s="199"/>
      <c r="F767" s="130"/>
      <c r="G767" s="130"/>
      <c r="H767" s="130"/>
      <c r="I767" s="130"/>
      <c r="J767" s="130"/>
      <c r="K767" s="130"/>
      <c r="L767" s="130"/>
      <c r="M767" s="131"/>
      <c r="N767" s="132"/>
      <c r="O767" s="133"/>
      <c r="P767" s="238"/>
      <c r="Q767" s="190"/>
      <c r="R767" s="239"/>
      <c r="S767" s="190"/>
      <c r="T767" s="240"/>
      <c r="U767" s="241"/>
      <c r="V767" s="190"/>
      <c r="W767" s="190"/>
      <c r="X767" s="190"/>
      <c r="Y767" s="56"/>
    </row>
    <row r="768">
      <c r="A768" s="237"/>
      <c r="B768" s="130"/>
      <c r="C768" s="130"/>
      <c r="D768" s="130"/>
      <c r="E768" s="199"/>
      <c r="F768" s="130"/>
      <c r="G768" s="130"/>
      <c r="H768" s="130"/>
      <c r="I768" s="130"/>
      <c r="J768" s="130"/>
      <c r="K768" s="130"/>
      <c r="L768" s="130"/>
      <c r="M768" s="131"/>
      <c r="N768" s="132"/>
      <c r="O768" s="133"/>
      <c r="P768" s="238"/>
      <c r="Q768" s="190"/>
      <c r="R768" s="239"/>
      <c r="S768" s="190"/>
      <c r="T768" s="240"/>
      <c r="U768" s="241"/>
      <c r="V768" s="190"/>
      <c r="W768" s="190"/>
      <c r="X768" s="190"/>
      <c r="Y768" s="56"/>
    </row>
    <row r="769">
      <c r="A769" s="237"/>
      <c r="B769" s="130"/>
      <c r="C769" s="130"/>
      <c r="D769" s="130"/>
      <c r="E769" s="199"/>
      <c r="F769" s="130"/>
      <c r="G769" s="130"/>
      <c r="H769" s="130"/>
      <c r="I769" s="130"/>
      <c r="J769" s="130"/>
      <c r="K769" s="130"/>
      <c r="L769" s="130"/>
      <c r="M769" s="131"/>
      <c r="N769" s="132"/>
      <c r="O769" s="133"/>
      <c r="P769" s="238"/>
      <c r="Q769" s="190"/>
      <c r="R769" s="239"/>
      <c r="S769" s="190"/>
      <c r="T769" s="240"/>
      <c r="U769" s="241"/>
      <c r="V769" s="190"/>
      <c r="W769" s="190"/>
      <c r="X769" s="190"/>
      <c r="Y769" s="56"/>
    </row>
    <row r="770">
      <c r="A770" s="237"/>
      <c r="B770" s="130"/>
      <c r="C770" s="130"/>
      <c r="D770" s="130"/>
      <c r="E770" s="199"/>
      <c r="F770" s="130"/>
      <c r="G770" s="130"/>
      <c r="H770" s="130"/>
      <c r="I770" s="130"/>
      <c r="J770" s="130"/>
      <c r="K770" s="130"/>
      <c r="L770" s="130"/>
      <c r="M770" s="131"/>
      <c r="N770" s="132"/>
      <c r="O770" s="133"/>
      <c r="P770" s="238"/>
      <c r="Q770" s="190"/>
      <c r="R770" s="239"/>
      <c r="S770" s="190"/>
      <c r="T770" s="240"/>
      <c r="U770" s="241"/>
      <c r="V770" s="190"/>
      <c r="W770" s="190"/>
      <c r="X770" s="190"/>
      <c r="Y770" s="56"/>
    </row>
    <row r="771">
      <c r="A771" s="237"/>
      <c r="B771" s="130"/>
      <c r="C771" s="130"/>
      <c r="D771" s="130"/>
      <c r="E771" s="199"/>
      <c r="F771" s="130"/>
      <c r="G771" s="130"/>
      <c r="H771" s="130"/>
      <c r="I771" s="130"/>
      <c r="J771" s="130"/>
      <c r="K771" s="130"/>
      <c r="L771" s="130"/>
      <c r="M771" s="131"/>
      <c r="N771" s="132"/>
      <c r="O771" s="133"/>
      <c r="P771" s="238"/>
      <c r="Q771" s="190"/>
      <c r="R771" s="239"/>
      <c r="S771" s="190"/>
      <c r="T771" s="240"/>
      <c r="U771" s="241"/>
      <c r="V771" s="190"/>
      <c r="W771" s="190"/>
      <c r="X771" s="190"/>
      <c r="Y771" s="56"/>
    </row>
    <row r="772">
      <c r="A772" s="237"/>
      <c r="B772" s="130"/>
      <c r="C772" s="130"/>
      <c r="D772" s="130"/>
      <c r="E772" s="199"/>
      <c r="F772" s="130"/>
      <c r="G772" s="130"/>
      <c r="H772" s="130"/>
      <c r="I772" s="130"/>
      <c r="J772" s="130"/>
      <c r="K772" s="130"/>
      <c r="L772" s="130"/>
      <c r="M772" s="131"/>
      <c r="N772" s="132"/>
      <c r="O772" s="133"/>
      <c r="P772" s="238"/>
      <c r="Q772" s="190"/>
      <c r="R772" s="239"/>
      <c r="S772" s="190"/>
      <c r="T772" s="240"/>
      <c r="U772" s="241"/>
      <c r="V772" s="190"/>
      <c r="W772" s="190"/>
      <c r="X772" s="190"/>
      <c r="Y772" s="56"/>
    </row>
    <row r="773">
      <c r="A773" s="237"/>
      <c r="B773" s="130"/>
      <c r="C773" s="130"/>
      <c r="D773" s="130"/>
      <c r="E773" s="199"/>
      <c r="F773" s="130"/>
      <c r="G773" s="130"/>
      <c r="H773" s="130"/>
      <c r="I773" s="130"/>
      <c r="J773" s="130"/>
      <c r="K773" s="130"/>
      <c r="L773" s="130"/>
      <c r="M773" s="131"/>
      <c r="N773" s="132"/>
      <c r="O773" s="133"/>
      <c r="P773" s="238"/>
      <c r="Q773" s="190"/>
      <c r="R773" s="239"/>
      <c r="S773" s="190"/>
      <c r="T773" s="240"/>
      <c r="U773" s="241"/>
      <c r="V773" s="190"/>
      <c r="W773" s="190"/>
      <c r="X773" s="190"/>
      <c r="Y773" s="56"/>
    </row>
    <row r="774">
      <c r="A774" s="237"/>
      <c r="B774" s="130"/>
      <c r="C774" s="130"/>
      <c r="D774" s="130"/>
      <c r="E774" s="199"/>
      <c r="F774" s="130"/>
      <c r="G774" s="130"/>
      <c r="H774" s="130"/>
      <c r="I774" s="130"/>
      <c r="J774" s="130"/>
      <c r="K774" s="130"/>
      <c r="L774" s="130"/>
      <c r="M774" s="131"/>
      <c r="N774" s="132"/>
      <c r="O774" s="133"/>
      <c r="P774" s="238"/>
      <c r="Q774" s="190"/>
      <c r="R774" s="239"/>
      <c r="S774" s="190"/>
      <c r="T774" s="240"/>
      <c r="U774" s="241"/>
      <c r="V774" s="190"/>
      <c r="W774" s="190"/>
      <c r="X774" s="190"/>
      <c r="Y774" s="56"/>
    </row>
    <row r="775">
      <c r="A775" s="237"/>
      <c r="B775" s="130"/>
      <c r="C775" s="130"/>
      <c r="D775" s="130"/>
      <c r="E775" s="199"/>
      <c r="F775" s="130"/>
      <c r="G775" s="130"/>
      <c r="H775" s="130"/>
      <c r="I775" s="130"/>
      <c r="J775" s="130"/>
      <c r="K775" s="130"/>
      <c r="L775" s="130"/>
      <c r="M775" s="131"/>
      <c r="N775" s="132"/>
      <c r="O775" s="133"/>
      <c r="P775" s="238"/>
      <c r="Q775" s="190"/>
      <c r="R775" s="239"/>
      <c r="S775" s="190"/>
      <c r="T775" s="240"/>
      <c r="U775" s="241"/>
      <c r="V775" s="190"/>
      <c r="W775" s="190"/>
      <c r="X775" s="190"/>
      <c r="Y775" s="56"/>
    </row>
    <row r="776">
      <c r="A776" s="237"/>
      <c r="B776" s="130"/>
      <c r="C776" s="130"/>
      <c r="D776" s="130"/>
      <c r="E776" s="199"/>
      <c r="F776" s="130"/>
      <c r="G776" s="130"/>
      <c r="H776" s="130"/>
      <c r="I776" s="130"/>
      <c r="J776" s="130"/>
      <c r="K776" s="130"/>
      <c r="L776" s="130"/>
      <c r="M776" s="131"/>
      <c r="N776" s="132"/>
      <c r="O776" s="133"/>
      <c r="P776" s="238"/>
      <c r="Q776" s="190"/>
      <c r="R776" s="239"/>
      <c r="S776" s="190"/>
      <c r="T776" s="240"/>
      <c r="U776" s="241"/>
      <c r="V776" s="190"/>
      <c r="W776" s="190"/>
      <c r="X776" s="190"/>
      <c r="Y776" s="56"/>
    </row>
    <row r="777">
      <c r="A777" s="237"/>
      <c r="B777" s="130"/>
      <c r="C777" s="130"/>
      <c r="D777" s="130"/>
      <c r="E777" s="199"/>
      <c r="F777" s="130"/>
      <c r="G777" s="130"/>
      <c r="H777" s="130"/>
      <c r="I777" s="130"/>
      <c r="J777" s="130"/>
      <c r="K777" s="130"/>
      <c r="L777" s="130"/>
      <c r="M777" s="131"/>
      <c r="N777" s="132"/>
      <c r="O777" s="133"/>
      <c r="P777" s="238"/>
      <c r="Q777" s="190"/>
      <c r="R777" s="239"/>
      <c r="S777" s="190"/>
      <c r="T777" s="240"/>
      <c r="U777" s="241"/>
      <c r="V777" s="190"/>
      <c r="W777" s="190"/>
      <c r="X777" s="190"/>
      <c r="Y777" s="56"/>
    </row>
    <row r="778">
      <c r="A778" s="237"/>
      <c r="B778" s="130"/>
      <c r="C778" s="130"/>
      <c r="D778" s="130"/>
      <c r="E778" s="199"/>
      <c r="F778" s="130"/>
      <c r="G778" s="130"/>
      <c r="H778" s="130"/>
      <c r="I778" s="130"/>
      <c r="J778" s="130"/>
      <c r="K778" s="130"/>
      <c r="L778" s="130"/>
      <c r="M778" s="131"/>
      <c r="N778" s="132"/>
      <c r="O778" s="133"/>
      <c r="P778" s="238"/>
      <c r="Q778" s="190"/>
      <c r="R778" s="239"/>
      <c r="S778" s="190"/>
      <c r="T778" s="240"/>
      <c r="U778" s="241"/>
      <c r="V778" s="190"/>
      <c r="W778" s="190"/>
      <c r="X778" s="190"/>
      <c r="Y778" s="56"/>
    </row>
    <row r="779">
      <c r="A779" s="237"/>
      <c r="B779" s="130"/>
      <c r="C779" s="130"/>
      <c r="D779" s="130"/>
      <c r="E779" s="199"/>
      <c r="F779" s="130"/>
      <c r="G779" s="130"/>
      <c r="H779" s="130"/>
      <c r="I779" s="130"/>
      <c r="J779" s="130"/>
      <c r="K779" s="130"/>
      <c r="L779" s="130"/>
      <c r="M779" s="131"/>
      <c r="N779" s="132"/>
      <c r="O779" s="133"/>
      <c r="P779" s="238"/>
      <c r="Q779" s="190"/>
      <c r="R779" s="239"/>
      <c r="S779" s="190"/>
      <c r="T779" s="240"/>
      <c r="U779" s="241"/>
      <c r="V779" s="190"/>
      <c r="W779" s="190"/>
      <c r="X779" s="190"/>
      <c r="Y779" s="56"/>
    </row>
    <row r="780">
      <c r="A780" s="237"/>
      <c r="B780" s="130"/>
      <c r="C780" s="130"/>
      <c r="D780" s="130"/>
      <c r="E780" s="199"/>
      <c r="F780" s="130"/>
      <c r="G780" s="130"/>
      <c r="H780" s="130"/>
      <c r="I780" s="130"/>
      <c r="J780" s="130"/>
      <c r="K780" s="130"/>
      <c r="L780" s="130"/>
      <c r="M780" s="131"/>
      <c r="N780" s="132"/>
      <c r="O780" s="133"/>
      <c r="P780" s="238"/>
      <c r="Q780" s="190"/>
      <c r="R780" s="239"/>
      <c r="S780" s="190"/>
      <c r="T780" s="240"/>
      <c r="U780" s="241"/>
      <c r="V780" s="190"/>
      <c r="W780" s="190"/>
      <c r="X780" s="190"/>
      <c r="Y780" s="56"/>
    </row>
    <row r="781">
      <c r="A781" s="237"/>
      <c r="B781" s="130"/>
      <c r="C781" s="130"/>
      <c r="D781" s="130"/>
      <c r="E781" s="199"/>
      <c r="F781" s="130"/>
      <c r="G781" s="130"/>
      <c r="H781" s="130"/>
      <c r="I781" s="130"/>
      <c r="J781" s="130"/>
      <c r="K781" s="130"/>
      <c r="L781" s="130"/>
      <c r="M781" s="131"/>
      <c r="N781" s="132"/>
      <c r="O781" s="133"/>
      <c r="P781" s="238"/>
      <c r="Q781" s="190"/>
      <c r="R781" s="239"/>
      <c r="S781" s="190"/>
      <c r="T781" s="240"/>
      <c r="U781" s="241"/>
      <c r="V781" s="190"/>
      <c r="W781" s="190"/>
      <c r="X781" s="190"/>
      <c r="Y781" s="56"/>
    </row>
    <row r="782">
      <c r="A782" s="237"/>
      <c r="B782" s="130"/>
      <c r="C782" s="130"/>
      <c r="D782" s="130"/>
      <c r="E782" s="199"/>
      <c r="F782" s="130"/>
      <c r="G782" s="130"/>
      <c r="H782" s="130"/>
      <c r="I782" s="130"/>
      <c r="J782" s="130"/>
      <c r="K782" s="130"/>
      <c r="L782" s="130"/>
      <c r="M782" s="131"/>
      <c r="N782" s="132"/>
      <c r="O782" s="133"/>
      <c r="P782" s="238"/>
      <c r="Q782" s="190"/>
      <c r="R782" s="239"/>
      <c r="S782" s="190"/>
      <c r="T782" s="240"/>
      <c r="U782" s="241"/>
      <c r="V782" s="190"/>
      <c r="W782" s="190"/>
      <c r="X782" s="190"/>
      <c r="Y782" s="56"/>
    </row>
    <row r="783">
      <c r="A783" s="237"/>
      <c r="B783" s="130"/>
      <c r="C783" s="130"/>
      <c r="D783" s="130"/>
      <c r="E783" s="199"/>
      <c r="F783" s="130"/>
      <c r="G783" s="130"/>
      <c r="H783" s="130"/>
      <c r="I783" s="130"/>
      <c r="J783" s="130"/>
      <c r="K783" s="130"/>
      <c r="L783" s="130"/>
      <c r="M783" s="131"/>
      <c r="N783" s="132"/>
      <c r="O783" s="133"/>
      <c r="P783" s="238"/>
      <c r="Q783" s="190"/>
      <c r="R783" s="239"/>
      <c r="S783" s="190"/>
      <c r="T783" s="240"/>
      <c r="U783" s="241"/>
      <c r="V783" s="190"/>
      <c r="W783" s="190"/>
      <c r="X783" s="190"/>
      <c r="Y783" s="56"/>
    </row>
    <row r="784">
      <c r="A784" s="237"/>
      <c r="B784" s="130"/>
      <c r="C784" s="130"/>
      <c r="D784" s="130"/>
      <c r="E784" s="199"/>
      <c r="F784" s="130"/>
      <c r="G784" s="130"/>
      <c r="H784" s="130"/>
      <c r="I784" s="130"/>
      <c r="J784" s="130"/>
      <c r="K784" s="130"/>
      <c r="L784" s="130"/>
      <c r="M784" s="131"/>
      <c r="N784" s="132"/>
      <c r="O784" s="133"/>
      <c r="P784" s="238"/>
      <c r="Q784" s="190"/>
      <c r="R784" s="239"/>
      <c r="S784" s="190"/>
      <c r="T784" s="240"/>
      <c r="U784" s="241"/>
      <c r="V784" s="190"/>
      <c r="W784" s="190"/>
      <c r="X784" s="190"/>
      <c r="Y784" s="56"/>
    </row>
    <row r="785">
      <c r="A785" s="237"/>
      <c r="B785" s="130"/>
      <c r="C785" s="130"/>
      <c r="D785" s="130"/>
      <c r="E785" s="199"/>
      <c r="F785" s="130"/>
      <c r="G785" s="130"/>
      <c r="H785" s="130"/>
      <c r="I785" s="130"/>
      <c r="J785" s="130"/>
      <c r="K785" s="130"/>
      <c r="L785" s="130"/>
      <c r="M785" s="131"/>
      <c r="N785" s="132"/>
      <c r="O785" s="133"/>
      <c r="P785" s="238"/>
      <c r="Q785" s="190"/>
      <c r="R785" s="239"/>
      <c r="S785" s="190"/>
      <c r="T785" s="240"/>
      <c r="U785" s="241"/>
      <c r="V785" s="190"/>
      <c r="W785" s="190"/>
      <c r="X785" s="190"/>
      <c r="Y785" s="56"/>
    </row>
    <row r="786">
      <c r="A786" s="237"/>
      <c r="B786" s="130"/>
      <c r="C786" s="130"/>
      <c r="D786" s="130"/>
      <c r="E786" s="199"/>
      <c r="F786" s="130"/>
      <c r="G786" s="130"/>
      <c r="H786" s="130"/>
      <c r="I786" s="130"/>
      <c r="J786" s="130"/>
      <c r="K786" s="130"/>
      <c r="L786" s="130"/>
      <c r="M786" s="131"/>
      <c r="N786" s="132"/>
      <c r="O786" s="133"/>
      <c r="P786" s="238"/>
      <c r="Q786" s="190"/>
      <c r="R786" s="239"/>
      <c r="S786" s="190"/>
      <c r="T786" s="240"/>
      <c r="U786" s="241"/>
      <c r="V786" s="190"/>
      <c r="W786" s="190"/>
      <c r="X786" s="190"/>
      <c r="Y786" s="56"/>
    </row>
    <row r="787">
      <c r="A787" s="237"/>
      <c r="B787" s="130"/>
      <c r="C787" s="130"/>
      <c r="D787" s="130"/>
      <c r="E787" s="199"/>
      <c r="F787" s="130"/>
      <c r="G787" s="130"/>
      <c r="H787" s="130"/>
      <c r="I787" s="130"/>
      <c r="J787" s="130"/>
      <c r="K787" s="130"/>
      <c r="L787" s="130"/>
      <c r="M787" s="131"/>
      <c r="N787" s="132"/>
      <c r="O787" s="133"/>
      <c r="P787" s="238"/>
      <c r="Q787" s="190"/>
      <c r="R787" s="239"/>
      <c r="S787" s="190"/>
      <c r="T787" s="240"/>
      <c r="U787" s="241"/>
      <c r="V787" s="190"/>
      <c r="W787" s="190"/>
      <c r="X787" s="190"/>
      <c r="Y787" s="56"/>
    </row>
    <row r="788">
      <c r="A788" s="237"/>
      <c r="B788" s="130"/>
      <c r="C788" s="130"/>
      <c r="D788" s="130"/>
      <c r="E788" s="199"/>
      <c r="F788" s="130"/>
      <c r="G788" s="130"/>
      <c r="H788" s="130"/>
      <c r="I788" s="130"/>
      <c r="J788" s="130"/>
      <c r="K788" s="130"/>
      <c r="L788" s="130"/>
      <c r="M788" s="131"/>
      <c r="N788" s="132"/>
      <c r="O788" s="133"/>
      <c r="P788" s="238"/>
      <c r="Q788" s="190"/>
      <c r="R788" s="239"/>
      <c r="S788" s="190"/>
      <c r="T788" s="240"/>
      <c r="U788" s="241"/>
      <c r="V788" s="190"/>
      <c r="W788" s="190"/>
      <c r="X788" s="190"/>
      <c r="Y788" s="56"/>
    </row>
    <row r="789">
      <c r="A789" s="237"/>
      <c r="B789" s="130"/>
      <c r="C789" s="130"/>
      <c r="D789" s="130"/>
      <c r="E789" s="199"/>
      <c r="F789" s="130"/>
      <c r="G789" s="130"/>
      <c r="H789" s="130"/>
      <c r="I789" s="130"/>
      <c r="J789" s="130"/>
      <c r="K789" s="130"/>
      <c r="L789" s="130"/>
      <c r="M789" s="131"/>
      <c r="N789" s="132"/>
      <c r="O789" s="133"/>
      <c r="P789" s="238"/>
      <c r="Q789" s="190"/>
      <c r="R789" s="239"/>
      <c r="S789" s="190"/>
      <c r="T789" s="240"/>
      <c r="U789" s="241"/>
      <c r="V789" s="190"/>
      <c r="W789" s="190"/>
      <c r="X789" s="190"/>
      <c r="Y789" s="56"/>
    </row>
    <row r="790">
      <c r="A790" s="237"/>
      <c r="B790" s="130"/>
      <c r="C790" s="130"/>
      <c r="D790" s="130"/>
      <c r="E790" s="199"/>
      <c r="F790" s="130"/>
      <c r="G790" s="130"/>
      <c r="H790" s="130"/>
      <c r="I790" s="130"/>
      <c r="J790" s="130"/>
      <c r="K790" s="130"/>
      <c r="L790" s="130"/>
      <c r="M790" s="131"/>
      <c r="N790" s="132"/>
      <c r="O790" s="133"/>
      <c r="P790" s="238"/>
      <c r="Q790" s="190"/>
      <c r="R790" s="239"/>
      <c r="S790" s="190"/>
      <c r="T790" s="240"/>
      <c r="U790" s="241"/>
      <c r="V790" s="190"/>
      <c r="W790" s="190"/>
      <c r="X790" s="190"/>
      <c r="Y790" s="56"/>
    </row>
    <row r="791">
      <c r="A791" s="237"/>
      <c r="B791" s="130"/>
      <c r="C791" s="130"/>
      <c r="D791" s="130"/>
      <c r="E791" s="199"/>
      <c r="F791" s="130"/>
      <c r="G791" s="130"/>
      <c r="H791" s="130"/>
      <c r="I791" s="130"/>
      <c r="J791" s="130"/>
      <c r="K791" s="130"/>
      <c r="L791" s="130"/>
      <c r="M791" s="131"/>
      <c r="N791" s="132"/>
      <c r="O791" s="133"/>
      <c r="P791" s="238"/>
      <c r="Q791" s="190"/>
      <c r="R791" s="239"/>
      <c r="S791" s="190"/>
      <c r="T791" s="240"/>
      <c r="U791" s="241"/>
      <c r="V791" s="190"/>
      <c r="W791" s="190"/>
      <c r="X791" s="190"/>
      <c r="Y791" s="56"/>
    </row>
    <row r="792">
      <c r="A792" s="237"/>
      <c r="B792" s="130"/>
      <c r="C792" s="130"/>
      <c r="D792" s="130"/>
      <c r="E792" s="199"/>
      <c r="F792" s="130"/>
      <c r="G792" s="130"/>
      <c r="H792" s="130"/>
      <c r="I792" s="130"/>
      <c r="J792" s="130"/>
      <c r="K792" s="130"/>
      <c r="L792" s="130"/>
      <c r="M792" s="131"/>
      <c r="N792" s="132"/>
      <c r="O792" s="133"/>
      <c r="P792" s="238"/>
      <c r="Q792" s="190"/>
      <c r="R792" s="239"/>
      <c r="S792" s="190"/>
      <c r="T792" s="240"/>
      <c r="U792" s="241"/>
      <c r="V792" s="190"/>
      <c r="W792" s="190"/>
      <c r="X792" s="190"/>
      <c r="Y792" s="56"/>
    </row>
    <row r="793">
      <c r="A793" s="237"/>
      <c r="B793" s="130"/>
      <c r="C793" s="130"/>
      <c r="D793" s="130"/>
      <c r="E793" s="199"/>
      <c r="F793" s="130"/>
      <c r="G793" s="130"/>
      <c r="H793" s="130"/>
      <c r="I793" s="130"/>
      <c r="J793" s="130"/>
      <c r="K793" s="130"/>
      <c r="L793" s="130"/>
      <c r="M793" s="131"/>
      <c r="N793" s="132"/>
      <c r="O793" s="133"/>
      <c r="P793" s="238"/>
      <c r="Q793" s="190"/>
      <c r="R793" s="239"/>
      <c r="S793" s="190"/>
      <c r="T793" s="240"/>
      <c r="U793" s="241"/>
      <c r="V793" s="190"/>
      <c r="W793" s="190"/>
      <c r="X793" s="190"/>
      <c r="Y793" s="56"/>
    </row>
    <row r="794">
      <c r="A794" s="237"/>
      <c r="B794" s="130"/>
      <c r="C794" s="130"/>
      <c r="D794" s="130"/>
      <c r="E794" s="199"/>
      <c r="F794" s="130"/>
      <c r="G794" s="130"/>
      <c r="H794" s="130"/>
      <c r="I794" s="130"/>
      <c r="J794" s="130"/>
      <c r="K794" s="130"/>
      <c r="L794" s="130"/>
      <c r="M794" s="131"/>
      <c r="N794" s="132"/>
      <c r="O794" s="133"/>
      <c r="P794" s="238"/>
      <c r="Q794" s="190"/>
      <c r="R794" s="239"/>
      <c r="S794" s="190"/>
      <c r="T794" s="240"/>
      <c r="U794" s="241"/>
      <c r="V794" s="190"/>
      <c r="W794" s="190"/>
      <c r="X794" s="190"/>
      <c r="Y794" s="56"/>
    </row>
    <row r="795">
      <c r="A795" s="237"/>
      <c r="B795" s="130"/>
      <c r="C795" s="130"/>
      <c r="D795" s="130"/>
      <c r="E795" s="199"/>
      <c r="F795" s="130"/>
      <c r="G795" s="130"/>
      <c r="H795" s="130"/>
      <c r="I795" s="130"/>
      <c r="J795" s="130"/>
      <c r="K795" s="130"/>
      <c r="L795" s="130"/>
      <c r="M795" s="131"/>
      <c r="N795" s="132"/>
      <c r="O795" s="133"/>
      <c r="P795" s="238"/>
      <c r="Q795" s="190"/>
      <c r="R795" s="239"/>
      <c r="S795" s="190"/>
      <c r="T795" s="240"/>
      <c r="U795" s="241"/>
      <c r="V795" s="190"/>
      <c r="W795" s="190"/>
      <c r="X795" s="190"/>
      <c r="Y795" s="56"/>
    </row>
    <row r="796">
      <c r="A796" s="237"/>
      <c r="B796" s="130"/>
      <c r="C796" s="130"/>
      <c r="D796" s="130"/>
      <c r="E796" s="199"/>
      <c r="F796" s="130"/>
      <c r="G796" s="130"/>
      <c r="H796" s="130"/>
      <c r="I796" s="130"/>
      <c r="J796" s="130"/>
      <c r="K796" s="130"/>
      <c r="L796" s="130"/>
      <c r="M796" s="131"/>
      <c r="N796" s="132"/>
      <c r="O796" s="133"/>
      <c r="P796" s="238"/>
      <c r="Q796" s="190"/>
      <c r="R796" s="239"/>
      <c r="S796" s="190"/>
      <c r="T796" s="240"/>
      <c r="U796" s="241"/>
      <c r="V796" s="190"/>
      <c r="W796" s="190"/>
      <c r="X796" s="190"/>
      <c r="Y796" s="56"/>
    </row>
    <row r="797">
      <c r="A797" s="237"/>
      <c r="B797" s="130"/>
      <c r="C797" s="130"/>
      <c r="D797" s="130"/>
      <c r="E797" s="199"/>
      <c r="F797" s="130"/>
      <c r="G797" s="130"/>
      <c r="H797" s="130"/>
      <c r="I797" s="130"/>
      <c r="J797" s="130"/>
      <c r="K797" s="130"/>
      <c r="L797" s="130"/>
      <c r="M797" s="131"/>
      <c r="N797" s="132"/>
      <c r="O797" s="133"/>
      <c r="P797" s="238"/>
      <c r="Q797" s="190"/>
      <c r="R797" s="239"/>
      <c r="S797" s="190"/>
      <c r="T797" s="240"/>
      <c r="U797" s="241"/>
      <c r="V797" s="190"/>
      <c r="W797" s="190"/>
      <c r="X797" s="190"/>
      <c r="Y797" s="56"/>
    </row>
    <row r="798">
      <c r="A798" s="237"/>
      <c r="B798" s="130"/>
      <c r="C798" s="130"/>
      <c r="D798" s="130"/>
      <c r="E798" s="199"/>
      <c r="F798" s="130"/>
      <c r="G798" s="130"/>
      <c r="H798" s="130"/>
      <c r="I798" s="130"/>
      <c r="J798" s="130"/>
      <c r="K798" s="130"/>
      <c r="L798" s="130"/>
      <c r="M798" s="131"/>
      <c r="N798" s="132"/>
      <c r="O798" s="133"/>
      <c r="P798" s="238"/>
      <c r="Q798" s="190"/>
      <c r="R798" s="239"/>
      <c r="S798" s="190"/>
      <c r="T798" s="240"/>
      <c r="U798" s="241"/>
      <c r="V798" s="190"/>
      <c r="W798" s="190"/>
      <c r="X798" s="190"/>
      <c r="Y798" s="56"/>
    </row>
    <row r="799">
      <c r="A799" s="237"/>
      <c r="B799" s="130"/>
      <c r="C799" s="130"/>
      <c r="D799" s="130"/>
      <c r="E799" s="199"/>
      <c r="F799" s="130"/>
      <c r="G799" s="130"/>
      <c r="H799" s="130"/>
      <c r="I799" s="130"/>
      <c r="J799" s="130"/>
      <c r="K799" s="130"/>
      <c r="L799" s="130"/>
      <c r="M799" s="131"/>
      <c r="N799" s="132"/>
      <c r="O799" s="133"/>
      <c r="P799" s="238"/>
      <c r="Q799" s="190"/>
      <c r="R799" s="239"/>
      <c r="S799" s="190"/>
      <c r="T799" s="240"/>
      <c r="U799" s="241"/>
      <c r="V799" s="190"/>
      <c r="W799" s="190"/>
      <c r="X799" s="190"/>
      <c r="Y799" s="56"/>
    </row>
    <row r="800">
      <c r="A800" s="237"/>
      <c r="B800" s="130"/>
      <c r="C800" s="130"/>
      <c r="D800" s="130"/>
      <c r="E800" s="199"/>
      <c r="F800" s="130"/>
      <c r="G800" s="130"/>
      <c r="H800" s="130"/>
      <c r="I800" s="130"/>
      <c r="J800" s="130"/>
      <c r="K800" s="130"/>
      <c r="L800" s="130"/>
      <c r="M800" s="131"/>
      <c r="N800" s="132"/>
      <c r="O800" s="133"/>
      <c r="P800" s="238"/>
      <c r="Q800" s="190"/>
      <c r="R800" s="239"/>
      <c r="S800" s="190"/>
      <c r="T800" s="240"/>
      <c r="U800" s="241"/>
      <c r="V800" s="190"/>
      <c r="W800" s="190"/>
      <c r="X800" s="190"/>
      <c r="Y800" s="56"/>
    </row>
    <row r="801">
      <c r="A801" s="237"/>
      <c r="B801" s="130"/>
      <c r="C801" s="130"/>
      <c r="D801" s="130"/>
      <c r="E801" s="199"/>
      <c r="F801" s="130"/>
      <c r="G801" s="130"/>
      <c r="H801" s="130"/>
      <c r="I801" s="130"/>
      <c r="J801" s="130"/>
      <c r="K801" s="130"/>
      <c r="L801" s="130"/>
      <c r="M801" s="131"/>
      <c r="N801" s="132"/>
      <c r="O801" s="133"/>
      <c r="P801" s="238"/>
      <c r="Q801" s="190"/>
      <c r="R801" s="239"/>
      <c r="S801" s="190"/>
      <c r="T801" s="240"/>
      <c r="U801" s="241"/>
      <c r="V801" s="190"/>
      <c r="W801" s="190"/>
      <c r="X801" s="190"/>
      <c r="Y801" s="56"/>
    </row>
    <row r="802">
      <c r="A802" s="237"/>
      <c r="B802" s="130"/>
      <c r="C802" s="130"/>
      <c r="D802" s="130"/>
      <c r="E802" s="199"/>
      <c r="F802" s="130"/>
      <c r="G802" s="130"/>
      <c r="H802" s="130"/>
      <c r="I802" s="130"/>
      <c r="J802" s="130"/>
      <c r="K802" s="130"/>
      <c r="L802" s="130"/>
      <c r="M802" s="131"/>
      <c r="N802" s="132"/>
      <c r="O802" s="133"/>
      <c r="P802" s="238"/>
      <c r="Q802" s="190"/>
      <c r="R802" s="239"/>
      <c r="S802" s="190"/>
      <c r="T802" s="240"/>
      <c r="U802" s="241"/>
      <c r="V802" s="190"/>
      <c r="W802" s="190"/>
      <c r="X802" s="190"/>
      <c r="Y802" s="56"/>
    </row>
    <row r="803">
      <c r="A803" s="237"/>
      <c r="B803" s="130"/>
      <c r="C803" s="130"/>
      <c r="D803" s="130"/>
      <c r="E803" s="199"/>
      <c r="F803" s="130"/>
      <c r="G803" s="130"/>
      <c r="H803" s="130"/>
      <c r="I803" s="130"/>
      <c r="J803" s="130"/>
      <c r="K803" s="130"/>
      <c r="L803" s="130"/>
      <c r="M803" s="131"/>
      <c r="N803" s="132"/>
      <c r="O803" s="133"/>
      <c r="P803" s="238"/>
      <c r="Q803" s="190"/>
      <c r="R803" s="239"/>
      <c r="S803" s="190"/>
      <c r="T803" s="240"/>
      <c r="U803" s="241"/>
      <c r="V803" s="190"/>
      <c r="W803" s="190"/>
      <c r="X803" s="190"/>
      <c r="Y803" s="56"/>
    </row>
    <row r="804">
      <c r="A804" s="237"/>
      <c r="B804" s="130"/>
      <c r="C804" s="130"/>
      <c r="D804" s="130"/>
      <c r="E804" s="199"/>
      <c r="F804" s="130"/>
      <c r="G804" s="130"/>
      <c r="H804" s="130"/>
      <c r="I804" s="130"/>
      <c r="J804" s="130"/>
      <c r="K804" s="130"/>
      <c r="L804" s="130"/>
      <c r="M804" s="131"/>
      <c r="N804" s="132"/>
      <c r="O804" s="133"/>
      <c r="P804" s="238"/>
      <c r="Q804" s="190"/>
      <c r="R804" s="239"/>
      <c r="S804" s="190"/>
      <c r="T804" s="240"/>
      <c r="U804" s="241"/>
      <c r="V804" s="190"/>
      <c r="W804" s="190"/>
      <c r="X804" s="190"/>
      <c r="Y804" s="56"/>
    </row>
    <row r="805">
      <c r="A805" s="237"/>
      <c r="B805" s="130"/>
      <c r="C805" s="130"/>
      <c r="D805" s="130"/>
      <c r="E805" s="199"/>
      <c r="F805" s="130"/>
      <c r="G805" s="130"/>
      <c r="H805" s="130"/>
      <c r="I805" s="130"/>
      <c r="J805" s="130"/>
      <c r="K805" s="130"/>
      <c r="L805" s="130"/>
      <c r="M805" s="131"/>
      <c r="N805" s="132"/>
      <c r="O805" s="133"/>
      <c r="P805" s="238"/>
      <c r="Q805" s="190"/>
      <c r="R805" s="239"/>
      <c r="S805" s="190"/>
      <c r="T805" s="240"/>
      <c r="U805" s="241"/>
      <c r="V805" s="190"/>
      <c r="W805" s="190"/>
      <c r="X805" s="190"/>
      <c r="Y805" s="56"/>
    </row>
    <row r="806">
      <c r="A806" s="237"/>
      <c r="B806" s="130"/>
      <c r="C806" s="130"/>
      <c r="D806" s="130"/>
      <c r="E806" s="199"/>
      <c r="F806" s="130"/>
      <c r="G806" s="130"/>
      <c r="H806" s="130"/>
      <c r="I806" s="130"/>
      <c r="J806" s="130"/>
      <c r="K806" s="130"/>
      <c r="L806" s="130"/>
      <c r="M806" s="131"/>
      <c r="N806" s="132"/>
      <c r="O806" s="133"/>
      <c r="P806" s="238"/>
      <c r="Q806" s="190"/>
      <c r="R806" s="239"/>
      <c r="S806" s="190"/>
      <c r="T806" s="240"/>
      <c r="U806" s="241"/>
      <c r="V806" s="190"/>
      <c r="W806" s="190"/>
      <c r="X806" s="190"/>
      <c r="Y806" s="56"/>
    </row>
    <row r="807">
      <c r="A807" s="237"/>
      <c r="B807" s="130"/>
      <c r="C807" s="130"/>
      <c r="D807" s="130"/>
      <c r="E807" s="199"/>
      <c r="F807" s="130"/>
      <c r="G807" s="130"/>
      <c r="H807" s="130"/>
      <c r="I807" s="130"/>
      <c r="J807" s="130"/>
      <c r="K807" s="130"/>
      <c r="L807" s="130"/>
      <c r="M807" s="131"/>
      <c r="N807" s="132"/>
      <c r="O807" s="133"/>
      <c r="P807" s="238"/>
      <c r="Q807" s="190"/>
      <c r="R807" s="239"/>
      <c r="S807" s="190"/>
      <c r="T807" s="240"/>
      <c r="U807" s="241"/>
      <c r="V807" s="190"/>
      <c r="W807" s="190"/>
      <c r="X807" s="190"/>
      <c r="Y807" s="56"/>
    </row>
    <row r="808">
      <c r="A808" s="237"/>
      <c r="B808" s="130"/>
      <c r="C808" s="130"/>
      <c r="D808" s="130"/>
      <c r="E808" s="199"/>
      <c r="F808" s="130"/>
      <c r="G808" s="130"/>
      <c r="H808" s="130"/>
      <c r="I808" s="130"/>
      <c r="J808" s="130"/>
      <c r="K808" s="130"/>
      <c r="L808" s="130"/>
      <c r="M808" s="131"/>
      <c r="N808" s="132"/>
      <c r="O808" s="133"/>
      <c r="P808" s="238"/>
      <c r="Q808" s="190"/>
      <c r="R808" s="239"/>
      <c r="S808" s="190"/>
      <c r="T808" s="240"/>
      <c r="U808" s="241"/>
      <c r="V808" s="190"/>
      <c r="W808" s="190"/>
      <c r="X808" s="190"/>
      <c r="Y808" s="56"/>
    </row>
    <row r="809">
      <c r="A809" s="237"/>
      <c r="B809" s="130"/>
      <c r="C809" s="130"/>
      <c r="D809" s="130"/>
      <c r="E809" s="199"/>
      <c r="F809" s="130"/>
      <c r="G809" s="130"/>
      <c r="H809" s="130"/>
      <c r="I809" s="130"/>
      <c r="J809" s="130"/>
      <c r="K809" s="130"/>
      <c r="L809" s="130"/>
      <c r="M809" s="131"/>
      <c r="N809" s="132"/>
      <c r="O809" s="133"/>
      <c r="P809" s="238"/>
      <c r="Q809" s="190"/>
      <c r="R809" s="239"/>
      <c r="S809" s="190"/>
      <c r="T809" s="240"/>
      <c r="U809" s="241"/>
      <c r="V809" s="190"/>
      <c r="W809" s="190"/>
      <c r="X809" s="190"/>
      <c r="Y809" s="56"/>
    </row>
    <row r="810">
      <c r="A810" s="237"/>
      <c r="B810" s="130"/>
      <c r="C810" s="130"/>
      <c r="D810" s="130"/>
      <c r="E810" s="199"/>
      <c r="F810" s="130"/>
      <c r="G810" s="130"/>
      <c r="H810" s="130"/>
      <c r="I810" s="130"/>
      <c r="J810" s="130"/>
      <c r="K810" s="130"/>
      <c r="L810" s="130"/>
      <c r="M810" s="131"/>
      <c r="N810" s="132"/>
      <c r="O810" s="133"/>
      <c r="P810" s="238"/>
      <c r="Q810" s="190"/>
      <c r="R810" s="239"/>
      <c r="S810" s="190"/>
      <c r="T810" s="240"/>
      <c r="U810" s="241"/>
      <c r="V810" s="190"/>
      <c r="W810" s="190"/>
      <c r="X810" s="190"/>
      <c r="Y810" s="56"/>
    </row>
    <row r="811">
      <c r="A811" s="237"/>
      <c r="B811" s="130"/>
      <c r="C811" s="130"/>
      <c r="D811" s="130"/>
      <c r="E811" s="199"/>
      <c r="F811" s="130"/>
      <c r="G811" s="130"/>
      <c r="H811" s="130"/>
      <c r="I811" s="130"/>
      <c r="J811" s="130"/>
      <c r="K811" s="130"/>
      <c r="L811" s="130"/>
      <c r="M811" s="131"/>
      <c r="N811" s="132"/>
      <c r="O811" s="133"/>
      <c r="P811" s="238"/>
      <c r="Q811" s="190"/>
      <c r="R811" s="239"/>
      <c r="S811" s="190"/>
      <c r="T811" s="240"/>
      <c r="U811" s="241"/>
      <c r="V811" s="190"/>
      <c r="W811" s="190"/>
      <c r="X811" s="190"/>
      <c r="Y811" s="56"/>
    </row>
    <row r="812">
      <c r="A812" s="237"/>
      <c r="B812" s="130"/>
      <c r="C812" s="130"/>
      <c r="D812" s="130"/>
      <c r="E812" s="199"/>
      <c r="F812" s="130"/>
      <c r="G812" s="130"/>
      <c r="H812" s="130"/>
      <c r="I812" s="130"/>
      <c r="J812" s="130"/>
      <c r="K812" s="130"/>
      <c r="L812" s="130"/>
      <c r="M812" s="131"/>
      <c r="N812" s="132"/>
      <c r="O812" s="133"/>
      <c r="P812" s="238"/>
      <c r="Q812" s="190"/>
      <c r="R812" s="239"/>
      <c r="S812" s="190"/>
      <c r="T812" s="240"/>
      <c r="U812" s="241"/>
      <c r="V812" s="190"/>
      <c r="W812" s="190"/>
      <c r="X812" s="190"/>
      <c r="Y812" s="56"/>
    </row>
    <row r="813">
      <c r="A813" s="237"/>
      <c r="B813" s="130"/>
      <c r="C813" s="130"/>
      <c r="D813" s="130"/>
      <c r="E813" s="199"/>
      <c r="F813" s="130"/>
      <c r="G813" s="130"/>
      <c r="H813" s="130"/>
      <c r="I813" s="130"/>
      <c r="J813" s="130"/>
      <c r="K813" s="130"/>
      <c r="L813" s="130"/>
      <c r="M813" s="131"/>
      <c r="N813" s="132"/>
      <c r="O813" s="133"/>
      <c r="P813" s="238"/>
      <c r="Q813" s="190"/>
      <c r="R813" s="239"/>
      <c r="S813" s="190"/>
      <c r="T813" s="240"/>
      <c r="U813" s="241"/>
      <c r="V813" s="190"/>
      <c r="W813" s="190"/>
      <c r="X813" s="190"/>
      <c r="Y813" s="56"/>
    </row>
    <row r="814">
      <c r="A814" s="237"/>
      <c r="B814" s="130"/>
      <c r="C814" s="130"/>
      <c r="D814" s="130"/>
      <c r="E814" s="199"/>
      <c r="F814" s="130"/>
      <c r="G814" s="130"/>
      <c r="H814" s="130"/>
      <c r="I814" s="130"/>
      <c r="J814" s="130"/>
      <c r="K814" s="130"/>
      <c r="L814" s="130"/>
      <c r="M814" s="131"/>
      <c r="N814" s="132"/>
      <c r="O814" s="133"/>
      <c r="P814" s="238"/>
      <c r="Q814" s="190"/>
      <c r="R814" s="239"/>
      <c r="S814" s="190"/>
      <c r="T814" s="240"/>
      <c r="U814" s="241"/>
      <c r="V814" s="190"/>
      <c r="W814" s="190"/>
      <c r="X814" s="190"/>
      <c r="Y814" s="56"/>
    </row>
    <row r="815">
      <c r="A815" s="237"/>
      <c r="B815" s="130"/>
      <c r="C815" s="130"/>
      <c r="D815" s="130"/>
      <c r="E815" s="199"/>
      <c r="F815" s="130"/>
      <c r="G815" s="130"/>
      <c r="H815" s="130"/>
      <c r="I815" s="130"/>
      <c r="J815" s="130"/>
      <c r="K815" s="130"/>
      <c r="L815" s="130"/>
      <c r="M815" s="131"/>
      <c r="N815" s="132"/>
      <c r="O815" s="133"/>
      <c r="P815" s="238"/>
      <c r="Q815" s="190"/>
      <c r="R815" s="239"/>
      <c r="S815" s="190"/>
      <c r="T815" s="240"/>
      <c r="U815" s="241"/>
      <c r="V815" s="190"/>
      <c r="W815" s="190"/>
      <c r="X815" s="190"/>
      <c r="Y815" s="56"/>
    </row>
    <row r="816">
      <c r="A816" s="237"/>
      <c r="B816" s="130"/>
      <c r="C816" s="130"/>
      <c r="D816" s="130"/>
      <c r="E816" s="199"/>
      <c r="F816" s="130"/>
      <c r="G816" s="130"/>
      <c r="H816" s="130"/>
      <c r="I816" s="130"/>
      <c r="J816" s="130"/>
      <c r="K816" s="130"/>
      <c r="L816" s="130"/>
      <c r="M816" s="131"/>
      <c r="N816" s="132"/>
      <c r="O816" s="133"/>
      <c r="P816" s="238"/>
      <c r="Q816" s="190"/>
      <c r="R816" s="239"/>
      <c r="S816" s="190"/>
      <c r="T816" s="240"/>
      <c r="U816" s="241"/>
      <c r="V816" s="190"/>
      <c r="W816" s="190"/>
      <c r="X816" s="190"/>
      <c r="Y816" s="56"/>
    </row>
    <row r="817">
      <c r="A817" s="237"/>
      <c r="B817" s="130"/>
      <c r="C817" s="130"/>
      <c r="D817" s="130"/>
      <c r="E817" s="199"/>
      <c r="F817" s="130"/>
      <c r="G817" s="130"/>
      <c r="H817" s="130"/>
      <c r="I817" s="130"/>
      <c r="J817" s="130"/>
      <c r="K817" s="130"/>
      <c r="L817" s="130"/>
      <c r="M817" s="131"/>
      <c r="N817" s="132"/>
      <c r="O817" s="133"/>
      <c r="P817" s="238"/>
      <c r="Q817" s="190"/>
      <c r="R817" s="239"/>
      <c r="S817" s="190"/>
      <c r="T817" s="240"/>
      <c r="U817" s="241"/>
      <c r="V817" s="190"/>
      <c r="W817" s="190"/>
      <c r="X817" s="190"/>
      <c r="Y817" s="56"/>
    </row>
    <row r="818">
      <c r="A818" s="237"/>
      <c r="B818" s="130"/>
      <c r="C818" s="130"/>
      <c r="D818" s="130"/>
      <c r="E818" s="199"/>
      <c r="F818" s="130"/>
      <c r="G818" s="130"/>
      <c r="H818" s="130"/>
      <c r="I818" s="130"/>
      <c r="J818" s="130"/>
      <c r="K818" s="130"/>
      <c r="L818" s="130"/>
      <c r="M818" s="131"/>
      <c r="N818" s="132"/>
      <c r="O818" s="133"/>
      <c r="P818" s="238"/>
      <c r="Q818" s="190"/>
      <c r="R818" s="239"/>
      <c r="S818" s="190"/>
      <c r="T818" s="240"/>
      <c r="U818" s="241"/>
      <c r="V818" s="190"/>
      <c r="W818" s="190"/>
      <c r="X818" s="190"/>
      <c r="Y818" s="56"/>
    </row>
    <row r="819">
      <c r="A819" s="237"/>
      <c r="B819" s="130"/>
      <c r="C819" s="130"/>
      <c r="D819" s="130"/>
      <c r="E819" s="199"/>
      <c r="F819" s="130"/>
      <c r="G819" s="130"/>
      <c r="H819" s="130"/>
      <c r="I819" s="130"/>
      <c r="J819" s="130"/>
      <c r="K819" s="130"/>
      <c r="L819" s="130"/>
      <c r="M819" s="131"/>
      <c r="N819" s="132"/>
      <c r="O819" s="133"/>
      <c r="P819" s="238"/>
      <c r="Q819" s="190"/>
      <c r="R819" s="239"/>
      <c r="S819" s="190"/>
      <c r="T819" s="240"/>
      <c r="U819" s="241"/>
      <c r="V819" s="190"/>
      <c r="W819" s="190"/>
      <c r="X819" s="190"/>
      <c r="Y819" s="56"/>
    </row>
    <row r="820">
      <c r="A820" s="237"/>
      <c r="B820" s="130"/>
      <c r="C820" s="130"/>
      <c r="D820" s="130"/>
      <c r="E820" s="199"/>
      <c r="F820" s="130"/>
      <c r="G820" s="130"/>
      <c r="H820" s="130"/>
      <c r="I820" s="130"/>
      <c r="J820" s="130"/>
      <c r="K820" s="130"/>
      <c r="L820" s="130"/>
      <c r="M820" s="131"/>
      <c r="N820" s="132"/>
      <c r="O820" s="133"/>
      <c r="P820" s="238"/>
      <c r="Q820" s="190"/>
      <c r="R820" s="239"/>
      <c r="S820" s="190"/>
      <c r="T820" s="240"/>
      <c r="U820" s="241"/>
      <c r="V820" s="190"/>
      <c r="W820" s="190"/>
      <c r="X820" s="190"/>
      <c r="Y820" s="56"/>
    </row>
    <row r="821">
      <c r="A821" s="237"/>
      <c r="B821" s="130"/>
      <c r="C821" s="130"/>
      <c r="D821" s="130"/>
      <c r="E821" s="199"/>
      <c r="F821" s="130"/>
      <c r="G821" s="130"/>
      <c r="H821" s="130"/>
      <c r="I821" s="130"/>
      <c r="J821" s="130"/>
      <c r="K821" s="130"/>
      <c r="L821" s="130"/>
      <c r="M821" s="131"/>
      <c r="N821" s="132"/>
      <c r="O821" s="133"/>
      <c r="P821" s="238"/>
      <c r="Q821" s="190"/>
      <c r="R821" s="239"/>
      <c r="S821" s="190"/>
      <c r="T821" s="240"/>
      <c r="U821" s="241"/>
      <c r="V821" s="190"/>
      <c r="W821" s="190"/>
      <c r="X821" s="190"/>
      <c r="Y821" s="56"/>
    </row>
    <row r="822">
      <c r="A822" s="237"/>
      <c r="B822" s="130"/>
      <c r="C822" s="130"/>
      <c r="D822" s="130"/>
      <c r="E822" s="199"/>
      <c r="F822" s="130"/>
      <c r="G822" s="130"/>
      <c r="H822" s="130"/>
      <c r="I822" s="130"/>
      <c r="J822" s="130"/>
      <c r="K822" s="130"/>
      <c r="L822" s="130"/>
      <c r="M822" s="131"/>
      <c r="N822" s="132"/>
      <c r="O822" s="133"/>
      <c r="P822" s="238"/>
      <c r="Q822" s="190"/>
      <c r="R822" s="239"/>
      <c r="S822" s="190"/>
      <c r="T822" s="240"/>
      <c r="U822" s="241"/>
      <c r="V822" s="190"/>
      <c r="W822" s="190"/>
      <c r="X822" s="190"/>
      <c r="Y822" s="56"/>
    </row>
    <row r="823">
      <c r="A823" s="237"/>
      <c r="B823" s="130"/>
      <c r="C823" s="130"/>
      <c r="D823" s="130"/>
      <c r="E823" s="199"/>
      <c r="F823" s="130"/>
      <c r="G823" s="130"/>
      <c r="H823" s="130"/>
      <c r="I823" s="130"/>
      <c r="J823" s="130"/>
      <c r="K823" s="130"/>
      <c r="L823" s="130"/>
      <c r="M823" s="131"/>
      <c r="N823" s="132"/>
      <c r="O823" s="133"/>
      <c r="P823" s="238"/>
      <c r="Q823" s="190"/>
      <c r="R823" s="239"/>
      <c r="S823" s="190"/>
      <c r="T823" s="240"/>
      <c r="U823" s="241"/>
      <c r="V823" s="190"/>
      <c r="W823" s="190"/>
      <c r="X823" s="190"/>
      <c r="Y823" s="56"/>
    </row>
    <row r="824">
      <c r="A824" s="237"/>
      <c r="B824" s="130"/>
      <c r="C824" s="130"/>
      <c r="D824" s="130"/>
      <c r="E824" s="199"/>
      <c r="F824" s="130"/>
      <c r="G824" s="130"/>
      <c r="H824" s="130"/>
      <c r="I824" s="130"/>
      <c r="J824" s="130"/>
      <c r="K824" s="130"/>
      <c r="L824" s="130"/>
      <c r="M824" s="131"/>
      <c r="N824" s="132"/>
      <c r="O824" s="133"/>
      <c r="P824" s="238"/>
      <c r="Q824" s="190"/>
      <c r="R824" s="239"/>
      <c r="S824" s="190"/>
      <c r="T824" s="240"/>
      <c r="U824" s="241"/>
      <c r="V824" s="190"/>
      <c r="W824" s="190"/>
      <c r="X824" s="190"/>
      <c r="Y824" s="56"/>
    </row>
    <row r="825">
      <c r="A825" s="237"/>
      <c r="B825" s="130"/>
      <c r="C825" s="130"/>
      <c r="D825" s="130"/>
      <c r="E825" s="199"/>
      <c r="F825" s="130"/>
      <c r="G825" s="130"/>
      <c r="H825" s="130"/>
      <c r="I825" s="130"/>
      <c r="J825" s="130"/>
      <c r="K825" s="130"/>
      <c r="L825" s="130"/>
      <c r="M825" s="131"/>
      <c r="N825" s="132"/>
      <c r="O825" s="133"/>
      <c r="P825" s="238"/>
      <c r="Q825" s="190"/>
      <c r="R825" s="239"/>
      <c r="S825" s="190"/>
      <c r="T825" s="240"/>
      <c r="U825" s="241"/>
      <c r="V825" s="190"/>
      <c r="W825" s="190"/>
      <c r="X825" s="190"/>
      <c r="Y825" s="56"/>
    </row>
    <row r="826">
      <c r="A826" s="237"/>
      <c r="B826" s="130"/>
      <c r="C826" s="130"/>
      <c r="D826" s="130"/>
      <c r="E826" s="199"/>
      <c r="F826" s="130"/>
      <c r="G826" s="130"/>
      <c r="H826" s="130"/>
      <c r="I826" s="130"/>
      <c r="J826" s="130"/>
      <c r="K826" s="130"/>
      <c r="L826" s="130"/>
      <c r="M826" s="131"/>
      <c r="N826" s="132"/>
      <c r="O826" s="133"/>
      <c r="P826" s="238"/>
      <c r="Q826" s="190"/>
      <c r="R826" s="239"/>
      <c r="S826" s="190"/>
      <c r="T826" s="240"/>
      <c r="U826" s="241"/>
      <c r="V826" s="190"/>
      <c r="W826" s="190"/>
      <c r="X826" s="190"/>
      <c r="Y826" s="56"/>
    </row>
    <row r="827">
      <c r="A827" s="237"/>
      <c r="B827" s="130"/>
      <c r="C827" s="130"/>
      <c r="D827" s="130"/>
      <c r="E827" s="199"/>
      <c r="F827" s="130"/>
      <c r="G827" s="130"/>
      <c r="H827" s="130"/>
      <c r="I827" s="130"/>
      <c r="J827" s="130"/>
      <c r="K827" s="130"/>
      <c r="L827" s="130"/>
      <c r="M827" s="131"/>
      <c r="N827" s="132"/>
      <c r="O827" s="133"/>
      <c r="P827" s="238"/>
      <c r="Q827" s="190"/>
      <c r="R827" s="239"/>
      <c r="S827" s="190"/>
      <c r="T827" s="240"/>
      <c r="U827" s="241"/>
      <c r="V827" s="190"/>
      <c r="W827" s="190"/>
      <c r="X827" s="190"/>
      <c r="Y827" s="56"/>
    </row>
    <row r="828">
      <c r="A828" s="237"/>
      <c r="B828" s="130"/>
      <c r="C828" s="130"/>
      <c r="D828" s="130"/>
      <c r="E828" s="199"/>
      <c r="F828" s="130"/>
      <c r="G828" s="130"/>
      <c r="H828" s="130"/>
      <c r="I828" s="130"/>
      <c r="J828" s="130"/>
      <c r="K828" s="130"/>
      <c r="L828" s="130"/>
      <c r="M828" s="131"/>
      <c r="N828" s="132"/>
      <c r="O828" s="133"/>
      <c r="P828" s="238"/>
      <c r="Q828" s="190"/>
      <c r="R828" s="239"/>
      <c r="S828" s="190"/>
      <c r="T828" s="240"/>
      <c r="U828" s="241"/>
      <c r="V828" s="190"/>
      <c r="W828" s="190"/>
      <c r="X828" s="190"/>
      <c r="Y828" s="56"/>
    </row>
    <row r="829">
      <c r="A829" s="237"/>
      <c r="B829" s="130"/>
      <c r="C829" s="130"/>
      <c r="D829" s="130"/>
      <c r="E829" s="199"/>
      <c r="F829" s="130"/>
      <c r="G829" s="130"/>
      <c r="H829" s="130"/>
      <c r="I829" s="130"/>
      <c r="J829" s="130"/>
      <c r="K829" s="130"/>
      <c r="L829" s="130"/>
      <c r="M829" s="131"/>
      <c r="N829" s="132"/>
      <c r="O829" s="133"/>
      <c r="P829" s="238"/>
      <c r="Q829" s="190"/>
      <c r="R829" s="239"/>
      <c r="S829" s="190"/>
      <c r="T829" s="240"/>
      <c r="U829" s="241"/>
      <c r="V829" s="190"/>
      <c r="W829" s="190"/>
      <c r="X829" s="190"/>
      <c r="Y829" s="56"/>
    </row>
    <row r="830">
      <c r="A830" s="237"/>
      <c r="B830" s="130"/>
      <c r="C830" s="130"/>
      <c r="D830" s="130"/>
      <c r="E830" s="199"/>
      <c r="F830" s="130"/>
      <c r="G830" s="130"/>
      <c r="H830" s="130"/>
      <c r="I830" s="130"/>
      <c r="J830" s="130"/>
      <c r="K830" s="130"/>
      <c r="L830" s="130"/>
      <c r="M830" s="131"/>
      <c r="N830" s="132"/>
      <c r="O830" s="133"/>
      <c r="P830" s="238"/>
      <c r="Q830" s="190"/>
      <c r="R830" s="239"/>
      <c r="S830" s="190"/>
      <c r="T830" s="240"/>
      <c r="U830" s="241"/>
      <c r="V830" s="190"/>
      <c r="W830" s="190"/>
      <c r="X830" s="190"/>
      <c r="Y830" s="56"/>
    </row>
    <row r="831">
      <c r="A831" s="237"/>
      <c r="B831" s="130"/>
      <c r="C831" s="130"/>
      <c r="D831" s="130"/>
      <c r="E831" s="199"/>
      <c r="F831" s="130"/>
      <c r="G831" s="130"/>
      <c r="H831" s="130"/>
      <c r="I831" s="130"/>
      <c r="J831" s="130"/>
      <c r="K831" s="130"/>
      <c r="L831" s="130"/>
      <c r="M831" s="131"/>
      <c r="N831" s="132"/>
      <c r="O831" s="133"/>
      <c r="P831" s="238"/>
      <c r="Q831" s="190"/>
      <c r="R831" s="239"/>
      <c r="S831" s="190"/>
      <c r="T831" s="240"/>
      <c r="U831" s="241"/>
      <c r="V831" s="190"/>
      <c r="W831" s="190"/>
      <c r="X831" s="190"/>
      <c r="Y831" s="56"/>
    </row>
    <row r="832">
      <c r="A832" s="237"/>
      <c r="B832" s="130"/>
      <c r="C832" s="130"/>
      <c r="D832" s="130"/>
      <c r="E832" s="199"/>
      <c r="F832" s="130"/>
      <c r="G832" s="130"/>
      <c r="H832" s="130"/>
      <c r="I832" s="130"/>
      <c r="J832" s="130"/>
      <c r="K832" s="130"/>
      <c r="L832" s="130"/>
      <c r="M832" s="131"/>
      <c r="N832" s="132"/>
      <c r="O832" s="133"/>
      <c r="P832" s="238"/>
      <c r="Q832" s="190"/>
      <c r="R832" s="239"/>
      <c r="S832" s="190"/>
      <c r="T832" s="240"/>
      <c r="U832" s="241"/>
      <c r="V832" s="190"/>
      <c r="W832" s="190"/>
      <c r="X832" s="190"/>
      <c r="Y832" s="56"/>
    </row>
    <row r="833">
      <c r="A833" s="237"/>
      <c r="B833" s="130"/>
      <c r="C833" s="130"/>
      <c r="D833" s="130"/>
      <c r="E833" s="199"/>
      <c r="F833" s="130"/>
      <c r="G833" s="130"/>
      <c r="H833" s="130"/>
      <c r="I833" s="130"/>
      <c r="J833" s="130"/>
      <c r="K833" s="130"/>
      <c r="L833" s="130"/>
      <c r="M833" s="131"/>
      <c r="N833" s="132"/>
      <c r="O833" s="133"/>
      <c r="P833" s="238"/>
      <c r="Q833" s="190"/>
      <c r="R833" s="239"/>
      <c r="S833" s="190"/>
      <c r="T833" s="240"/>
      <c r="U833" s="241"/>
      <c r="V833" s="190"/>
      <c r="W833" s="190"/>
      <c r="X833" s="190"/>
      <c r="Y833" s="56"/>
    </row>
    <row r="834">
      <c r="A834" s="237"/>
      <c r="B834" s="130"/>
      <c r="C834" s="130"/>
      <c r="D834" s="130"/>
      <c r="E834" s="199"/>
      <c r="F834" s="130"/>
      <c r="G834" s="130"/>
      <c r="H834" s="130"/>
      <c r="I834" s="130"/>
      <c r="J834" s="130"/>
      <c r="K834" s="130"/>
      <c r="L834" s="130"/>
      <c r="M834" s="131"/>
      <c r="N834" s="132"/>
      <c r="O834" s="133"/>
      <c r="P834" s="238"/>
      <c r="Q834" s="190"/>
      <c r="R834" s="239"/>
      <c r="S834" s="190"/>
      <c r="T834" s="240"/>
      <c r="U834" s="241"/>
      <c r="V834" s="190"/>
      <c r="W834" s="190"/>
      <c r="X834" s="190"/>
      <c r="Y834" s="56"/>
    </row>
    <row r="835">
      <c r="A835" s="237"/>
      <c r="B835" s="130"/>
      <c r="C835" s="130"/>
      <c r="D835" s="130"/>
      <c r="E835" s="199"/>
      <c r="F835" s="130"/>
      <c r="G835" s="130"/>
      <c r="H835" s="130"/>
      <c r="I835" s="130"/>
      <c r="J835" s="130"/>
      <c r="K835" s="130"/>
      <c r="L835" s="130"/>
      <c r="M835" s="131"/>
      <c r="N835" s="132"/>
      <c r="O835" s="133"/>
      <c r="P835" s="238"/>
      <c r="Q835" s="190"/>
      <c r="R835" s="239"/>
      <c r="S835" s="190"/>
      <c r="T835" s="240"/>
      <c r="U835" s="241"/>
      <c r="V835" s="190"/>
      <c r="W835" s="190"/>
      <c r="X835" s="190"/>
      <c r="Y835" s="56"/>
    </row>
    <row r="836">
      <c r="A836" s="237"/>
      <c r="B836" s="130"/>
      <c r="C836" s="130"/>
      <c r="D836" s="130"/>
      <c r="E836" s="199"/>
      <c r="F836" s="130"/>
      <c r="G836" s="130"/>
      <c r="H836" s="130"/>
      <c r="I836" s="130"/>
      <c r="J836" s="130"/>
      <c r="K836" s="130"/>
      <c r="L836" s="130"/>
      <c r="M836" s="131"/>
      <c r="N836" s="132"/>
      <c r="O836" s="133"/>
      <c r="P836" s="238"/>
      <c r="Q836" s="190"/>
      <c r="R836" s="239"/>
      <c r="S836" s="190"/>
      <c r="T836" s="240"/>
      <c r="U836" s="241"/>
      <c r="V836" s="190"/>
      <c r="W836" s="190"/>
      <c r="X836" s="190"/>
      <c r="Y836" s="56"/>
    </row>
    <row r="837">
      <c r="A837" s="237"/>
      <c r="B837" s="130"/>
      <c r="C837" s="130"/>
      <c r="D837" s="130"/>
      <c r="E837" s="199"/>
      <c r="F837" s="130"/>
      <c r="G837" s="130"/>
      <c r="H837" s="130"/>
      <c r="I837" s="130"/>
      <c r="J837" s="130"/>
      <c r="K837" s="130"/>
      <c r="L837" s="130"/>
      <c r="M837" s="131"/>
      <c r="N837" s="132"/>
      <c r="O837" s="133"/>
      <c r="P837" s="238"/>
      <c r="Q837" s="190"/>
      <c r="R837" s="239"/>
      <c r="S837" s="190"/>
      <c r="T837" s="240"/>
      <c r="U837" s="241"/>
      <c r="V837" s="190"/>
      <c r="W837" s="190"/>
      <c r="X837" s="190"/>
      <c r="Y837" s="56"/>
    </row>
    <row r="838">
      <c r="A838" s="237"/>
      <c r="B838" s="130"/>
      <c r="C838" s="130"/>
      <c r="D838" s="130"/>
      <c r="E838" s="199"/>
      <c r="F838" s="130"/>
      <c r="G838" s="130"/>
      <c r="H838" s="130"/>
      <c r="I838" s="130"/>
      <c r="J838" s="130"/>
      <c r="K838" s="130"/>
      <c r="L838" s="130"/>
      <c r="M838" s="131"/>
      <c r="N838" s="132"/>
      <c r="O838" s="133"/>
      <c r="P838" s="238"/>
      <c r="Q838" s="190"/>
      <c r="R838" s="239"/>
      <c r="S838" s="190"/>
      <c r="T838" s="240"/>
      <c r="U838" s="241"/>
      <c r="V838" s="190"/>
      <c r="W838" s="190"/>
      <c r="X838" s="190"/>
      <c r="Y838" s="56"/>
    </row>
    <row r="839">
      <c r="A839" s="237"/>
      <c r="B839" s="130"/>
      <c r="C839" s="130"/>
      <c r="D839" s="130"/>
      <c r="E839" s="199"/>
      <c r="F839" s="130"/>
      <c r="G839" s="130"/>
      <c r="H839" s="130"/>
      <c r="I839" s="130"/>
      <c r="J839" s="130"/>
      <c r="K839" s="130"/>
      <c r="L839" s="130"/>
      <c r="M839" s="131"/>
      <c r="N839" s="132"/>
      <c r="O839" s="133"/>
      <c r="P839" s="238"/>
      <c r="Q839" s="190"/>
      <c r="R839" s="239"/>
      <c r="S839" s="190"/>
      <c r="T839" s="240"/>
      <c r="U839" s="241"/>
      <c r="V839" s="190"/>
      <c r="W839" s="190"/>
      <c r="X839" s="190"/>
      <c r="Y839" s="56"/>
    </row>
    <row r="840">
      <c r="A840" s="237"/>
      <c r="B840" s="130"/>
      <c r="C840" s="130"/>
      <c r="D840" s="130"/>
      <c r="E840" s="199"/>
      <c r="F840" s="130"/>
      <c r="G840" s="130"/>
      <c r="H840" s="130"/>
      <c r="I840" s="130"/>
      <c r="J840" s="130"/>
      <c r="K840" s="130"/>
      <c r="L840" s="130"/>
      <c r="M840" s="131"/>
      <c r="N840" s="132"/>
      <c r="O840" s="133"/>
      <c r="P840" s="238"/>
      <c r="Q840" s="190"/>
      <c r="R840" s="239"/>
      <c r="S840" s="190"/>
      <c r="T840" s="240"/>
      <c r="U840" s="241"/>
      <c r="V840" s="190"/>
      <c r="W840" s="190"/>
      <c r="X840" s="190"/>
      <c r="Y840" s="56"/>
    </row>
    <row r="841">
      <c r="A841" s="237"/>
      <c r="B841" s="130"/>
      <c r="C841" s="130"/>
      <c r="D841" s="130"/>
      <c r="E841" s="199"/>
      <c r="F841" s="130"/>
      <c r="G841" s="130"/>
      <c r="H841" s="130"/>
      <c r="I841" s="130"/>
      <c r="J841" s="130"/>
      <c r="K841" s="130"/>
      <c r="L841" s="130"/>
      <c r="M841" s="131"/>
      <c r="N841" s="132"/>
      <c r="O841" s="133"/>
      <c r="P841" s="238"/>
      <c r="Q841" s="190"/>
      <c r="R841" s="239"/>
      <c r="S841" s="190"/>
      <c r="T841" s="240"/>
      <c r="U841" s="241"/>
      <c r="V841" s="190"/>
      <c r="W841" s="190"/>
      <c r="X841" s="190"/>
      <c r="Y841" s="56"/>
    </row>
    <row r="842">
      <c r="A842" s="237"/>
      <c r="B842" s="130"/>
      <c r="C842" s="130"/>
      <c r="D842" s="130"/>
      <c r="E842" s="199"/>
      <c r="F842" s="130"/>
      <c r="G842" s="130"/>
      <c r="H842" s="130"/>
      <c r="I842" s="130"/>
      <c r="J842" s="130"/>
      <c r="K842" s="130"/>
      <c r="L842" s="130"/>
      <c r="M842" s="131"/>
      <c r="N842" s="132"/>
      <c r="O842" s="133"/>
      <c r="P842" s="238"/>
      <c r="Q842" s="190"/>
      <c r="R842" s="239"/>
      <c r="S842" s="190"/>
      <c r="T842" s="240"/>
      <c r="U842" s="241"/>
      <c r="V842" s="190"/>
      <c r="W842" s="190"/>
      <c r="X842" s="190"/>
      <c r="Y842" s="56"/>
    </row>
    <row r="843">
      <c r="A843" s="237"/>
      <c r="B843" s="130"/>
      <c r="C843" s="130"/>
      <c r="D843" s="130"/>
      <c r="E843" s="199"/>
      <c r="F843" s="130"/>
      <c r="G843" s="130"/>
      <c r="H843" s="130"/>
      <c r="I843" s="130"/>
      <c r="J843" s="130"/>
      <c r="K843" s="130"/>
      <c r="L843" s="130"/>
      <c r="M843" s="131"/>
      <c r="N843" s="132"/>
      <c r="O843" s="133"/>
      <c r="P843" s="238"/>
      <c r="Q843" s="190"/>
      <c r="R843" s="239"/>
      <c r="S843" s="190"/>
      <c r="T843" s="240"/>
      <c r="U843" s="241"/>
      <c r="V843" s="190"/>
      <c r="W843" s="190"/>
      <c r="X843" s="190"/>
      <c r="Y843" s="56"/>
    </row>
    <row r="844">
      <c r="A844" s="237"/>
      <c r="B844" s="130"/>
      <c r="C844" s="130"/>
      <c r="D844" s="130"/>
      <c r="E844" s="199"/>
      <c r="F844" s="130"/>
      <c r="G844" s="130"/>
      <c r="H844" s="130"/>
      <c r="I844" s="130"/>
      <c r="J844" s="130"/>
      <c r="K844" s="130"/>
      <c r="L844" s="130"/>
      <c r="M844" s="131"/>
      <c r="N844" s="132"/>
      <c r="O844" s="133"/>
      <c r="P844" s="238"/>
      <c r="Q844" s="190"/>
      <c r="R844" s="239"/>
      <c r="S844" s="190"/>
      <c r="T844" s="240"/>
      <c r="U844" s="241"/>
      <c r="V844" s="190"/>
      <c r="W844" s="190"/>
      <c r="X844" s="190"/>
      <c r="Y844" s="56"/>
    </row>
    <row r="845">
      <c r="A845" s="237"/>
      <c r="B845" s="130"/>
      <c r="C845" s="130"/>
      <c r="D845" s="130"/>
      <c r="E845" s="199"/>
      <c r="F845" s="130"/>
      <c r="G845" s="130"/>
      <c r="H845" s="130"/>
      <c r="I845" s="130"/>
      <c r="J845" s="130"/>
      <c r="K845" s="130"/>
      <c r="L845" s="130"/>
      <c r="M845" s="131"/>
      <c r="N845" s="132"/>
      <c r="O845" s="133"/>
      <c r="P845" s="238"/>
      <c r="Q845" s="190"/>
      <c r="R845" s="239"/>
      <c r="S845" s="190"/>
      <c r="T845" s="240"/>
      <c r="U845" s="241"/>
      <c r="V845" s="190"/>
      <c r="W845" s="190"/>
      <c r="X845" s="190"/>
      <c r="Y845" s="56"/>
    </row>
    <row r="846">
      <c r="A846" s="237"/>
      <c r="B846" s="130"/>
      <c r="C846" s="130"/>
      <c r="D846" s="130"/>
      <c r="E846" s="199"/>
      <c r="F846" s="130"/>
      <c r="G846" s="130"/>
      <c r="H846" s="130"/>
      <c r="I846" s="130"/>
      <c r="J846" s="130"/>
      <c r="K846" s="130"/>
      <c r="L846" s="130"/>
      <c r="M846" s="131"/>
      <c r="N846" s="132"/>
      <c r="O846" s="133"/>
      <c r="P846" s="238"/>
      <c r="Q846" s="190"/>
      <c r="R846" s="239"/>
      <c r="S846" s="190"/>
      <c r="T846" s="240"/>
      <c r="U846" s="241"/>
      <c r="V846" s="190"/>
      <c r="W846" s="190"/>
      <c r="X846" s="190"/>
      <c r="Y846" s="56"/>
    </row>
    <row r="847">
      <c r="A847" s="237"/>
      <c r="B847" s="130"/>
      <c r="C847" s="130"/>
      <c r="D847" s="130"/>
      <c r="E847" s="199"/>
      <c r="F847" s="130"/>
      <c r="G847" s="130"/>
      <c r="H847" s="130"/>
      <c r="I847" s="130"/>
      <c r="J847" s="130"/>
      <c r="K847" s="130"/>
      <c r="L847" s="130"/>
      <c r="M847" s="131"/>
      <c r="N847" s="132"/>
      <c r="O847" s="133"/>
      <c r="P847" s="238"/>
      <c r="Q847" s="190"/>
      <c r="R847" s="239"/>
      <c r="S847" s="190"/>
      <c r="T847" s="240"/>
      <c r="U847" s="241"/>
      <c r="V847" s="190"/>
      <c r="W847" s="190"/>
      <c r="X847" s="190"/>
      <c r="Y847" s="56"/>
    </row>
    <row r="848">
      <c r="A848" s="237"/>
      <c r="B848" s="130"/>
      <c r="C848" s="130"/>
      <c r="D848" s="130"/>
      <c r="E848" s="199"/>
      <c r="F848" s="130"/>
      <c r="G848" s="130"/>
      <c r="H848" s="130"/>
      <c r="I848" s="130"/>
      <c r="J848" s="130"/>
      <c r="K848" s="130"/>
      <c r="L848" s="130"/>
      <c r="M848" s="131"/>
      <c r="N848" s="132"/>
      <c r="O848" s="133"/>
      <c r="P848" s="238"/>
      <c r="Q848" s="190"/>
      <c r="R848" s="239"/>
      <c r="S848" s="190"/>
      <c r="T848" s="240"/>
      <c r="U848" s="241"/>
      <c r="V848" s="190"/>
      <c r="W848" s="190"/>
      <c r="X848" s="190"/>
      <c r="Y848" s="56"/>
    </row>
    <row r="849">
      <c r="A849" s="237"/>
      <c r="B849" s="130"/>
      <c r="C849" s="130"/>
      <c r="D849" s="130"/>
      <c r="E849" s="199"/>
      <c r="F849" s="130"/>
      <c r="G849" s="130"/>
      <c r="H849" s="130"/>
      <c r="I849" s="130"/>
      <c r="J849" s="130"/>
      <c r="K849" s="130"/>
      <c r="L849" s="130"/>
      <c r="M849" s="131"/>
      <c r="N849" s="132"/>
      <c r="O849" s="133"/>
      <c r="P849" s="238"/>
      <c r="Q849" s="190"/>
      <c r="R849" s="239"/>
      <c r="S849" s="190"/>
      <c r="T849" s="240"/>
      <c r="U849" s="241"/>
      <c r="V849" s="190"/>
      <c r="W849" s="190"/>
      <c r="X849" s="190"/>
      <c r="Y849" s="56"/>
    </row>
    <row r="850">
      <c r="A850" s="237"/>
      <c r="B850" s="130"/>
      <c r="C850" s="130"/>
      <c r="D850" s="130"/>
      <c r="E850" s="199"/>
      <c r="F850" s="130"/>
      <c r="G850" s="130"/>
      <c r="H850" s="130"/>
      <c r="I850" s="130"/>
      <c r="J850" s="130"/>
      <c r="K850" s="130"/>
      <c r="L850" s="130"/>
      <c r="M850" s="131"/>
      <c r="N850" s="132"/>
      <c r="O850" s="133"/>
      <c r="P850" s="238"/>
      <c r="Q850" s="190"/>
      <c r="R850" s="239"/>
      <c r="S850" s="190"/>
      <c r="T850" s="240"/>
      <c r="U850" s="241"/>
      <c r="V850" s="190"/>
      <c r="W850" s="190"/>
      <c r="X850" s="190"/>
      <c r="Y850" s="56"/>
    </row>
    <row r="851">
      <c r="A851" s="237"/>
      <c r="B851" s="130"/>
      <c r="C851" s="130"/>
      <c r="D851" s="130"/>
      <c r="E851" s="199"/>
      <c r="F851" s="130"/>
      <c r="G851" s="130"/>
      <c r="H851" s="130"/>
      <c r="I851" s="130"/>
      <c r="J851" s="130"/>
      <c r="K851" s="130"/>
      <c r="L851" s="130"/>
      <c r="M851" s="131"/>
      <c r="N851" s="132"/>
      <c r="O851" s="133"/>
      <c r="P851" s="238"/>
      <c r="Q851" s="190"/>
      <c r="R851" s="239"/>
      <c r="S851" s="190"/>
      <c r="T851" s="240"/>
      <c r="U851" s="241"/>
      <c r="V851" s="190"/>
      <c r="W851" s="190"/>
      <c r="X851" s="190"/>
      <c r="Y851" s="56"/>
    </row>
    <row r="852">
      <c r="A852" s="237"/>
      <c r="B852" s="130"/>
      <c r="C852" s="130"/>
      <c r="D852" s="130"/>
      <c r="E852" s="199"/>
      <c r="F852" s="130"/>
      <c r="G852" s="130"/>
      <c r="H852" s="130"/>
      <c r="I852" s="130"/>
      <c r="J852" s="130"/>
      <c r="K852" s="130"/>
      <c r="L852" s="130"/>
      <c r="M852" s="131"/>
      <c r="N852" s="132"/>
      <c r="O852" s="133"/>
      <c r="P852" s="238"/>
      <c r="Q852" s="190"/>
      <c r="R852" s="239"/>
      <c r="S852" s="190"/>
      <c r="T852" s="240"/>
      <c r="U852" s="241"/>
      <c r="V852" s="190"/>
      <c r="W852" s="190"/>
      <c r="X852" s="190"/>
      <c r="Y852" s="56"/>
    </row>
    <row r="853">
      <c r="A853" s="237"/>
      <c r="B853" s="130"/>
      <c r="C853" s="130"/>
      <c r="D853" s="130"/>
      <c r="E853" s="199"/>
      <c r="F853" s="130"/>
      <c r="G853" s="130"/>
      <c r="H853" s="130"/>
      <c r="I853" s="130"/>
      <c r="J853" s="130"/>
      <c r="K853" s="130"/>
      <c r="L853" s="130"/>
      <c r="M853" s="131"/>
      <c r="N853" s="132"/>
      <c r="O853" s="133"/>
      <c r="P853" s="238"/>
      <c r="Q853" s="190"/>
      <c r="R853" s="239"/>
      <c r="S853" s="190"/>
      <c r="T853" s="240"/>
      <c r="U853" s="241"/>
      <c r="V853" s="190"/>
      <c r="W853" s="190"/>
      <c r="X853" s="190"/>
      <c r="Y853" s="56"/>
    </row>
    <row r="854">
      <c r="A854" s="237"/>
      <c r="B854" s="130"/>
      <c r="C854" s="130"/>
      <c r="D854" s="130"/>
      <c r="E854" s="199"/>
      <c r="F854" s="130"/>
      <c r="G854" s="130"/>
      <c r="H854" s="130"/>
      <c r="I854" s="130"/>
      <c r="J854" s="130"/>
      <c r="K854" s="130"/>
      <c r="L854" s="130"/>
      <c r="M854" s="131"/>
      <c r="N854" s="132"/>
      <c r="O854" s="133"/>
      <c r="P854" s="238"/>
      <c r="Q854" s="190"/>
      <c r="R854" s="239"/>
      <c r="S854" s="190"/>
      <c r="T854" s="240"/>
      <c r="U854" s="241"/>
      <c r="V854" s="190"/>
      <c r="W854" s="190"/>
      <c r="X854" s="190"/>
      <c r="Y854" s="56"/>
    </row>
    <row r="855">
      <c r="A855" s="237"/>
      <c r="B855" s="130"/>
      <c r="C855" s="130"/>
      <c r="D855" s="130"/>
      <c r="E855" s="199"/>
      <c r="F855" s="130"/>
      <c r="G855" s="130"/>
      <c r="H855" s="130"/>
      <c r="I855" s="130"/>
      <c r="J855" s="130"/>
      <c r="K855" s="130"/>
      <c r="L855" s="130"/>
      <c r="M855" s="131"/>
      <c r="N855" s="132"/>
      <c r="O855" s="133"/>
      <c r="P855" s="238"/>
      <c r="Q855" s="190"/>
      <c r="R855" s="239"/>
      <c r="S855" s="190"/>
      <c r="T855" s="240"/>
      <c r="U855" s="241"/>
      <c r="V855" s="190"/>
      <c r="W855" s="190"/>
      <c r="X855" s="190"/>
      <c r="Y855" s="56"/>
    </row>
    <row r="856">
      <c r="A856" s="237"/>
      <c r="B856" s="130"/>
      <c r="C856" s="130"/>
      <c r="D856" s="130"/>
      <c r="E856" s="199"/>
      <c r="F856" s="130"/>
      <c r="G856" s="130"/>
      <c r="H856" s="130"/>
      <c r="I856" s="130"/>
      <c r="J856" s="130"/>
      <c r="K856" s="130"/>
      <c r="L856" s="130"/>
      <c r="M856" s="131"/>
      <c r="N856" s="132"/>
      <c r="O856" s="133"/>
      <c r="P856" s="238"/>
      <c r="Q856" s="190"/>
      <c r="R856" s="239"/>
      <c r="S856" s="190"/>
      <c r="T856" s="240"/>
      <c r="U856" s="241"/>
      <c r="V856" s="190"/>
      <c r="W856" s="190"/>
      <c r="X856" s="190"/>
      <c r="Y856" s="56"/>
    </row>
    <row r="857">
      <c r="A857" s="237"/>
      <c r="B857" s="130"/>
      <c r="C857" s="130"/>
      <c r="D857" s="130"/>
      <c r="E857" s="199"/>
      <c r="F857" s="130"/>
      <c r="G857" s="130"/>
      <c r="H857" s="130"/>
      <c r="I857" s="130"/>
      <c r="J857" s="130"/>
      <c r="K857" s="130"/>
      <c r="L857" s="130"/>
      <c r="M857" s="131"/>
      <c r="N857" s="132"/>
      <c r="O857" s="133"/>
      <c r="P857" s="238"/>
      <c r="Q857" s="190"/>
      <c r="R857" s="239"/>
      <c r="S857" s="190"/>
      <c r="T857" s="240"/>
      <c r="U857" s="241"/>
      <c r="V857" s="190"/>
      <c r="W857" s="190"/>
      <c r="X857" s="190"/>
      <c r="Y857" s="56"/>
    </row>
    <row r="858">
      <c r="A858" s="237"/>
      <c r="B858" s="130"/>
      <c r="C858" s="130"/>
      <c r="D858" s="130"/>
      <c r="E858" s="199"/>
      <c r="F858" s="130"/>
      <c r="G858" s="130"/>
      <c r="H858" s="130"/>
      <c r="I858" s="130"/>
      <c r="J858" s="130"/>
      <c r="K858" s="130"/>
      <c r="L858" s="130"/>
      <c r="M858" s="131"/>
      <c r="N858" s="132"/>
      <c r="O858" s="133"/>
      <c r="P858" s="238"/>
      <c r="Q858" s="190"/>
      <c r="R858" s="239"/>
      <c r="S858" s="190"/>
      <c r="T858" s="240"/>
      <c r="U858" s="241"/>
      <c r="V858" s="190"/>
      <c r="W858" s="190"/>
      <c r="X858" s="190"/>
      <c r="Y858" s="56"/>
    </row>
    <row r="859">
      <c r="A859" s="237"/>
      <c r="B859" s="130"/>
      <c r="C859" s="130"/>
      <c r="D859" s="130"/>
      <c r="E859" s="199"/>
      <c r="F859" s="130"/>
      <c r="G859" s="130"/>
      <c r="H859" s="130"/>
      <c r="I859" s="130"/>
      <c r="J859" s="130"/>
      <c r="K859" s="130"/>
      <c r="L859" s="130"/>
      <c r="M859" s="131"/>
      <c r="N859" s="132"/>
      <c r="O859" s="133"/>
      <c r="P859" s="238"/>
      <c r="Q859" s="190"/>
      <c r="R859" s="239"/>
      <c r="S859" s="190"/>
      <c r="T859" s="240"/>
      <c r="U859" s="241"/>
      <c r="V859" s="190"/>
      <c r="W859" s="190"/>
      <c r="X859" s="190"/>
      <c r="Y859" s="56"/>
    </row>
    <row r="860">
      <c r="A860" s="237"/>
      <c r="B860" s="130"/>
      <c r="C860" s="130"/>
      <c r="D860" s="130"/>
      <c r="E860" s="199"/>
      <c r="F860" s="130"/>
      <c r="G860" s="130"/>
      <c r="H860" s="130"/>
      <c r="I860" s="130"/>
      <c r="J860" s="130"/>
      <c r="K860" s="130"/>
      <c r="L860" s="130"/>
      <c r="M860" s="131"/>
      <c r="N860" s="132"/>
      <c r="O860" s="133"/>
      <c r="P860" s="238"/>
      <c r="Q860" s="190"/>
      <c r="R860" s="239"/>
      <c r="S860" s="190"/>
      <c r="T860" s="240"/>
      <c r="U860" s="241"/>
      <c r="V860" s="190"/>
      <c r="W860" s="190"/>
      <c r="X860" s="190"/>
      <c r="Y860" s="56"/>
    </row>
    <row r="861">
      <c r="A861" s="237"/>
      <c r="B861" s="130"/>
      <c r="C861" s="130"/>
      <c r="D861" s="130"/>
      <c r="E861" s="199"/>
      <c r="F861" s="130"/>
      <c r="G861" s="130"/>
      <c r="H861" s="130"/>
      <c r="I861" s="130"/>
      <c r="J861" s="130"/>
      <c r="K861" s="130"/>
      <c r="L861" s="130"/>
      <c r="M861" s="131"/>
      <c r="N861" s="132"/>
      <c r="O861" s="133"/>
      <c r="P861" s="238"/>
      <c r="Q861" s="190"/>
      <c r="R861" s="239"/>
      <c r="S861" s="190"/>
      <c r="T861" s="240"/>
      <c r="U861" s="241"/>
      <c r="V861" s="190"/>
      <c r="W861" s="190"/>
      <c r="X861" s="190"/>
      <c r="Y861" s="56"/>
    </row>
    <row r="862">
      <c r="A862" s="237"/>
      <c r="B862" s="130"/>
      <c r="C862" s="130"/>
      <c r="D862" s="130"/>
      <c r="E862" s="199"/>
      <c r="F862" s="130"/>
      <c r="G862" s="130"/>
      <c r="H862" s="130"/>
      <c r="I862" s="130"/>
      <c r="J862" s="130"/>
      <c r="K862" s="130"/>
      <c r="L862" s="130"/>
      <c r="M862" s="131"/>
      <c r="N862" s="132"/>
      <c r="O862" s="133"/>
      <c r="P862" s="238"/>
      <c r="Q862" s="190"/>
      <c r="R862" s="239"/>
      <c r="S862" s="190"/>
      <c r="T862" s="240"/>
      <c r="U862" s="241"/>
      <c r="V862" s="190"/>
      <c r="W862" s="190"/>
      <c r="X862" s="190"/>
      <c r="Y862" s="56"/>
    </row>
    <row r="863">
      <c r="A863" s="237"/>
      <c r="B863" s="130"/>
      <c r="C863" s="130"/>
      <c r="D863" s="130"/>
      <c r="E863" s="199"/>
      <c r="F863" s="130"/>
      <c r="G863" s="130"/>
      <c r="H863" s="130"/>
      <c r="I863" s="130"/>
      <c r="J863" s="130"/>
      <c r="K863" s="130"/>
      <c r="L863" s="130"/>
      <c r="M863" s="131"/>
      <c r="N863" s="132"/>
      <c r="O863" s="133"/>
      <c r="P863" s="238"/>
      <c r="Q863" s="190"/>
      <c r="R863" s="239"/>
      <c r="S863" s="190"/>
      <c r="T863" s="240"/>
      <c r="U863" s="241"/>
      <c r="V863" s="190"/>
      <c r="W863" s="190"/>
      <c r="X863" s="190"/>
      <c r="Y863" s="56"/>
    </row>
    <row r="864">
      <c r="A864" s="237"/>
      <c r="B864" s="130"/>
      <c r="C864" s="130"/>
      <c r="D864" s="130"/>
      <c r="E864" s="199"/>
      <c r="F864" s="130"/>
      <c r="G864" s="130"/>
      <c r="H864" s="130"/>
      <c r="I864" s="130"/>
      <c r="J864" s="130"/>
      <c r="K864" s="130"/>
      <c r="L864" s="130"/>
      <c r="M864" s="131"/>
      <c r="N864" s="132"/>
      <c r="O864" s="133"/>
      <c r="P864" s="238"/>
      <c r="Q864" s="190"/>
      <c r="R864" s="239"/>
      <c r="S864" s="190"/>
      <c r="T864" s="240"/>
      <c r="U864" s="241"/>
      <c r="V864" s="190"/>
      <c r="W864" s="190"/>
      <c r="X864" s="190"/>
      <c r="Y864" s="56"/>
    </row>
    <row r="865">
      <c r="A865" s="237"/>
      <c r="B865" s="130"/>
      <c r="C865" s="130"/>
      <c r="D865" s="130"/>
      <c r="E865" s="199"/>
      <c r="F865" s="130"/>
      <c r="G865" s="130"/>
      <c r="H865" s="130"/>
      <c r="I865" s="130"/>
      <c r="J865" s="130"/>
      <c r="K865" s="130"/>
      <c r="L865" s="130"/>
      <c r="M865" s="131"/>
      <c r="N865" s="132"/>
      <c r="O865" s="133"/>
      <c r="P865" s="238"/>
      <c r="Q865" s="190"/>
      <c r="R865" s="239"/>
      <c r="S865" s="190"/>
      <c r="T865" s="240"/>
      <c r="U865" s="241"/>
      <c r="V865" s="190"/>
      <c r="W865" s="190"/>
      <c r="X865" s="190"/>
      <c r="Y865" s="56"/>
    </row>
    <row r="866">
      <c r="A866" s="237"/>
      <c r="B866" s="130"/>
      <c r="C866" s="130"/>
      <c r="D866" s="130"/>
      <c r="E866" s="199"/>
      <c r="F866" s="130"/>
      <c r="G866" s="130"/>
      <c r="H866" s="130"/>
      <c r="I866" s="130"/>
      <c r="J866" s="130"/>
      <c r="K866" s="130"/>
      <c r="L866" s="130"/>
      <c r="M866" s="131"/>
      <c r="N866" s="132"/>
      <c r="O866" s="133"/>
      <c r="P866" s="238"/>
      <c r="Q866" s="190"/>
      <c r="R866" s="239"/>
      <c r="S866" s="190"/>
      <c r="T866" s="240"/>
      <c r="U866" s="241"/>
      <c r="V866" s="190"/>
      <c r="W866" s="190"/>
      <c r="X866" s="190"/>
      <c r="Y866" s="56"/>
    </row>
    <row r="867">
      <c r="A867" s="237"/>
      <c r="B867" s="130"/>
      <c r="C867" s="130"/>
      <c r="D867" s="130"/>
      <c r="E867" s="199"/>
      <c r="F867" s="130"/>
      <c r="G867" s="130"/>
      <c r="H867" s="130"/>
      <c r="I867" s="130"/>
      <c r="J867" s="130"/>
      <c r="K867" s="130"/>
      <c r="L867" s="130"/>
      <c r="M867" s="131"/>
      <c r="N867" s="132"/>
      <c r="O867" s="133"/>
      <c r="P867" s="238"/>
      <c r="Q867" s="190"/>
      <c r="R867" s="239"/>
      <c r="S867" s="190"/>
      <c r="T867" s="240"/>
      <c r="U867" s="241"/>
      <c r="V867" s="190"/>
      <c r="W867" s="190"/>
      <c r="X867" s="190"/>
      <c r="Y867" s="56"/>
    </row>
    <row r="868">
      <c r="A868" s="237"/>
      <c r="B868" s="130"/>
      <c r="C868" s="130"/>
      <c r="D868" s="130"/>
      <c r="E868" s="199"/>
      <c r="F868" s="130"/>
      <c r="G868" s="130"/>
      <c r="H868" s="130"/>
      <c r="I868" s="130"/>
      <c r="J868" s="130"/>
      <c r="K868" s="130"/>
      <c r="L868" s="130"/>
      <c r="M868" s="131"/>
      <c r="N868" s="132"/>
      <c r="O868" s="133"/>
      <c r="P868" s="238"/>
      <c r="Q868" s="190"/>
      <c r="R868" s="239"/>
      <c r="S868" s="190"/>
      <c r="T868" s="240"/>
      <c r="U868" s="241"/>
      <c r="V868" s="190"/>
      <c r="W868" s="190"/>
      <c r="X868" s="190"/>
      <c r="Y868" s="56"/>
    </row>
    <row r="869">
      <c r="A869" s="237"/>
      <c r="B869" s="130"/>
      <c r="C869" s="130"/>
      <c r="D869" s="130"/>
      <c r="E869" s="199"/>
      <c r="F869" s="130"/>
      <c r="G869" s="130"/>
      <c r="H869" s="130"/>
      <c r="I869" s="130"/>
      <c r="J869" s="130"/>
      <c r="K869" s="130"/>
      <c r="L869" s="130"/>
      <c r="M869" s="131"/>
      <c r="N869" s="132"/>
      <c r="O869" s="133"/>
      <c r="P869" s="238"/>
      <c r="Q869" s="190"/>
      <c r="R869" s="239"/>
      <c r="S869" s="190"/>
      <c r="T869" s="240"/>
      <c r="U869" s="241"/>
      <c r="V869" s="190"/>
      <c r="W869" s="190"/>
      <c r="X869" s="190"/>
      <c r="Y869" s="56"/>
    </row>
    <row r="870">
      <c r="A870" s="237"/>
      <c r="B870" s="130"/>
      <c r="C870" s="130"/>
      <c r="D870" s="130"/>
      <c r="E870" s="199"/>
      <c r="F870" s="130"/>
      <c r="G870" s="130"/>
      <c r="H870" s="130"/>
      <c r="I870" s="130"/>
      <c r="J870" s="130"/>
      <c r="K870" s="130"/>
      <c r="L870" s="130"/>
      <c r="M870" s="131"/>
      <c r="N870" s="132"/>
      <c r="O870" s="133"/>
      <c r="P870" s="238"/>
      <c r="Q870" s="190"/>
      <c r="R870" s="239"/>
      <c r="S870" s="190"/>
      <c r="T870" s="240"/>
      <c r="U870" s="241"/>
      <c r="V870" s="190"/>
      <c r="W870" s="190"/>
      <c r="X870" s="190"/>
      <c r="Y870" s="56"/>
    </row>
    <row r="871">
      <c r="A871" s="237"/>
      <c r="B871" s="130"/>
      <c r="C871" s="130"/>
      <c r="D871" s="130"/>
      <c r="E871" s="199"/>
      <c r="F871" s="130"/>
      <c r="G871" s="130"/>
      <c r="H871" s="130"/>
      <c r="I871" s="130"/>
      <c r="J871" s="130"/>
      <c r="K871" s="130"/>
      <c r="L871" s="130"/>
      <c r="M871" s="131"/>
      <c r="N871" s="132"/>
      <c r="O871" s="133"/>
      <c r="P871" s="238"/>
      <c r="Q871" s="190"/>
      <c r="R871" s="239"/>
      <c r="S871" s="190"/>
      <c r="T871" s="240"/>
      <c r="U871" s="241"/>
      <c r="V871" s="190"/>
      <c r="W871" s="190"/>
      <c r="X871" s="190"/>
      <c r="Y871" s="56"/>
    </row>
    <row r="872">
      <c r="A872" s="237"/>
      <c r="B872" s="130"/>
      <c r="C872" s="130"/>
      <c r="D872" s="130"/>
      <c r="E872" s="199"/>
      <c r="F872" s="130"/>
      <c r="G872" s="130"/>
      <c r="H872" s="130"/>
      <c r="I872" s="130"/>
      <c r="J872" s="130"/>
      <c r="K872" s="130"/>
      <c r="L872" s="130"/>
      <c r="M872" s="131"/>
      <c r="N872" s="132"/>
      <c r="O872" s="133"/>
      <c r="P872" s="238"/>
      <c r="Q872" s="190"/>
      <c r="R872" s="239"/>
      <c r="S872" s="190"/>
      <c r="T872" s="240"/>
      <c r="U872" s="241"/>
      <c r="V872" s="190"/>
      <c r="W872" s="190"/>
      <c r="X872" s="190"/>
      <c r="Y872" s="56"/>
    </row>
    <row r="873">
      <c r="A873" s="237"/>
      <c r="B873" s="130"/>
      <c r="C873" s="130"/>
      <c r="D873" s="130"/>
      <c r="E873" s="199"/>
      <c r="F873" s="130"/>
      <c r="G873" s="130"/>
      <c r="H873" s="130"/>
      <c r="I873" s="130"/>
      <c r="J873" s="130"/>
      <c r="K873" s="130"/>
      <c r="L873" s="130"/>
      <c r="M873" s="131"/>
      <c r="N873" s="132"/>
      <c r="O873" s="133"/>
      <c r="P873" s="238"/>
      <c r="Q873" s="190"/>
      <c r="R873" s="239"/>
      <c r="S873" s="190"/>
      <c r="T873" s="240"/>
      <c r="U873" s="241"/>
      <c r="V873" s="190"/>
      <c r="W873" s="190"/>
      <c r="X873" s="190"/>
      <c r="Y873" s="56"/>
    </row>
    <row r="874">
      <c r="A874" s="237"/>
      <c r="B874" s="130"/>
      <c r="C874" s="130"/>
      <c r="D874" s="130"/>
      <c r="E874" s="199"/>
      <c r="F874" s="130"/>
      <c r="G874" s="130"/>
      <c r="H874" s="130"/>
      <c r="I874" s="130"/>
      <c r="J874" s="130"/>
      <c r="K874" s="130"/>
      <c r="L874" s="130"/>
      <c r="M874" s="131"/>
      <c r="N874" s="132"/>
      <c r="O874" s="133"/>
      <c r="P874" s="238"/>
      <c r="Q874" s="190"/>
      <c r="R874" s="239"/>
      <c r="S874" s="190"/>
      <c r="T874" s="240"/>
      <c r="U874" s="241"/>
      <c r="V874" s="190"/>
      <c r="W874" s="190"/>
      <c r="X874" s="190"/>
      <c r="Y874" s="56"/>
    </row>
    <row r="875">
      <c r="A875" s="237"/>
      <c r="B875" s="130"/>
      <c r="C875" s="130"/>
      <c r="D875" s="130"/>
      <c r="E875" s="199"/>
      <c r="F875" s="130"/>
      <c r="G875" s="130"/>
      <c r="H875" s="130"/>
      <c r="I875" s="130"/>
      <c r="J875" s="130"/>
      <c r="K875" s="130"/>
      <c r="L875" s="130"/>
      <c r="M875" s="131"/>
      <c r="N875" s="132"/>
      <c r="O875" s="133"/>
      <c r="P875" s="238"/>
      <c r="Q875" s="190"/>
      <c r="R875" s="239"/>
      <c r="S875" s="190"/>
      <c r="T875" s="240"/>
      <c r="U875" s="241"/>
      <c r="V875" s="190"/>
      <c r="W875" s="190"/>
      <c r="X875" s="190"/>
      <c r="Y875" s="56"/>
    </row>
    <row r="876">
      <c r="A876" s="237"/>
      <c r="B876" s="130"/>
      <c r="C876" s="130"/>
      <c r="D876" s="130"/>
      <c r="E876" s="199"/>
      <c r="F876" s="130"/>
      <c r="G876" s="130"/>
      <c r="H876" s="130"/>
      <c r="I876" s="130"/>
      <c r="J876" s="130"/>
      <c r="K876" s="130"/>
      <c r="L876" s="130"/>
      <c r="M876" s="131"/>
      <c r="N876" s="132"/>
      <c r="O876" s="133"/>
      <c r="P876" s="238"/>
      <c r="Q876" s="190"/>
      <c r="R876" s="239"/>
      <c r="S876" s="190"/>
      <c r="T876" s="240"/>
      <c r="U876" s="241"/>
      <c r="V876" s="190"/>
      <c r="W876" s="190"/>
      <c r="X876" s="190"/>
      <c r="Y876" s="56"/>
    </row>
    <row r="877">
      <c r="A877" s="237"/>
      <c r="B877" s="130"/>
      <c r="C877" s="130"/>
      <c r="D877" s="130"/>
      <c r="E877" s="199"/>
      <c r="F877" s="130"/>
      <c r="G877" s="130"/>
      <c r="H877" s="130"/>
      <c r="I877" s="130"/>
      <c r="J877" s="130"/>
      <c r="K877" s="130"/>
      <c r="L877" s="130"/>
      <c r="M877" s="131"/>
      <c r="N877" s="132"/>
      <c r="O877" s="133"/>
      <c r="P877" s="238"/>
      <c r="Q877" s="190"/>
      <c r="R877" s="239"/>
      <c r="S877" s="190"/>
      <c r="T877" s="240"/>
      <c r="U877" s="241"/>
      <c r="V877" s="190"/>
      <c r="W877" s="190"/>
      <c r="X877" s="190"/>
      <c r="Y877" s="56"/>
    </row>
    <row r="878">
      <c r="A878" s="237"/>
      <c r="B878" s="130"/>
      <c r="C878" s="130"/>
      <c r="D878" s="130"/>
      <c r="E878" s="199"/>
      <c r="F878" s="130"/>
      <c r="G878" s="130"/>
      <c r="H878" s="130"/>
      <c r="I878" s="130"/>
      <c r="J878" s="130"/>
      <c r="K878" s="130"/>
      <c r="L878" s="130"/>
      <c r="M878" s="131"/>
      <c r="N878" s="132"/>
      <c r="O878" s="133"/>
      <c r="P878" s="238"/>
      <c r="Q878" s="190"/>
      <c r="R878" s="239"/>
      <c r="S878" s="190"/>
      <c r="T878" s="240"/>
      <c r="U878" s="241"/>
      <c r="V878" s="190"/>
      <c r="W878" s="190"/>
      <c r="X878" s="190"/>
      <c r="Y878" s="56"/>
    </row>
    <row r="879">
      <c r="A879" s="237"/>
      <c r="B879" s="130"/>
      <c r="C879" s="130"/>
      <c r="D879" s="130"/>
      <c r="E879" s="199"/>
      <c r="F879" s="130"/>
      <c r="G879" s="130"/>
      <c r="H879" s="130"/>
      <c r="I879" s="130"/>
      <c r="J879" s="130"/>
      <c r="K879" s="130"/>
      <c r="L879" s="130"/>
      <c r="M879" s="131"/>
      <c r="N879" s="132"/>
      <c r="O879" s="133"/>
      <c r="P879" s="238"/>
      <c r="Q879" s="190"/>
      <c r="R879" s="239"/>
      <c r="S879" s="190"/>
      <c r="T879" s="240"/>
      <c r="U879" s="241"/>
      <c r="V879" s="190"/>
      <c r="W879" s="190"/>
      <c r="X879" s="190"/>
      <c r="Y879" s="56"/>
    </row>
    <row r="880">
      <c r="A880" s="237"/>
      <c r="B880" s="130"/>
      <c r="C880" s="130"/>
      <c r="D880" s="130"/>
      <c r="E880" s="199"/>
      <c r="F880" s="130"/>
      <c r="G880" s="130"/>
      <c r="H880" s="130"/>
      <c r="I880" s="130"/>
      <c r="J880" s="130"/>
      <c r="K880" s="130"/>
      <c r="L880" s="130"/>
      <c r="M880" s="131"/>
      <c r="N880" s="132"/>
      <c r="O880" s="133"/>
      <c r="P880" s="238"/>
      <c r="Q880" s="190"/>
      <c r="R880" s="239"/>
      <c r="S880" s="190"/>
      <c r="T880" s="240"/>
      <c r="U880" s="241"/>
      <c r="V880" s="190"/>
      <c r="W880" s="190"/>
      <c r="X880" s="190"/>
      <c r="Y880" s="56"/>
    </row>
    <row r="881">
      <c r="A881" s="237"/>
      <c r="B881" s="130"/>
      <c r="C881" s="130"/>
      <c r="D881" s="130"/>
      <c r="E881" s="199"/>
      <c r="F881" s="130"/>
      <c r="G881" s="130"/>
      <c r="H881" s="130"/>
      <c r="I881" s="130"/>
      <c r="J881" s="130"/>
      <c r="K881" s="130"/>
      <c r="L881" s="130"/>
      <c r="M881" s="131"/>
      <c r="N881" s="132"/>
      <c r="O881" s="133"/>
      <c r="P881" s="238"/>
      <c r="Q881" s="190"/>
      <c r="R881" s="239"/>
      <c r="S881" s="190"/>
      <c r="T881" s="240"/>
      <c r="U881" s="241"/>
      <c r="V881" s="190"/>
      <c r="W881" s="190"/>
      <c r="X881" s="190"/>
      <c r="Y881" s="56"/>
    </row>
    <row r="882">
      <c r="A882" s="237"/>
      <c r="B882" s="130"/>
      <c r="C882" s="130"/>
      <c r="D882" s="130"/>
      <c r="E882" s="199"/>
      <c r="F882" s="130"/>
      <c r="G882" s="130"/>
      <c r="H882" s="130"/>
      <c r="I882" s="130"/>
      <c r="J882" s="130"/>
      <c r="K882" s="130"/>
      <c r="L882" s="130"/>
      <c r="M882" s="131"/>
      <c r="N882" s="132"/>
      <c r="O882" s="133"/>
      <c r="P882" s="238"/>
      <c r="Q882" s="190"/>
      <c r="R882" s="239"/>
      <c r="S882" s="190"/>
      <c r="T882" s="240"/>
      <c r="U882" s="241"/>
      <c r="V882" s="190"/>
      <c r="W882" s="190"/>
      <c r="X882" s="190"/>
      <c r="Y882" s="56"/>
    </row>
    <row r="883">
      <c r="A883" s="237"/>
      <c r="B883" s="130"/>
      <c r="C883" s="130"/>
      <c r="D883" s="130"/>
      <c r="E883" s="199"/>
      <c r="F883" s="130"/>
      <c r="G883" s="130"/>
      <c r="H883" s="130"/>
      <c r="I883" s="130"/>
      <c r="J883" s="130"/>
      <c r="K883" s="130"/>
      <c r="L883" s="130"/>
      <c r="M883" s="131"/>
      <c r="N883" s="132"/>
      <c r="O883" s="133"/>
      <c r="P883" s="238"/>
      <c r="Q883" s="190"/>
      <c r="R883" s="239"/>
      <c r="S883" s="190"/>
      <c r="T883" s="240"/>
      <c r="U883" s="241"/>
      <c r="V883" s="190"/>
      <c r="W883" s="190"/>
      <c r="X883" s="190"/>
      <c r="Y883" s="56"/>
    </row>
    <row r="884">
      <c r="A884" s="237"/>
      <c r="B884" s="130"/>
      <c r="C884" s="130"/>
      <c r="D884" s="130"/>
      <c r="E884" s="199"/>
      <c r="F884" s="130"/>
      <c r="G884" s="130"/>
      <c r="H884" s="130"/>
      <c r="I884" s="130"/>
      <c r="J884" s="130"/>
      <c r="K884" s="130"/>
      <c r="L884" s="130"/>
      <c r="M884" s="131"/>
      <c r="N884" s="132"/>
      <c r="O884" s="133"/>
      <c r="P884" s="238"/>
      <c r="Q884" s="190"/>
      <c r="R884" s="239"/>
      <c r="S884" s="190"/>
      <c r="T884" s="240"/>
      <c r="U884" s="241"/>
      <c r="V884" s="190"/>
      <c r="W884" s="190"/>
      <c r="X884" s="190"/>
      <c r="Y884" s="56"/>
    </row>
    <row r="885">
      <c r="A885" s="237"/>
      <c r="B885" s="130"/>
      <c r="C885" s="130"/>
      <c r="D885" s="130"/>
      <c r="E885" s="199"/>
      <c r="F885" s="130"/>
      <c r="G885" s="130"/>
      <c r="H885" s="130"/>
      <c r="I885" s="130"/>
      <c r="J885" s="130"/>
      <c r="K885" s="130"/>
      <c r="L885" s="130"/>
      <c r="M885" s="131"/>
      <c r="N885" s="132"/>
      <c r="O885" s="133"/>
      <c r="P885" s="238"/>
      <c r="Q885" s="190"/>
      <c r="R885" s="239"/>
      <c r="S885" s="190"/>
      <c r="T885" s="240"/>
      <c r="U885" s="241"/>
      <c r="V885" s="190"/>
      <c r="W885" s="190"/>
      <c r="X885" s="190"/>
      <c r="Y885" s="56"/>
    </row>
    <row r="886">
      <c r="A886" s="237"/>
      <c r="B886" s="130"/>
      <c r="C886" s="130"/>
      <c r="D886" s="130"/>
      <c r="E886" s="199"/>
      <c r="F886" s="130"/>
      <c r="G886" s="130"/>
      <c r="H886" s="130"/>
      <c r="I886" s="130"/>
      <c r="J886" s="130"/>
      <c r="K886" s="130"/>
      <c r="L886" s="130"/>
      <c r="M886" s="131"/>
      <c r="N886" s="132"/>
      <c r="O886" s="133"/>
      <c r="P886" s="238"/>
      <c r="Q886" s="190"/>
      <c r="R886" s="239"/>
      <c r="S886" s="190"/>
      <c r="T886" s="240"/>
      <c r="U886" s="241"/>
      <c r="V886" s="190"/>
      <c r="W886" s="190"/>
      <c r="X886" s="190"/>
      <c r="Y886" s="56"/>
    </row>
    <row r="887">
      <c r="A887" s="237"/>
      <c r="B887" s="130"/>
      <c r="C887" s="130"/>
      <c r="D887" s="130"/>
      <c r="E887" s="199"/>
      <c r="F887" s="130"/>
      <c r="G887" s="130"/>
      <c r="H887" s="130"/>
      <c r="I887" s="130"/>
      <c r="J887" s="130"/>
      <c r="K887" s="130"/>
      <c r="L887" s="130"/>
      <c r="M887" s="131"/>
      <c r="N887" s="132"/>
      <c r="O887" s="133"/>
      <c r="P887" s="238"/>
      <c r="Q887" s="190"/>
      <c r="R887" s="239"/>
      <c r="S887" s="190"/>
      <c r="T887" s="240"/>
      <c r="U887" s="241"/>
      <c r="V887" s="190"/>
      <c r="W887" s="190"/>
      <c r="X887" s="190"/>
      <c r="Y887" s="56"/>
    </row>
    <row r="888">
      <c r="A888" s="237"/>
      <c r="B888" s="130"/>
      <c r="C888" s="130"/>
      <c r="D888" s="130"/>
      <c r="E888" s="199"/>
      <c r="F888" s="130"/>
      <c r="G888" s="130"/>
      <c r="H888" s="130"/>
      <c r="I888" s="130"/>
      <c r="J888" s="130"/>
      <c r="K888" s="130"/>
      <c r="L888" s="130"/>
      <c r="M888" s="131"/>
      <c r="N888" s="132"/>
      <c r="O888" s="133"/>
      <c r="P888" s="238"/>
      <c r="Q888" s="190"/>
      <c r="R888" s="239"/>
      <c r="S888" s="190"/>
      <c r="T888" s="240"/>
      <c r="U888" s="241"/>
      <c r="V888" s="190"/>
      <c r="W888" s="190"/>
      <c r="X888" s="190"/>
      <c r="Y888" s="56"/>
    </row>
    <row r="889">
      <c r="A889" s="237"/>
      <c r="B889" s="130"/>
      <c r="C889" s="130"/>
      <c r="D889" s="130"/>
      <c r="E889" s="199"/>
      <c r="F889" s="130"/>
      <c r="G889" s="130"/>
      <c r="H889" s="130"/>
      <c r="I889" s="130"/>
      <c r="J889" s="130"/>
      <c r="K889" s="130"/>
      <c r="L889" s="130"/>
      <c r="M889" s="131"/>
      <c r="N889" s="132"/>
      <c r="O889" s="133"/>
      <c r="P889" s="238"/>
      <c r="Q889" s="190"/>
      <c r="R889" s="239"/>
      <c r="S889" s="190"/>
      <c r="T889" s="240"/>
      <c r="U889" s="241"/>
      <c r="V889" s="190"/>
      <c r="W889" s="190"/>
      <c r="X889" s="190"/>
      <c r="Y889" s="56"/>
    </row>
    <row r="890">
      <c r="A890" s="237"/>
      <c r="B890" s="130"/>
      <c r="C890" s="130"/>
      <c r="D890" s="130"/>
      <c r="E890" s="199"/>
      <c r="F890" s="130"/>
      <c r="G890" s="130"/>
      <c r="H890" s="130"/>
      <c r="I890" s="130"/>
      <c r="J890" s="130"/>
      <c r="K890" s="130"/>
      <c r="L890" s="130"/>
      <c r="M890" s="131"/>
      <c r="N890" s="132"/>
      <c r="O890" s="133"/>
      <c r="P890" s="238"/>
      <c r="Q890" s="190"/>
      <c r="R890" s="239"/>
      <c r="S890" s="190"/>
      <c r="T890" s="240"/>
      <c r="U890" s="241"/>
      <c r="V890" s="190"/>
      <c r="W890" s="190"/>
      <c r="X890" s="190"/>
      <c r="Y890" s="56"/>
    </row>
    <row r="891">
      <c r="A891" s="237"/>
      <c r="B891" s="130"/>
      <c r="C891" s="130"/>
      <c r="D891" s="130"/>
      <c r="E891" s="199"/>
      <c r="F891" s="130"/>
      <c r="G891" s="130"/>
      <c r="H891" s="130"/>
      <c r="I891" s="130"/>
      <c r="J891" s="130"/>
      <c r="K891" s="130"/>
      <c r="L891" s="130"/>
      <c r="M891" s="131"/>
      <c r="N891" s="132"/>
      <c r="O891" s="133"/>
      <c r="P891" s="238"/>
      <c r="Q891" s="190"/>
      <c r="R891" s="239"/>
      <c r="S891" s="190"/>
      <c r="T891" s="240"/>
      <c r="U891" s="241"/>
      <c r="V891" s="190"/>
      <c r="W891" s="190"/>
      <c r="X891" s="190"/>
      <c r="Y891" s="56"/>
    </row>
    <row r="892">
      <c r="A892" s="237"/>
      <c r="B892" s="130"/>
      <c r="C892" s="130"/>
      <c r="D892" s="130"/>
      <c r="E892" s="199"/>
      <c r="F892" s="130"/>
      <c r="G892" s="130"/>
      <c r="H892" s="130"/>
      <c r="I892" s="130"/>
      <c r="J892" s="130"/>
      <c r="K892" s="130"/>
      <c r="L892" s="130"/>
      <c r="M892" s="131"/>
      <c r="N892" s="132"/>
      <c r="O892" s="133"/>
      <c r="P892" s="238"/>
      <c r="Q892" s="190"/>
      <c r="R892" s="239"/>
      <c r="S892" s="190"/>
      <c r="T892" s="240"/>
      <c r="U892" s="241"/>
      <c r="V892" s="190"/>
      <c r="W892" s="190"/>
      <c r="X892" s="190"/>
      <c r="Y892" s="56"/>
    </row>
    <row r="893">
      <c r="A893" s="237"/>
      <c r="B893" s="130"/>
      <c r="C893" s="130"/>
      <c r="D893" s="130"/>
      <c r="E893" s="199"/>
      <c r="F893" s="130"/>
      <c r="G893" s="130"/>
      <c r="H893" s="130"/>
      <c r="I893" s="130"/>
      <c r="J893" s="130"/>
      <c r="K893" s="130"/>
      <c r="L893" s="130"/>
      <c r="M893" s="131"/>
      <c r="N893" s="132"/>
      <c r="O893" s="133"/>
      <c r="P893" s="238"/>
      <c r="Q893" s="190"/>
      <c r="R893" s="239"/>
      <c r="S893" s="190"/>
      <c r="T893" s="240"/>
      <c r="U893" s="241"/>
      <c r="V893" s="190"/>
      <c r="W893" s="190"/>
      <c r="X893" s="190"/>
      <c r="Y893" s="56"/>
    </row>
    <row r="894">
      <c r="A894" s="237"/>
      <c r="B894" s="130"/>
      <c r="C894" s="130"/>
      <c r="D894" s="130"/>
      <c r="E894" s="199"/>
      <c r="F894" s="130"/>
      <c r="G894" s="130"/>
      <c r="H894" s="130"/>
      <c r="I894" s="130"/>
      <c r="J894" s="130"/>
      <c r="K894" s="130"/>
      <c r="L894" s="130"/>
      <c r="M894" s="131"/>
      <c r="N894" s="132"/>
      <c r="O894" s="133"/>
      <c r="P894" s="238"/>
      <c r="Q894" s="190"/>
      <c r="R894" s="239"/>
      <c r="S894" s="190"/>
      <c r="T894" s="240"/>
      <c r="U894" s="241"/>
      <c r="V894" s="190"/>
      <c r="W894" s="190"/>
      <c r="X894" s="190"/>
      <c r="Y894" s="56"/>
    </row>
    <row r="895">
      <c r="A895" s="237"/>
      <c r="B895" s="130"/>
      <c r="C895" s="130"/>
      <c r="D895" s="130"/>
      <c r="E895" s="199"/>
      <c r="F895" s="130"/>
      <c r="G895" s="130"/>
      <c r="H895" s="130"/>
      <c r="I895" s="130"/>
      <c r="J895" s="130"/>
      <c r="K895" s="130"/>
      <c r="L895" s="130"/>
      <c r="M895" s="131"/>
      <c r="N895" s="132"/>
      <c r="O895" s="133"/>
      <c r="P895" s="238"/>
      <c r="Q895" s="190"/>
      <c r="R895" s="239"/>
      <c r="S895" s="190"/>
      <c r="T895" s="240"/>
      <c r="U895" s="241"/>
      <c r="V895" s="190"/>
      <c r="W895" s="190"/>
      <c r="X895" s="190"/>
      <c r="Y895" s="56"/>
    </row>
    <row r="896">
      <c r="A896" s="237"/>
      <c r="B896" s="130"/>
      <c r="C896" s="130"/>
      <c r="D896" s="130"/>
      <c r="E896" s="199"/>
      <c r="F896" s="130"/>
      <c r="G896" s="130"/>
      <c r="H896" s="130"/>
      <c r="I896" s="130"/>
      <c r="J896" s="130"/>
      <c r="K896" s="130"/>
      <c r="L896" s="130"/>
      <c r="M896" s="131"/>
      <c r="N896" s="132"/>
      <c r="O896" s="133"/>
      <c r="P896" s="238"/>
      <c r="Q896" s="190"/>
      <c r="R896" s="239"/>
      <c r="S896" s="190"/>
      <c r="T896" s="240"/>
      <c r="U896" s="241"/>
      <c r="V896" s="190"/>
      <c r="W896" s="190"/>
      <c r="X896" s="190"/>
      <c r="Y896" s="56"/>
    </row>
    <row r="897">
      <c r="A897" s="237"/>
      <c r="B897" s="130"/>
      <c r="C897" s="130"/>
      <c r="D897" s="130"/>
      <c r="E897" s="199"/>
      <c r="F897" s="130"/>
      <c r="G897" s="130"/>
      <c r="H897" s="130"/>
      <c r="I897" s="130"/>
      <c r="J897" s="130"/>
      <c r="K897" s="130"/>
      <c r="L897" s="130"/>
      <c r="M897" s="131"/>
      <c r="N897" s="132"/>
      <c r="O897" s="133"/>
      <c r="P897" s="238"/>
      <c r="Q897" s="190"/>
      <c r="R897" s="239"/>
      <c r="S897" s="190"/>
      <c r="T897" s="240"/>
      <c r="U897" s="241"/>
      <c r="V897" s="190"/>
      <c r="W897" s="190"/>
      <c r="X897" s="190"/>
      <c r="Y897" s="56"/>
    </row>
    <row r="898">
      <c r="A898" s="237"/>
      <c r="B898" s="130"/>
      <c r="C898" s="130"/>
      <c r="D898" s="130"/>
      <c r="E898" s="199"/>
      <c r="F898" s="130"/>
      <c r="G898" s="130"/>
      <c r="H898" s="130"/>
      <c r="I898" s="130"/>
      <c r="J898" s="130"/>
      <c r="K898" s="130"/>
      <c r="L898" s="130"/>
      <c r="M898" s="131"/>
      <c r="N898" s="132"/>
      <c r="O898" s="133"/>
      <c r="P898" s="238"/>
      <c r="Q898" s="190"/>
      <c r="R898" s="239"/>
      <c r="S898" s="190"/>
      <c r="T898" s="240"/>
      <c r="U898" s="241"/>
      <c r="V898" s="190"/>
      <c r="W898" s="190"/>
      <c r="X898" s="190"/>
      <c r="Y898" s="56"/>
    </row>
    <row r="899">
      <c r="A899" s="237"/>
      <c r="B899" s="130"/>
      <c r="C899" s="130"/>
      <c r="D899" s="130"/>
      <c r="E899" s="199"/>
      <c r="F899" s="130"/>
      <c r="G899" s="130"/>
      <c r="H899" s="130"/>
      <c r="I899" s="130"/>
      <c r="J899" s="130"/>
      <c r="K899" s="130"/>
      <c r="L899" s="130"/>
      <c r="M899" s="131"/>
      <c r="N899" s="132"/>
      <c r="O899" s="133"/>
      <c r="P899" s="238"/>
      <c r="Q899" s="190"/>
      <c r="R899" s="239"/>
      <c r="S899" s="190"/>
      <c r="T899" s="240"/>
      <c r="U899" s="241"/>
      <c r="V899" s="190"/>
      <c r="W899" s="190"/>
      <c r="X899" s="190"/>
      <c r="Y899" s="56"/>
    </row>
    <row r="900">
      <c r="A900" s="237"/>
      <c r="B900" s="130"/>
      <c r="C900" s="130"/>
      <c r="D900" s="130"/>
      <c r="E900" s="199"/>
      <c r="F900" s="130"/>
      <c r="G900" s="130"/>
      <c r="H900" s="130"/>
      <c r="I900" s="130"/>
      <c r="J900" s="130"/>
      <c r="K900" s="130"/>
      <c r="L900" s="130"/>
      <c r="M900" s="131"/>
      <c r="N900" s="132"/>
      <c r="O900" s="133"/>
      <c r="P900" s="238"/>
      <c r="Q900" s="190"/>
      <c r="R900" s="239"/>
      <c r="S900" s="190"/>
      <c r="T900" s="240"/>
      <c r="U900" s="241"/>
      <c r="V900" s="190"/>
      <c r="W900" s="190"/>
      <c r="X900" s="190"/>
      <c r="Y900" s="56"/>
    </row>
    <row r="901">
      <c r="A901" s="237"/>
      <c r="B901" s="130"/>
      <c r="C901" s="130"/>
      <c r="D901" s="130"/>
      <c r="E901" s="199"/>
      <c r="F901" s="130"/>
      <c r="G901" s="130"/>
      <c r="H901" s="130"/>
      <c r="I901" s="130"/>
      <c r="J901" s="130"/>
      <c r="K901" s="130"/>
      <c r="L901" s="130"/>
      <c r="M901" s="131"/>
      <c r="N901" s="132"/>
      <c r="O901" s="133"/>
      <c r="P901" s="238"/>
      <c r="Q901" s="190"/>
      <c r="R901" s="239"/>
      <c r="S901" s="190"/>
      <c r="T901" s="240"/>
      <c r="U901" s="241"/>
      <c r="V901" s="190"/>
      <c r="W901" s="190"/>
      <c r="X901" s="190"/>
      <c r="Y901" s="56"/>
    </row>
    <row r="902">
      <c r="A902" s="237"/>
      <c r="B902" s="130"/>
      <c r="C902" s="130"/>
      <c r="D902" s="130"/>
      <c r="E902" s="199"/>
      <c r="F902" s="130"/>
      <c r="G902" s="130"/>
      <c r="H902" s="130"/>
      <c r="I902" s="130"/>
      <c r="J902" s="130"/>
      <c r="K902" s="130"/>
      <c r="L902" s="130"/>
      <c r="M902" s="131"/>
      <c r="N902" s="132"/>
      <c r="O902" s="133"/>
      <c r="P902" s="238"/>
      <c r="Q902" s="190"/>
      <c r="R902" s="239"/>
      <c r="S902" s="190"/>
      <c r="T902" s="240"/>
      <c r="U902" s="241"/>
      <c r="V902" s="190"/>
      <c r="W902" s="190"/>
      <c r="X902" s="190"/>
      <c r="Y902" s="56"/>
    </row>
    <row r="903">
      <c r="A903" s="237"/>
      <c r="B903" s="130"/>
      <c r="C903" s="130"/>
      <c r="D903" s="130"/>
      <c r="E903" s="199"/>
      <c r="F903" s="130"/>
      <c r="G903" s="130"/>
      <c r="H903" s="130"/>
      <c r="I903" s="130"/>
      <c r="J903" s="130"/>
      <c r="K903" s="130"/>
      <c r="L903" s="130"/>
      <c r="M903" s="131"/>
      <c r="N903" s="132"/>
      <c r="O903" s="133"/>
      <c r="P903" s="238"/>
      <c r="Q903" s="190"/>
      <c r="R903" s="239"/>
      <c r="S903" s="190"/>
      <c r="T903" s="240"/>
      <c r="U903" s="241"/>
      <c r="V903" s="190"/>
      <c r="W903" s="190"/>
      <c r="X903" s="190"/>
      <c r="Y903" s="56"/>
    </row>
    <row r="904">
      <c r="A904" s="237"/>
      <c r="B904" s="130"/>
      <c r="C904" s="130"/>
      <c r="D904" s="130"/>
      <c r="E904" s="199"/>
      <c r="F904" s="130"/>
      <c r="G904" s="130"/>
      <c r="H904" s="130"/>
      <c r="I904" s="130"/>
      <c r="J904" s="130"/>
      <c r="K904" s="130"/>
      <c r="L904" s="130"/>
      <c r="M904" s="131"/>
      <c r="N904" s="132"/>
      <c r="O904" s="133"/>
      <c r="P904" s="238"/>
      <c r="Q904" s="190"/>
      <c r="R904" s="239"/>
      <c r="S904" s="190"/>
      <c r="T904" s="240"/>
      <c r="U904" s="241"/>
      <c r="V904" s="190"/>
      <c r="W904" s="190"/>
      <c r="X904" s="190"/>
      <c r="Y904" s="56"/>
    </row>
    <row r="905">
      <c r="A905" s="237"/>
      <c r="B905" s="130"/>
      <c r="C905" s="130"/>
      <c r="D905" s="130"/>
      <c r="E905" s="199"/>
      <c r="F905" s="130"/>
      <c r="G905" s="130"/>
      <c r="H905" s="130"/>
      <c r="I905" s="130"/>
      <c r="J905" s="130"/>
      <c r="K905" s="130"/>
      <c r="L905" s="130"/>
      <c r="M905" s="131"/>
      <c r="N905" s="132"/>
      <c r="O905" s="133"/>
      <c r="P905" s="238"/>
      <c r="Q905" s="190"/>
      <c r="R905" s="239"/>
      <c r="S905" s="190"/>
      <c r="T905" s="240"/>
      <c r="U905" s="241"/>
      <c r="V905" s="190"/>
      <c r="W905" s="190"/>
      <c r="X905" s="190"/>
      <c r="Y905" s="56"/>
    </row>
    <row r="906">
      <c r="A906" s="237"/>
      <c r="B906" s="130"/>
      <c r="C906" s="130"/>
      <c r="D906" s="130"/>
      <c r="E906" s="199"/>
      <c r="F906" s="130"/>
      <c r="G906" s="130"/>
      <c r="H906" s="130"/>
      <c r="I906" s="130"/>
      <c r="J906" s="130"/>
      <c r="K906" s="130"/>
      <c r="L906" s="130"/>
      <c r="M906" s="131"/>
      <c r="N906" s="132"/>
      <c r="O906" s="133"/>
      <c r="P906" s="238"/>
      <c r="Q906" s="190"/>
      <c r="R906" s="239"/>
      <c r="S906" s="190"/>
      <c r="T906" s="240"/>
      <c r="U906" s="241"/>
      <c r="V906" s="190"/>
      <c r="W906" s="190"/>
      <c r="X906" s="190"/>
      <c r="Y906" s="56"/>
    </row>
    <row r="907">
      <c r="A907" s="237"/>
      <c r="B907" s="130"/>
      <c r="C907" s="130"/>
      <c r="D907" s="130"/>
      <c r="E907" s="199"/>
      <c r="F907" s="130"/>
      <c r="G907" s="130"/>
      <c r="H907" s="130"/>
      <c r="I907" s="130"/>
      <c r="J907" s="130"/>
      <c r="K907" s="130"/>
      <c r="L907" s="130"/>
      <c r="M907" s="131"/>
      <c r="N907" s="132"/>
      <c r="O907" s="133"/>
      <c r="P907" s="238"/>
      <c r="Q907" s="190"/>
      <c r="R907" s="239"/>
      <c r="S907" s="190"/>
      <c r="T907" s="240"/>
      <c r="U907" s="241"/>
      <c r="V907" s="190"/>
      <c r="W907" s="190"/>
      <c r="X907" s="190"/>
      <c r="Y907" s="56"/>
    </row>
    <row r="908">
      <c r="A908" s="237"/>
      <c r="B908" s="130"/>
      <c r="C908" s="130"/>
      <c r="D908" s="130"/>
      <c r="E908" s="199"/>
      <c r="F908" s="130"/>
      <c r="G908" s="130"/>
      <c r="H908" s="130"/>
      <c r="I908" s="130"/>
      <c r="J908" s="130"/>
      <c r="K908" s="130"/>
      <c r="L908" s="130"/>
      <c r="M908" s="131"/>
      <c r="N908" s="132"/>
      <c r="O908" s="133"/>
      <c r="P908" s="238"/>
      <c r="Q908" s="190"/>
      <c r="R908" s="239"/>
      <c r="S908" s="190"/>
      <c r="T908" s="240"/>
      <c r="U908" s="241"/>
      <c r="V908" s="190"/>
      <c r="W908" s="190"/>
      <c r="X908" s="190"/>
      <c r="Y908" s="56"/>
    </row>
    <row r="909">
      <c r="A909" s="237"/>
      <c r="B909" s="130"/>
      <c r="C909" s="130"/>
      <c r="D909" s="130"/>
      <c r="E909" s="199"/>
      <c r="F909" s="130"/>
      <c r="G909" s="130"/>
      <c r="H909" s="130"/>
      <c r="I909" s="130"/>
      <c r="J909" s="130"/>
      <c r="K909" s="130"/>
      <c r="L909" s="130"/>
      <c r="M909" s="131"/>
      <c r="N909" s="132"/>
      <c r="O909" s="133"/>
      <c r="P909" s="238"/>
      <c r="Q909" s="190"/>
      <c r="R909" s="239"/>
      <c r="S909" s="190"/>
      <c r="T909" s="240"/>
      <c r="U909" s="241"/>
      <c r="V909" s="190"/>
      <c r="W909" s="190"/>
      <c r="X909" s="190"/>
      <c r="Y909" s="56"/>
    </row>
    <row r="910">
      <c r="A910" s="237"/>
      <c r="B910" s="130"/>
      <c r="C910" s="130"/>
      <c r="D910" s="130"/>
      <c r="E910" s="199"/>
      <c r="F910" s="130"/>
      <c r="G910" s="130"/>
      <c r="H910" s="130"/>
      <c r="I910" s="130"/>
      <c r="J910" s="130"/>
      <c r="K910" s="130"/>
      <c r="L910" s="130"/>
      <c r="M910" s="131"/>
      <c r="N910" s="132"/>
      <c r="O910" s="133"/>
      <c r="P910" s="238"/>
      <c r="Q910" s="190"/>
      <c r="R910" s="239"/>
      <c r="S910" s="190"/>
      <c r="T910" s="240"/>
      <c r="U910" s="241"/>
      <c r="V910" s="190"/>
      <c r="W910" s="190"/>
      <c r="X910" s="190"/>
      <c r="Y910" s="56"/>
    </row>
    <row r="911">
      <c r="A911" s="237"/>
      <c r="B911" s="130"/>
      <c r="C911" s="130"/>
      <c r="D911" s="130"/>
      <c r="E911" s="199"/>
      <c r="F911" s="130"/>
      <c r="G911" s="130"/>
      <c r="H911" s="130"/>
      <c r="I911" s="130"/>
      <c r="J911" s="130"/>
      <c r="K911" s="130"/>
      <c r="L911" s="130"/>
      <c r="M911" s="131"/>
      <c r="N911" s="132"/>
      <c r="O911" s="133"/>
      <c r="P911" s="238"/>
      <c r="Q911" s="190"/>
      <c r="R911" s="239"/>
      <c r="S911" s="190"/>
      <c r="T911" s="240"/>
      <c r="U911" s="241"/>
      <c r="V911" s="190"/>
      <c r="W911" s="190"/>
      <c r="X911" s="190"/>
      <c r="Y911" s="56"/>
    </row>
    <row r="912">
      <c r="A912" s="237"/>
      <c r="B912" s="130"/>
      <c r="C912" s="130"/>
      <c r="D912" s="130"/>
      <c r="E912" s="199"/>
      <c r="F912" s="130"/>
      <c r="G912" s="130"/>
      <c r="H912" s="130"/>
      <c r="I912" s="130"/>
      <c r="J912" s="130"/>
      <c r="K912" s="130"/>
      <c r="L912" s="130"/>
      <c r="M912" s="131"/>
      <c r="N912" s="132"/>
      <c r="O912" s="133"/>
      <c r="P912" s="238"/>
      <c r="Q912" s="190"/>
      <c r="R912" s="239"/>
      <c r="S912" s="190"/>
      <c r="T912" s="240"/>
      <c r="U912" s="241"/>
      <c r="V912" s="190"/>
      <c r="W912" s="190"/>
      <c r="X912" s="190"/>
      <c r="Y912" s="56"/>
    </row>
    <row r="913">
      <c r="A913" s="237"/>
      <c r="B913" s="130"/>
      <c r="C913" s="130"/>
      <c r="D913" s="130"/>
      <c r="E913" s="199"/>
      <c r="F913" s="130"/>
      <c r="G913" s="130"/>
      <c r="H913" s="130"/>
      <c r="I913" s="130"/>
      <c r="J913" s="130"/>
      <c r="K913" s="130"/>
      <c r="L913" s="130"/>
      <c r="M913" s="131"/>
      <c r="N913" s="132"/>
      <c r="O913" s="133"/>
      <c r="P913" s="238"/>
      <c r="Q913" s="190"/>
      <c r="R913" s="239"/>
      <c r="S913" s="190"/>
      <c r="T913" s="240"/>
      <c r="U913" s="241"/>
      <c r="V913" s="190"/>
      <c r="W913" s="190"/>
      <c r="X913" s="190"/>
      <c r="Y913" s="56"/>
    </row>
    <row r="914">
      <c r="A914" s="237"/>
      <c r="B914" s="130"/>
      <c r="C914" s="130"/>
      <c r="D914" s="130"/>
      <c r="E914" s="199"/>
      <c r="F914" s="130"/>
      <c r="G914" s="130"/>
      <c r="H914" s="130"/>
      <c r="I914" s="130"/>
      <c r="J914" s="130"/>
      <c r="K914" s="130"/>
      <c r="L914" s="130"/>
      <c r="M914" s="131"/>
      <c r="N914" s="132"/>
      <c r="O914" s="133"/>
      <c r="P914" s="238"/>
      <c r="Q914" s="190"/>
      <c r="R914" s="239"/>
      <c r="S914" s="190"/>
      <c r="T914" s="240"/>
      <c r="U914" s="241"/>
      <c r="V914" s="190"/>
      <c r="W914" s="190"/>
      <c r="X914" s="190"/>
      <c r="Y914" s="56"/>
    </row>
    <row r="915">
      <c r="A915" s="237"/>
      <c r="B915" s="130"/>
      <c r="C915" s="130"/>
      <c r="D915" s="130"/>
      <c r="E915" s="199"/>
      <c r="F915" s="130"/>
      <c r="G915" s="130"/>
      <c r="H915" s="130"/>
      <c r="I915" s="130"/>
      <c r="J915" s="130"/>
      <c r="K915" s="130"/>
      <c r="L915" s="130"/>
      <c r="M915" s="131"/>
      <c r="N915" s="132"/>
      <c r="O915" s="133"/>
      <c r="P915" s="238"/>
      <c r="Q915" s="190"/>
      <c r="R915" s="239"/>
      <c r="S915" s="190"/>
      <c r="T915" s="240"/>
      <c r="U915" s="241"/>
      <c r="V915" s="190"/>
      <c r="W915" s="190"/>
      <c r="X915" s="190"/>
      <c r="Y915" s="56"/>
    </row>
    <row r="916">
      <c r="A916" s="237"/>
      <c r="B916" s="130"/>
      <c r="C916" s="130"/>
      <c r="D916" s="130"/>
      <c r="E916" s="199"/>
      <c r="F916" s="130"/>
      <c r="G916" s="130"/>
      <c r="H916" s="130"/>
      <c r="I916" s="130"/>
      <c r="J916" s="130"/>
      <c r="K916" s="130"/>
      <c r="L916" s="130"/>
      <c r="M916" s="131"/>
      <c r="N916" s="132"/>
      <c r="O916" s="133"/>
      <c r="P916" s="238"/>
      <c r="Q916" s="190"/>
      <c r="R916" s="239"/>
      <c r="S916" s="190"/>
      <c r="T916" s="240"/>
      <c r="U916" s="241"/>
      <c r="V916" s="190"/>
      <c r="W916" s="190"/>
      <c r="X916" s="190"/>
      <c r="Y916" s="56"/>
    </row>
    <row r="917">
      <c r="A917" s="237"/>
      <c r="B917" s="130"/>
      <c r="C917" s="130"/>
      <c r="D917" s="130"/>
      <c r="E917" s="199"/>
      <c r="F917" s="130"/>
      <c r="G917" s="130"/>
      <c r="H917" s="130"/>
      <c r="I917" s="130"/>
      <c r="J917" s="130"/>
      <c r="K917" s="130"/>
      <c r="L917" s="130"/>
      <c r="M917" s="131"/>
      <c r="N917" s="132"/>
      <c r="O917" s="133"/>
      <c r="P917" s="238"/>
      <c r="Q917" s="190"/>
      <c r="R917" s="239"/>
      <c r="S917" s="190"/>
      <c r="T917" s="240"/>
      <c r="U917" s="241"/>
      <c r="V917" s="190"/>
      <c r="W917" s="190"/>
      <c r="X917" s="190"/>
      <c r="Y917" s="56"/>
    </row>
    <row r="918">
      <c r="A918" s="237"/>
      <c r="B918" s="130"/>
      <c r="C918" s="130"/>
      <c r="D918" s="130"/>
      <c r="E918" s="199"/>
      <c r="F918" s="130"/>
      <c r="G918" s="130"/>
      <c r="H918" s="130"/>
      <c r="I918" s="130"/>
      <c r="J918" s="130"/>
      <c r="K918" s="130"/>
      <c r="L918" s="130"/>
      <c r="M918" s="131"/>
      <c r="N918" s="132"/>
      <c r="O918" s="133"/>
      <c r="P918" s="238"/>
      <c r="Q918" s="190"/>
      <c r="R918" s="239"/>
      <c r="S918" s="190"/>
      <c r="T918" s="240"/>
      <c r="U918" s="241"/>
      <c r="V918" s="190"/>
      <c r="W918" s="190"/>
      <c r="X918" s="190"/>
      <c r="Y918" s="56"/>
    </row>
    <row r="919">
      <c r="A919" s="237"/>
      <c r="B919" s="130"/>
      <c r="C919" s="130"/>
      <c r="D919" s="130"/>
      <c r="E919" s="199"/>
      <c r="F919" s="130"/>
      <c r="G919" s="130"/>
      <c r="H919" s="130"/>
      <c r="I919" s="130"/>
      <c r="J919" s="130"/>
      <c r="K919" s="130"/>
      <c r="L919" s="130"/>
      <c r="M919" s="131"/>
      <c r="N919" s="132"/>
      <c r="O919" s="133"/>
      <c r="P919" s="238"/>
      <c r="Q919" s="190"/>
      <c r="R919" s="239"/>
      <c r="S919" s="190"/>
      <c r="T919" s="240"/>
      <c r="U919" s="241"/>
      <c r="V919" s="190"/>
      <c r="W919" s="190"/>
      <c r="X919" s="190"/>
      <c r="Y919" s="56"/>
    </row>
    <row r="920">
      <c r="A920" s="237"/>
      <c r="B920" s="130"/>
      <c r="C920" s="130"/>
      <c r="D920" s="130"/>
      <c r="E920" s="199"/>
      <c r="F920" s="130"/>
      <c r="G920" s="130"/>
      <c r="H920" s="130"/>
      <c r="I920" s="130"/>
      <c r="J920" s="130"/>
      <c r="K920" s="130"/>
      <c r="L920" s="130"/>
      <c r="M920" s="131"/>
      <c r="N920" s="132"/>
      <c r="O920" s="133"/>
      <c r="P920" s="238"/>
      <c r="Q920" s="190"/>
      <c r="R920" s="239"/>
      <c r="S920" s="190"/>
      <c r="T920" s="240"/>
      <c r="U920" s="241"/>
      <c r="V920" s="190"/>
      <c r="W920" s="190"/>
      <c r="X920" s="190"/>
      <c r="Y920" s="56"/>
    </row>
    <row r="921">
      <c r="A921" s="237"/>
      <c r="B921" s="130"/>
      <c r="C921" s="130"/>
      <c r="D921" s="130"/>
      <c r="E921" s="199"/>
      <c r="F921" s="130"/>
      <c r="G921" s="130"/>
      <c r="H921" s="130"/>
      <c r="I921" s="130"/>
      <c r="J921" s="130"/>
      <c r="K921" s="130"/>
      <c r="L921" s="130"/>
      <c r="M921" s="131"/>
      <c r="N921" s="132"/>
      <c r="O921" s="133"/>
      <c r="P921" s="238"/>
      <c r="Q921" s="190"/>
      <c r="R921" s="239"/>
      <c r="S921" s="190"/>
      <c r="T921" s="240"/>
      <c r="U921" s="241"/>
      <c r="V921" s="190"/>
      <c r="W921" s="190"/>
      <c r="X921" s="190"/>
      <c r="Y921" s="56"/>
    </row>
    <row r="922">
      <c r="A922" s="237"/>
      <c r="B922" s="130"/>
      <c r="C922" s="130"/>
      <c r="D922" s="130"/>
      <c r="E922" s="199"/>
      <c r="F922" s="130"/>
      <c r="G922" s="130"/>
      <c r="H922" s="130"/>
      <c r="I922" s="130"/>
      <c r="J922" s="130"/>
      <c r="K922" s="130"/>
      <c r="L922" s="130"/>
      <c r="M922" s="131"/>
      <c r="N922" s="132"/>
      <c r="O922" s="133"/>
      <c r="P922" s="238"/>
      <c r="Q922" s="190"/>
      <c r="R922" s="239"/>
      <c r="S922" s="190"/>
      <c r="T922" s="240"/>
      <c r="U922" s="241"/>
      <c r="V922" s="190"/>
      <c r="W922" s="190"/>
      <c r="X922" s="190"/>
      <c r="Y922" s="56"/>
    </row>
    <row r="923">
      <c r="A923" s="237"/>
      <c r="B923" s="130"/>
      <c r="C923" s="130"/>
      <c r="D923" s="130"/>
      <c r="E923" s="199"/>
      <c r="F923" s="130"/>
      <c r="G923" s="130"/>
      <c r="H923" s="130"/>
      <c r="I923" s="130"/>
      <c r="J923" s="130"/>
      <c r="K923" s="130"/>
      <c r="L923" s="130"/>
      <c r="M923" s="131"/>
      <c r="N923" s="132"/>
      <c r="O923" s="133"/>
      <c r="P923" s="238"/>
      <c r="Q923" s="190"/>
      <c r="R923" s="239"/>
      <c r="S923" s="190"/>
      <c r="T923" s="240"/>
      <c r="U923" s="241"/>
      <c r="V923" s="190"/>
      <c r="W923" s="190"/>
      <c r="X923" s="190"/>
      <c r="Y923" s="56"/>
    </row>
    <row r="924">
      <c r="A924" s="237"/>
      <c r="B924" s="130"/>
      <c r="C924" s="130"/>
      <c r="D924" s="130"/>
      <c r="E924" s="199"/>
      <c r="F924" s="130"/>
      <c r="G924" s="130"/>
      <c r="H924" s="130"/>
      <c r="I924" s="130"/>
      <c r="J924" s="130"/>
      <c r="K924" s="130"/>
      <c r="L924" s="130"/>
      <c r="M924" s="131"/>
      <c r="N924" s="132"/>
      <c r="O924" s="133"/>
      <c r="P924" s="238"/>
      <c r="Q924" s="190"/>
      <c r="R924" s="239"/>
      <c r="S924" s="190"/>
      <c r="T924" s="240"/>
      <c r="U924" s="241"/>
      <c r="V924" s="190"/>
      <c r="W924" s="190"/>
      <c r="X924" s="190"/>
      <c r="Y924" s="56"/>
    </row>
    <row r="925">
      <c r="A925" s="237"/>
      <c r="B925" s="130"/>
      <c r="C925" s="130"/>
      <c r="D925" s="130"/>
      <c r="E925" s="199"/>
      <c r="F925" s="130"/>
      <c r="G925" s="130"/>
      <c r="H925" s="130"/>
      <c r="I925" s="130"/>
      <c r="J925" s="130"/>
      <c r="K925" s="130"/>
      <c r="L925" s="130"/>
      <c r="M925" s="131"/>
      <c r="N925" s="132"/>
      <c r="O925" s="133"/>
      <c r="P925" s="238"/>
      <c r="Q925" s="190"/>
      <c r="R925" s="239"/>
      <c r="S925" s="190"/>
      <c r="T925" s="240"/>
      <c r="U925" s="241"/>
      <c r="V925" s="190"/>
      <c r="W925" s="190"/>
      <c r="X925" s="190"/>
      <c r="Y925" s="56"/>
    </row>
    <row r="926">
      <c r="A926" s="237"/>
      <c r="B926" s="130"/>
      <c r="C926" s="130"/>
      <c r="D926" s="130"/>
      <c r="E926" s="199"/>
      <c r="F926" s="130"/>
      <c r="G926" s="130"/>
      <c r="H926" s="130"/>
      <c r="I926" s="130"/>
      <c r="J926" s="130"/>
      <c r="K926" s="130"/>
      <c r="L926" s="130"/>
      <c r="M926" s="131"/>
      <c r="N926" s="132"/>
      <c r="O926" s="133"/>
      <c r="P926" s="238"/>
      <c r="Q926" s="190"/>
      <c r="R926" s="239"/>
      <c r="S926" s="190"/>
      <c r="T926" s="240"/>
      <c r="U926" s="241"/>
      <c r="V926" s="190"/>
      <c r="W926" s="190"/>
      <c r="X926" s="190"/>
      <c r="Y926" s="56"/>
    </row>
    <row r="927">
      <c r="A927" s="237"/>
      <c r="B927" s="130"/>
      <c r="C927" s="130"/>
      <c r="D927" s="130"/>
      <c r="E927" s="199"/>
      <c r="F927" s="130"/>
      <c r="G927" s="130"/>
      <c r="H927" s="130"/>
      <c r="I927" s="130"/>
      <c r="J927" s="130"/>
      <c r="K927" s="130"/>
      <c r="L927" s="130"/>
      <c r="M927" s="131"/>
      <c r="N927" s="132"/>
      <c r="O927" s="133"/>
      <c r="P927" s="238"/>
      <c r="Q927" s="190"/>
      <c r="R927" s="239"/>
      <c r="S927" s="190"/>
      <c r="T927" s="240"/>
      <c r="U927" s="241"/>
      <c r="V927" s="190"/>
      <c r="W927" s="190"/>
      <c r="X927" s="190"/>
      <c r="Y927" s="56"/>
    </row>
    <row r="928">
      <c r="A928" s="237"/>
      <c r="B928" s="130"/>
      <c r="C928" s="130"/>
      <c r="D928" s="130"/>
      <c r="E928" s="199"/>
      <c r="F928" s="130"/>
      <c r="G928" s="130"/>
      <c r="H928" s="130"/>
      <c r="I928" s="130"/>
      <c r="J928" s="130"/>
      <c r="K928" s="130"/>
      <c r="L928" s="130"/>
      <c r="M928" s="131"/>
      <c r="N928" s="132"/>
      <c r="O928" s="133"/>
      <c r="P928" s="238"/>
      <c r="Q928" s="190"/>
      <c r="R928" s="239"/>
      <c r="S928" s="190"/>
      <c r="T928" s="240"/>
      <c r="U928" s="241"/>
      <c r="V928" s="190"/>
      <c r="W928" s="190"/>
      <c r="X928" s="190"/>
      <c r="Y928" s="56"/>
    </row>
    <row r="929">
      <c r="A929" s="237"/>
      <c r="B929" s="130"/>
      <c r="C929" s="130"/>
      <c r="D929" s="130"/>
      <c r="E929" s="199"/>
      <c r="F929" s="130"/>
      <c r="G929" s="130"/>
      <c r="H929" s="130"/>
      <c r="I929" s="130"/>
      <c r="J929" s="130"/>
      <c r="K929" s="130"/>
      <c r="L929" s="130"/>
      <c r="M929" s="131"/>
      <c r="N929" s="132"/>
      <c r="O929" s="133"/>
      <c r="P929" s="238"/>
      <c r="Q929" s="190"/>
      <c r="R929" s="239"/>
      <c r="S929" s="190"/>
      <c r="T929" s="240"/>
      <c r="U929" s="241"/>
      <c r="V929" s="190"/>
      <c r="W929" s="190"/>
      <c r="X929" s="190"/>
      <c r="Y929" s="56"/>
    </row>
    <row r="930">
      <c r="A930" s="237"/>
      <c r="B930" s="130"/>
      <c r="C930" s="130"/>
      <c r="D930" s="130"/>
      <c r="E930" s="199"/>
      <c r="F930" s="130"/>
      <c r="G930" s="130"/>
      <c r="H930" s="130"/>
      <c r="I930" s="130"/>
      <c r="J930" s="130"/>
      <c r="K930" s="130"/>
      <c r="L930" s="130"/>
      <c r="M930" s="131"/>
      <c r="N930" s="132"/>
      <c r="O930" s="133"/>
      <c r="P930" s="238"/>
      <c r="Q930" s="190"/>
      <c r="R930" s="239"/>
      <c r="S930" s="190"/>
      <c r="T930" s="240"/>
      <c r="U930" s="241"/>
      <c r="V930" s="190"/>
      <c r="W930" s="190"/>
      <c r="X930" s="190"/>
      <c r="Y930" s="56"/>
    </row>
    <row r="931">
      <c r="A931" s="237"/>
      <c r="B931" s="130"/>
      <c r="C931" s="130"/>
      <c r="D931" s="130"/>
      <c r="E931" s="199"/>
      <c r="F931" s="130"/>
      <c r="G931" s="130"/>
      <c r="H931" s="130"/>
      <c r="I931" s="130"/>
      <c r="J931" s="130"/>
      <c r="K931" s="130"/>
      <c r="L931" s="130"/>
      <c r="M931" s="131"/>
      <c r="N931" s="132"/>
      <c r="O931" s="133"/>
      <c r="P931" s="238"/>
      <c r="Q931" s="190"/>
      <c r="R931" s="239"/>
      <c r="S931" s="190"/>
      <c r="T931" s="240"/>
      <c r="U931" s="241"/>
      <c r="V931" s="190"/>
      <c r="W931" s="190"/>
      <c r="X931" s="190"/>
      <c r="Y931" s="56"/>
    </row>
    <row r="932">
      <c r="A932" s="237"/>
      <c r="B932" s="130"/>
      <c r="C932" s="130"/>
      <c r="D932" s="130"/>
      <c r="E932" s="199"/>
      <c r="F932" s="130"/>
      <c r="G932" s="130"/>
      <c r="H932" s="130"/>
      <c r="I932" s="130"/>
      <c r="J932" s="130"/>
      <c r="K932" s="130"/>
      <c r="L932" s="130"/>
      <c r="M932" s="131"/>
      <c r="N932" s="132"/>
      <c r="O932" s="133"/>
      <c r="P932" s="238"/>
      <c r="Q932" s="190"/>
      <c r="R932" s="239"/>
      <c r="S932" s="190"/>
      <c r="T932" s="240"/>
      <c r="U932" s="241"/>
      <c r="V932" s="190"/>
      <c r="W932" s="190"/>
      <c r="X932" s="190"/>
      <c r="Y932" s="56"/>
    </row>
    <row r="933">
      <c r="A933" s="237"/>
      <c r="B933" s="130"/>
      <c r="C933" s="130"/>
      <c r="D933" s="130"/>
      <c r="E933" s="199"/>
      <c r="F933" s="130"/>
      <c r="G933" s="130"/>
      <c r="H933" s="130"/>
      <c r="I933" s="130"/>
      <c r="J933" s="130"/>
      <c r="K933" s="130"/>
      <c r="L933" s="130"/>
      <c r="M933" s="131"/>
      <c r="N933" s="132"/>
      <c r="O933" s="133"/>
      <c r="P933" s="238"/>
      <c r="Q933" s="190"/>
      <c r="R933" s="239"/>
      <c r="S933" s="190"/>
      <c r="T933" s="240"/>
      <c r="U933" s="241"/>
      <c r="V933" s="190"/>
      <c r="W933" s="190"/>
      <c r="X933" s="190"/>
      <c r="Y933" s="56"/>
    </row>
    <row r="934">
      <c r="A934" s="237"/>
      <c r="B934" s="130"/>
      <c r="C934" s="130"/>
      <c r="D934" s="130"/>
      <c r="E934" s="199"/>
      <c r="F934" s="130"/>
      <c r="G934" s="130"/>
      <c r="H934" s="130"/>
      <c r="I934" s="130"/>
      <c r="J934" s="130"/>
      <c r="K934" s="130"/>
      <c r="L934" s="130"/>
      <c r="M934" s="131"/>
      <c r="N934" s="132"/>
      <c r="O934" s="133"/>
      <c r="P934" s="238"/>
      <c r="Q934" s="190"/>
      <c r="R934" s="239"/>
      <c r="S934" s="190"/>
      <c r="T934" s="240"/>
      <c r="U934" s="241"/>
      <c r="V934" s="190"/>
      <c r="W934" s="190"/>
      <c r="X934" s="190"/>
      <c r="Y934" s="56"/>
    </row>
    <row r="935">
      <c r="A935" s="237"/>
      <c r="B935" s="130"/>
      <c r="C935" s="130"/>
      <c r="D935" s="130"/>
      <c r="E935" s="199"/>
      <c r="F935" s="130"/>
      <c r="G935" s="130"/>
      <c r="H935" s="130"/>
      <c r="I935" s="130"/>
      <c r="J935" s="130"/>
      <c r="K935" s="130"/>
      <c r="L935" s="130"/>
      <c r="M935" s="131"/>
      <c r="N935" s="132"/>
      <c r="O935" s="133"/>
      <c r="P935" s="238"/>
      <c r="Q935" s="190"/>
      <c r="R935" s="239"/>
      <c r="S935" s="190"/>
      <c r="T935" s="240"/>
      <c r="U935" s="241"/>
      <c r="V935" s="190"/>
      <c r="W935" s="190"/>
      <c r="X935" s="190"/>
      <c r="Y935" s="56"/>
    </row>
    <row r="936">
      <c r="A936" s="237"/>
      <c r="B936" s="130"/>
      <c r="C936" s="130"/>
      <c r="D936" s="130"/>
      <c r="E936" s="199"/>
      <c r="F936" s="130"/>
      <c r="G936" s="130"/>
      <c r="H936" s="130"/>
      <c r="I936" s="130"/>
      <c r="J936" s="130"/>
      <c r="K936" s="130"/>
      <c r="L936" s="130"/>
      <c r="M936" s="131"/>
      <c r="N936" s="132"/>
      <c r="O936" s="133"/>
      <c r="P936" s="238"/>
      <c r="Q936" s="190"/>
      <c r="R936" s="239"/>
      <c r="S936" s="190"/>
      <c r="T936" s="240"/>
      <c r="U936" s="241"/>
      <c r="V936" s="190"/>
      <c r="W936" s="190"/>
      <c r="X936" s="190"/>
      <c r="Y936" s="56"/>
    </row>
    <row r="937">
      <c r="A937" s="237"/>
      <c r="B937" s="130"/>
      <c r="C937" s="130"/>
      <c r="D937" s="130"/>
      <c r="E937" s="199"/>
      <c r="F937" s="130"/>
      <c r="G937" s="130"/>
      <c r="H937" s="130"/>
      <c r="I937" s="130"/>
      <c r="J937" s="130"/>
      <c r="K937" s="130"/>
      <c r="L937" s="130"/>
      <c r="M937" s="131"/>
      <c r="N937" s="132"/>
      <c r="O937" s="133"/>
      <c r="P937" s="238"/>
      <c r="Q937" s="190"/>
      <c r="R937" s="239"/>
      <c r="S937" s="190"/>
      <c r="T937" s="240"/>
      <c r="U937" s="241"/>
      <c r="V937" s="190"/>
      <c r="W937" s="190"/>
      <c r="X937" s="190"/>
      <c r="Y937" s="56"/>
    </row>
    <row r="938">
      <c r="A938" s="237"/>
      <c r="B938" s="130"/>
      <c r="C938" s="130"/>
      <c r="D938" s="130"/>
      <c r="E938" s="199"/>
      <c r="F938" s="130"/>
      <c r="G938" s="130"/>
      <c r="H938" s="130"/>
      <c r="I938" s="130"/>
      <c r="J938" s="130"/>
      <c r="K938" s="130"/>
      <c r="L938" s="130"/>
      <c r="M938" s="131"/>
      <c r="N938" s="132"/>
      <c r="O938" s="133"/>
      <c r="P938" s="238"/>
      <c r="Q938" s="190"/>
      <c r="R938" s="239"/>
      <c r="S938" s="190"/>
      <c r="T938" s="240"/>
      <c r="U938" s="241"/>
      <c r="V938" s="190"/>
      <c r="W938" s="190"/>
      <c r="X938" s="190"/>
      <c r="Y938" s="56"/>
    </row>
    <row r="939">
      <c r="A939" s="237"/>
      <c r="B939" s="130"/>
      <c r="C939" s="130"/>
      <c r="D939" s="130"/>
      <c r="E939" s="199"/>
      <c r="F939" s="130"/>
      <c r="G939" s="130"/>
      <c r="H939" s="130"/>
      <c r="I939" s="130"/>
      <c r="J939" s="130"/>
      <c r="K939" s="130"/>
      <c r="L939" s="130"/>
      <c r="M939" s="131"/>
      <c r="N939" s="132"/>
      <c r="O939" s="133"/>
      <c r="P939" s="238"/>
      <c r="Q939" s="190"/>
      <c r="R939" s="239"/>
      <c r="S939" s="190"/>
      <c r="T939" s="240"/>
      <c r="U939" s="241"/>
      <c r="V939" s="190"/>
      <c r="W939" s="190"/>
      <c r="X939" s="190"/>
      <c r="Y939" s="56"/>
    </row>
    <row r="940">
      <c r="A940" s="237"/>
      <c r="B940" s="130"/>
      <c r="C940" s="130"/>
      <c r="D940" s="130"/>
      <c r="E940" s="199"/>
      <c r="F940" s="130"/>
      <c r="G940" s="130"/>
      <c r="H940" s="130"/>
      <c r="I940" s="130"/>
      <c r="J940" s="130"/>
      <c r="K940" s="130"/>
      <c r="L940" s="130"/>
      <c r="M940" s="131"/>
      <c r="N940" s="132"/>
      <c r="O940" s="133"/>
      <c r="P940" s="238"/>
      <c r="Q940" s="190"/>
      <c r="R940" s="239"/>
      <c r="S940" s="190"/>
      <c r="T940" s="240"/>
      <c r="U940" s="241"/>
      <c r="V940" s="190"/>
      <c r="W940" s="190"/>
      <c r="X940" s="190"/>
      <c r="Y940" s="56"/>
    </row>
    <row r="941">
      <c r="A941" s="237"/>
      <c r="B941" s="130"/>
      <c r="C941" s="130"/>
      <c r="D941" s="130"/>
      <c r="E941" s="199"/>
      <c r="F941" s="130"/>
      <c r="G941" s="130"/>
      <c r="H941" s="130"/>
      <c r="I941" s="130"/>
      <c r="J941" s="130"/>
      <c r="K941" s="130"/>
      <c r="L941" s="130"/>
      <c r="M941" s="131"/>
      <c r="N941" s="132"/>
      <c r="O941" s="133"/>
      <c r="P941" s="238"/>
      <c r="Q941" s="190"/>
      <c r="R941" s="239"/>
      <c r="S941" s="190"/>
      <c r="T941" s="240"/>
      <c r="U941" s="241"/>
      <c r="V941" s="190"/>
      <c r="W941" s="190"/>
      <c r="X941" s="190"/>
      <c r="Y941" s="56"/>
    </row>
    <row r="942">
      <c r="A942" s="237"/>
      <c r="B942" s="130"/>
      <c r="C942" s="130"/>
      <c r="D942" s="130"/>
      <c r="E942" s="199"/>
      <c r="F942" s="130"/>
      <c r="G942" s="130"/>
      <c r="H942" s="130"/>
      <c r="I942" s="130"/>
      <c r="J942" s="130"/>
      <c r="K942" s="130"/>
      <c r="L942" s="130"/>
      <c r="M942" s="131"/>
      <c r="N942" s="132"/>
      <c r="O942" s="133"/>
      <c r="P942" s="238"/>
      <c r="Q942" s="190"/>
      <c r="R942" s="239"/>
      <c r="S942" s="190"/>
      <c r="T942" s="240"/>
      <c r="U942" s="241"/>
      <c r="V942" s="190"/>
      <c r="W942" s="190"/>
      <c r="X942" s="190"/>
      <c r="Y942" s="56"/>
    </row>
    <row r="943">
      <c r="A943" s="237"/>
      <c r="B943" s="130"/>
      <c r="C943" s="130"/>
      <c r="D943" s="130"/>
      <c r="E943" s="199"/>
      <c r="F943" s="130"/>
      <c r="G943" s="130"/>
      <c r="H943" s="130"/>
      <c r="I943" s="130"/>
      <c r="J943" s="130"/>
      <c r="K943" s="130"/>
      <c r="L943" s="130"/>
      <c r="M943" s="131"/>
      <c r="N943" s="132"/>
      <c r="O943" s="133"/>
      <c r="P943" s="238"/>
      <c r="Q943" s="190"/>
      <c r="R943" s="239"/>
      <c r="S943" s="190"/>
      <c r="T943" s="240"/>
      <c r="U943" s="241"/>
      <c r="V943" s="190"/>
      <c r="W943" s="190"/>
      <c r="X943" s="190"/>
      <c r="Y943" s="56"/>
    </row>
    <row r="944">
      <c r="A944" s="237"/>
      <c r="B944" s="130"/>
      <c r="C944" s="130"/>
      <c r="D944" s="130"/>
      <c r="E944" s="199"/>
      <c r="F944" s="130"/>
      <c r="G944" s="130"/>
      <c r="H944" s="130"/>
      <c r="I944" s="130"/>
      <c r="J944" s="130"/>
      <c r="K944" s="130"/>
      <c r="L944" s="130"/>
      <c r="M944" s="131"/>
      <c r="N944" s="132"/>
      <c r="O944" s="133"/>
      <c r="P944" s="238"/>
      <c r="Q944" s="190"/>
      <c r="R944" s="239"/>
      <c r="S944" s="190"/>
      <c r="T944" s="240"/>
      <c r="U944" s="241"/>
      <c r="V944" s="190"/>
      <c r="W944" s="190"/>
      <c r="X944" s="190"/>
      <c r="Y944" s="56"/>
    </row>
    <row r="945">
      <c r="A945" s="237"/>
      <c r="B945" s="130"/>
      <c r="C945" s="130"/>
      <c r="D945" s="130"/>
      <c r="E945" s="199"/>
      <c r="F945" s="130"/>
      <c r="G945" s="130"/>
      <c r="H945" s="130"/>
      <c r="I945" s="130"/>
      <c r="J945" s="130"/>
      <c r="K945" s="130"/>
      <c r="L945" s="130"/>
      <c r="M945" s="131"/>
      <c r="N945" s="132"/>
      <c r="O945" s="133"/>
      <c r="P945" s="238"/>
      <c r="Q945" s="190"/>
      <c r="R945" s="239"/>
      <c r="S945" s="190"/>
      <c r="T945" s="240"/>
      <c r="U945" s="241"/>
      <c r="V945" s="190"/>
      <c r="W945" s="190"/>
      <c r="X945" s="190"/>
      <c r="Y945" s="56"/>
    </row>
    <row r="946">
      <c r="A946" s="237"/>
      <c r="B946" s="130"/>
      <c r="C946" s="130"/>
      <c r="D946" s="130"/>
      <c r="E946" s="199"/>
      <c r="F946" s="130"/>
      <c r="G946" s="130"/>
      <c r="H946" s="130"/>
      <c r="I946" s="130"/>
      <c r="J946" s="130"/>
      <c r="K946" s="130"/>
      <c r="L946" s="130"/>
      <c r="M946" s="131"/>
      <c r="N946" s="132"/>
      <c r="O946" s="133"/>
      <c r="P946" s="238"/>
      <c r="Q946" s="190"/>
      <c r="R946" s="239"/>
      <c r="S946" s="190"/>
      <c r="T946" s="240"/>
      <c r="U946" s="241"/>
      <c r="V946" s="190"/>
      <c r="W946" s="190"/>
      <c r="X946" s="190"/>
      <c r="Y946" s="56"/>
    </row>
    <row r="947">
      <c r="A947" s="237"/>
      <c r="B947" s="130"/>
      <c r="C947" s="130"/>
      <c r="D947" s="130"/>
      <c r="E947" s="199"/>
      <c r="F947" s="130"/>
      <c r="G947" s="130"/>
      <c r="H947" s="130"/>
      <c r="I947" s="130"/>
      <c r="J947" s="130"/>
      <c r="K947" s="130"/>
      <c r="L947" s="130"/>
      <c r="M947" s="131"/>
      <c r="N947" s="132"/>
      <c r="O947" s="133"/>
      <c r="P947" s="238"/>
      <c r="Q947" s="190"/>
      <c r="R947" s="239"/>
      <c r="S947" s="190"/>
      <c r="T947" s="240"/>
      <c r="U947" s="241"/>
      <c r="V947" s="190"/>
      <c r="W947" s="190"/>
      <c r="X947" s="190"/>
      <c r="Y947" s="56"/>
    </row>
    <row r="948">
      <c r="A948" s="237"/>
      <c r="B948" s="130"/>
      <c r="C948" s="130"/>
      <c r="D948" s="130"/>
      <c r="E948" s="199"/>
      <c r="F948" s="130"/>
      <c r="G948" s="130"/>
      <c r="H948" s="130"/>
      <c r="I948" s="130"/>
      <c r="J948" s="130"/>
      <c r="K948" s="130"/>
      <c r="L948" s="130"/>
      <c r="M948" s="131"/>
      <c r="N948" s="132"/>
      <c r="O948" s="133"/>
      <c r="P948" s="238"/>
      <c r="Q948" s="190"/>
      <c r="R948" s="239"/>
      <c r="S948" s="190"/>
      <c r="T948" s="240"/>
      <c r="U948" s="241"/>
      <c r="V948" s="190"/>
      <c r="W948" s="190"/>
      <c r="X948" s="190"/>
      <c r="Y948" s="56"/>
    </row>
    <row r="949">
      <c r="A949" s="237"/>
      <c r="B949" s="130"/>
      <c r="C949" s="130"/>
      <c r="D949" s="130"/>
      <c r="E949" s="199"/>
      <c r="F949" s="130"/>
      <c r="G949" s="130"/>
      <c r="H949" s="130"/>
      <c r="I949" s="130"/>
      <c r="J949" s="130"/>
      <c r="K949" s="130"/>
      <c r="L949" s="130"/>
      <c r="M949" s="131"/>
      <c r="N949" s="132"/>
      <c r="O949" s="133"/>
      <c r="P949" s="238"/>
      <c r="Q949" s="190"/>
      <c r="R949" s="239"/>
      <c r="S949" s="190"/>
      <c r="T949" s="240"/>
      <c r="U949" s="241"/>
      <c r="V949" s="190"/>
      <c r="W949" s="190"/>
      <c r="X949" s="190"/>
      <c r="Y949" s="56"/>
    </row>
    <row r="950">
      <c r="A950" s="237"/>
      <c r="B950" s="130"/>
      <c r="C950" s="130"/>
      <c r="D950" s="130"/>
      <c r="E950" s="199"/>
      <c r="F950" s="130"/>
      <c r="G950" s="130"/>
      <c r="H950" s="130"/>
      <c r="I950" s="130"/>
      <c r="J950" s="130"/>
      <c r="K950" s="130"/>
      <c r="L950" s="130"/>
      <c r="M950" s="131"/>
      <c r="N950" s="132"/>
      <c r="O950" s="133"/>
      <c r="P950" s="238"/>
      <c r="Q950" s="190"/>
      <c r="R950" s="239"/>
      <c r="S950" s="190"/>
      <c r="T950" s="240"/>
      <c r="U950" s="241"/>
      <c r="V950" s="190"/>
      <c r="W950" s="190"/>
      <c r="X950" s="190"/>
      <c r="Y950" s="56"/>
    </row>
    <row r="951">
      <c r="A951" s="237"/>
      <c r="B951" s="130"/>
      <c r="C951" s="130"/>
      <c r="D951" s="130"/>
      <c r="E951" s="199"/>
      <c r="F951" s="130"/>
      <c r="G951" s="130"/>
      <c r="H951" s="130"/>
      <c r="I951" s="130"/>
      <c r="J951" s="130"/>
      <c r="K951" s="130"/>
      <c r="L951" s="130"/>
      <c r="M951" s="131"/>
      <c r="N951" s="132"/>
      <c r="O951" s="133"/>
      <c r="P951" s="238"/>
      <c r="Q951" s="190"/>
      <c r="R951" s="239"/>
      <c r="S951" s="190"/>
      <c r="T951" s="240"/>
      <c r="U951" s="241"/>
      <c r="V951" s="190"/>
      <c r="W951" s="190"/>
      <c r="X951" s="190"/>
      <c r="Y951" s="56"/>
    </row>
    <row r="952">
      <c r="A952" s="237"/>
      <c r="B952" s="130"/>
      <c r="C952" s="130"/>
      <c r="D952" s="130"/>
      <c r="E952" s="199"/>
      <c r="F952" s="130"/>
      <c r="G952" s="130"/>
      <c r="H952" s="130"/>
      <c r="I952" s="130"/>
      <c r="J952" s="130"/>
      <c r="K952" s="130"/>
      <c r="L952" s="130"/>
      <c r="M952" s="131"/>
      <c r="N952" s="132"/>
      <c r="O952" s="133"/>
      <c r="P952" s="238"/>
      <c r="Q952" s="190"/>
      <c r="R952" s="239"/>
      <c r="S952" s="190"/>
      <c r="T952" s="240"/>
      <c r="U952" s="241"/>
      <c r="V952" s="190"/>
      <c r="W952" s="190"/>
      <c r="X952" s="190"/>
      <c r="Y952" s="56"/>
    </row>
    <row r="953">
      <c r="A953" s="237"/>
      <c r="B953" s="130"/>
      <c r="C953" s="130"/>
      <c r="D953" s="130"/>
      <c r="E953" s="199"/>
      <c r="F953" s="130"/>
      <c r="G953" s="130"/>
      <c r="H953" s="130"/>
      <c r="I953" s="130"/>
      <c r="J953" s="130"/>
      <c r="K953" s="130"/>
      <c r="L953" s="130"/>
      <c r="M953" s="131"/>
      <c r="N953" s="132"/>
      <c r="O953" s="133"/>
      <c r="P953" s="238"/>
      <c r="Q953" s="190"/>
      <c r="R953" s="239"/>
      <c r="S953" s="190"/>
      <c r="T953" s="240"/>
      <c r="U953" s="241"/>
      <c r="V953" s="190"/>
      <c r="W953" s="190"/>
      <c r="X953" s="190"/>
      <c r="Y953" s="56"/>
    </row>
    <row r="954">
      <c r="A954" s="237"/>
      <c r="B954" s="130"/>
      <c r="C954" s="130"/>
      <c r="D954" s="130"/>
      <c r="E954" s="199"/>
      <c r="F954" s="130"/>
      <c r="G954" s="130"/>
      <c r="H954" s="130"/>
      <c r="I954" s="130"/>
      <c r="J954" s="130"/>
      <c r="K954" s="130"/>
      <c r="L954" s="130"/>
      <c r="M954" s="131"/>
      <c r="N954" s="132"/>
      <c r="O954" s="133"/>
      <c r="P954" s="238"/>
      <c r="Q954" s="190"/>
      <c r="R954" s="239"/>
      <c r="S954" s="190"/>
      <c r="T954" s="240"/>
      <c r="U954" s="241"/>
      <c r="V954" s="190"/>
      <c r="W954" s="190"/>
      <c r="X954" s="190"/>
      <c r="Y954" s="56"/>
    </row>
    <row r="955">
      <c r="A955" s="237"/>
      <c r="B955" s="130"/>
      <c r="C955" s="130"/>
      <c r="D955" s="130"/>
      <c r="E955" s="199"/>
      <c r="F955" s="130"/>
      <c r="G955" s="130"/>
      <c r="H955" s="130"/>
      <c r="I955" s="130"/>
      <c r="J955" s="130"/>
      <c r="K955" s="130"/>
      <c r="L955" s="130"/>
      <c r="M955" s="131"/>
      <c r="N955" s="132"/>
      <c r="O955" s="133"/>
      <c r="P955" s="238"/>
      <c r="Q955" s="190"/>
      <c r="R955" s="239"/>
      <c r="S955" s="190"/>
      <c r="T955" s="240"/>
      <c r="U955" s="241"/>
      <c r="V955" s="190"/>
      <c r="W955" s="190"/>
      <c r="X955" s="190"/>
      <c r="Y955" s="56"/>
    </row>
    <row r="956">
      <c r="A956" s="237"/>
      <c r="B956" s="130"/>
      <c r="C956" s="130"/>
      <c r="D956" s="130"/>
      <c r="E956" s="199"/>
      <c r="F956" s="130"/>
      <c r="G956" s="130"/>
      <c r="H956" s="130"/>
      <c r="I956" s="130"/>
      <c r="J956" s="130"/>
      <c r="K956" s="130"/>
      <c r="L956" s="130"/>
      <c r="M956" s="131"/>
      <c r="N956" s="132"/>
      <c r="O956" s="133"/>
      <c r="P956" s="238"/>
      <c r="Q956" s="190"/>
      <c r="R956" s="239"/>
      <c r="S956" s="190"/>
      <c r="T956" s="240"/>
      <c r="U956" s="241"/>
      <c r="V956" s="190"/>
      <c r="W956" s="190"/>
      <c r="X956" s="190"/>
      <c r="Y956" s="56"/>
    </row>
    <row r="957">
      <c r="A957" s="237"/>
      <c r="B957" s="130"/>
      <c r="C957" s="130"/>
      <c r="D957" s="130"/>
      <c r="E957" s="199"/>
      <c r="F957" s="130"/>
      <c r="G957" s="130"/>
      <c r="H957" s="130"/>
      <c r="I957" s="130"/>
      <c r="J957" s="130"/>
      <c r="K957" s="130"/>
      <c r="L957" s="130"/>
      <c r="M957" s="131"/>
      <c r="N957" s="132"/>
      <c r="O957" s="133"/>
      <c r="P957" s="238"/>
      <c r="Q957" s="190"/>
      <c r="R957" s="239"/>
      <c r="S957" s="190"/>
      <c r="T957" s="240"/>
      <c r="U957" s="241"/>
      <c r="V957" s="190"/>
      <c r="W957" s="190"/>
      <c r="X957" s="190"/>
      <c r="Y957" s="56"/>
    </row>
    <row r="958">
      <c r="A958" s="237"/>
      <c r="B958" s="130"/>
      <c r="C958" s="130"/>
      <c r="D958" s="130"/>
      <c r="E958" s="199"/>
      <c r="F958" s="130"/>
      <c r="G958" s="130"/>
      <c r="H958" s="130"/>
      <c r="I958" s="130"/>
      <c r="J958" s="130"/>
      <c r="K958" s="130"/>
      <c r="L958" s="130"/>
      <c r="M958" s="131"/>
      <c r="N958" s="132"/>
      <c r="O958" s="133"/>
      <c r="P958" s="238"/>
      <c r="Q958" s="190"/>
      <c r="R958" s="239"/>
      <c r="S958" s="190"/>
      <c r="T958" s="240"/>
      <c r="U958" s="241"/>
      <c r="V958" s="190"/>
      <c r="W958" s="190"/>
      <c r="X958" s="190"/>
      <c r="Y958" s="56"/>
    </row>
    <row r="959">
      <c r="A959" s="237"/>
      <c r="B959" s="130"/>
      <c r="C959" s="130"/>
      <c r="D959" s="130"/>
      <c r="E959" s="199"/>
      <c r="F959" s="130"/>
      <c r="G959" s="130"/>
      <c r="H959" s="130"/>
      <c r="I959" s="130"/>
      <c r="J959" s="130"/>
      <c r="K959" s="130"/>
      <c r="L959" s="130"/>
      <c r="M959" s="131"/>
      <c r="N959" s="132"/>
      <c r="O959" s="133"/>
      <c r="P959" s="238"/>
      <c r="Q959" s="190"/>
      <c r="R959" s="239"/>
      <c r="S959" s="190"/>
      <c r="T959" s="240"/>
      <c r="U959" s="241"/>
      <c r="V959" s="190"/>
      <c r="W959" s="190"/>
      <c r="X959" s="190"/>
      <c r="Y959" s="56"/>
    </row>
    <row r="960">
      <c r="A960" s="237"/>
      <c r="B960" s="130"/>
      <c r="C960" s="130"/>
      <c r="D960" s="130"/>
      <c r="E960" s="199"/>
      <c r="F960" s="130"/>
      <c r="G960" s="130"/>
      <c r="H960" s="130"/>
      <c r="I960" s="130"/>
      <c r="J960" s="130"/>
      <c r="K960" s="130"/>
      <c r="L960" s="130"/>
      <c r="M960" s="131"/>
      <c r="N960" s="132"/>
      <c r="O960" s="133"/>
      <c r="P960" s="238"/>
      <c r="Q960" s="190"/>
      <c r="R960" s="239"/>
      <c r="S960" s="190"/>
      <c r="T960" s="240"/>
      <c r="U960" s="241"/>
      <c r="V960" s="190"/>
      <c r="W960" s="190"/>
      <c r="X960" s="190"/>
      <c r="Y960" s="56"/>
    </row>
    <row r="961">
      <c r="A961" s="237"/>
      <c r="B961" s="130"/>
      <c r="C961" s="130"/>
      <c r="D961" s="130"/>
      <c r="E961" s="199"/>
      <c r="F961" s="130"/>
      <c r="G961" s="130"/>
      <c r="H961" s="130"/>
      <c r="I961" s="130"/>
      <c r="J961" s="130"/>
      <c r="K961" s="130"/>
      <c r="L961" s="130"/>
      <c r="M961" s="131"/>
      <c r="N961" s="132"/>
      <c r="O961" s="133"/>
      <c r="P961" s="238"/>
      <c r="Q961" s="190"/>
      <c r="R961" s="239"/>
      <c r="S961" s="190"/>
      <c r="T961" s="240"/>
      <c r="U961" s="241"/>
      <c r="V961" s="190"/>
      <c r="W961" s="190"/>
      <c r="X961" s="190"/>
      <c r="Y961" s="56"/>
    </row>
    <row r="962">
      <c r="A962" s="237"/>
      <c r="B962" s="130"/>
      <c r="C962" s="130"/>
      <c r="D962" s="130"/>
      <c r="E962" s="199"/>
      <c r="F962" s="130"/>
      <c r="G962" s="130"/>
      <c r="H962" s="130"/>
      <c r="I962" s="130"/>
      <c r="J962" s="130"/>
      <c r="K962" s="130"/>
      <c r="L962" s="130"/>
      <c r="M962" s="131"/>
      <c r="N962" s="132"/>
      <c r="O962" s="133"/>
      <c r="P962" s="238"/>
      <c r="Q962" s="190"/>
      <c r="R962" s="239"/>
      <c r="S962" s="190"/>
      <c r="T962" s="240"/>
      <c r="U962" s="241"/>
      <c r="V962" s="190"/>
      <c r="W962" s="190"/>
      <c r="X962" s="190"/>
      <c r="Y962" s="56"/>
    </row>
    <row r="963">
      <c r="A963" s="237"/>
      <c r="B963" s="130"/>
      <c r="C963" s="130"/>
      <c r="D963" s="130"/>
      <c r="E963" s="199"/>
      <c r="F963" s="130"/>
      <c r="G963" s="130"/>
      <c r="H963" s="130"/>
      <c r="I963" s="130"/>
      <c r="J963" s="130"/>
      <c r="K963" s="130"/>
      <c r="L963" s="130"/>
      <c r="M963" s="131"/>
      <c r="N963" s="132"/>
      <c r="O963" s="133"/>
      <c r="P963" s="238"/>
      <c r="Q963" s="190"/>
      <c r="R963" s="239"/>
      <c r="S963" s="190"/>
      <c r="T963" s="240"/>
      <c r="U963" s="241"/>
      <c r="V963" s="190"/>
      <c r="W963" s="190"/>
      <c r="X963" s="190"/>
      <c r="Y963" s="56"/>
    </row>
    <row r="964">
      <c r="A964" s="237"/>
      <c r="B964" s="130"/>
      <c r="C964" s="130"/>
      <c r="D964" s="130"/>
      <c r="E964" s="199"/>
      <c r="F964" s="130"/>
      <c r="G964" s="130"/>
      <c r="H964" s="130"/>
      <c r="I964" s="130"/>
      <c r="J964" s="130"/>
      <c r="K964" s="130"/>
      <c r="L964" s="130"/>
      <c r="M964" s="131"/>
      <c r="N964" s="132"/>
      <c r="O964" s="133"/>
      <c r="P964" s="238"/>
      <c r="Q964" s="190"/>
      <c r="R964" s="239"/>
      <c r="S964" s="190"/>
      <c r="T964" s="240"/>
      <c r="U964" s="241"/>
      <c r="V964" s="190"/>
      <c r="W964" s="190"/>
      <c r="X964" s="190"/>
      <c r="Y964" s="56"/>
    </row>
    <row r="965">
      <c r="A965" s="237"/>
      <c r="B965" s="130"/>
      <c r="C965" s="130"/>
      <c r="D965" s="130"/>
      <c r="E965" s="199"/>
      <c r="F965" s="130"/>
      <c r="G965" s="130"/>
      <c r="H965" s="130"/>
      <c r="I965" s="130"/>
      <c r="J965" s="130"/>
      <c r="K965" s="130"/>
      <c r="L965" s="130"/>
      <c r="M965" s="131"/>
      <c r="N965" s="132"/>
      <c r="O965" s="133"/>
      <c r="P965" s="238"/>
      <c r="Q965" s="190"/>
      <c r="R965" s="239"/>
      <c r="S965" s="190"/>
      <c r="T965" s="240"/>
      <c r="U965" s="241"/>
      <c r="V965" s="190"/>
      <c r="W965" s="190"/>
      <c r="X965" s="190"/>
      <c r="Y965" s="56"/>
    </row>
    <row r="966">
      <c r="A966" s="237"/>
      <c r="B966" s="130"/>
      <c r="C966" s="130"/>
      <c r="D966" s="130"/>
      <c r="E966" s="199"/>
      <c r="F966" s="130"/>
      <c r="G966" s="130"/>
      <c r="H966" s="130"/>
      <c r="I966" s="130"/>
      <c r="J966" s="130"/>
      <c r="K966" s="130"/>
      <c r="L966" s="130"/>
      <c r="M966" s="131"/>
      <c r="N966" s="132"/>
      <c r="O966" s="133"/>
      <c r="P966" s="238"/>
      <c r="Q966" s="190"/>
      <c r="R966" s="239"/>
      <c r="S966" s="190"/>
      <c r="T966" s="240"/>
      <c r="U966" s="241"/>
      <c r="V966" s="190"/>
      <c r="W966" s="190"/>
      <c r="X966" s="190"/>
      <c r="Y966" s="56"/>
    </row>
    <row r="967">
      <c r="A967" s="237"/>
      <c r="B967" s="130"/>
      <c r="C967" s="130"/>
      <c r="D967" s="130"/>
      <c r="E967" s="199"/>
      <c r="F967" s="130"/>
      <c r="G967" s="130"/>
      <c r="H967" s="130"/>
      <c r="I967" s="130"/>
      <c r="J967" s="130"/>
      <c r="K967" s="130"/>
      <c r="L967" s="130"/>
      <c r="M967" s="131"/>
      <c r="N967" s="132"/>
      <c r="O967" s="133"/>
      <c r="P967" s="238"/>
      <c r="Q967" s="190"/>
      <c r="R967" s="239"/>
      <c r="S967" s="190"/>
      <c r="T967" s="240"/>
      <c r="U967" s="241"/>
      <c r="V967" s="190"/>
      <c r="W967" s="190"/>
      <c r="X967" s="190"/>
      <c r="Y967" s="56"/>
    </row>
    <row r="968">
      <c r="A968" s="237"/>
      <c r="B968" s="130"/>
      <c r="C968" s="130"/>
      <c r="D968" s="130"/>
      <c r="E968" s="199"/>
      <c r="F968" s="130"/>
      <c r="G968" s="130"/>
      <c r="H968" s="130"/>
      <c r="I968" s="130"/>
      <c r="J968" s="130"/>
      <c r="K968" s="130"/>
      <c r="L968" s="130"/>
      <c r="M968" s="131"/>
      <c r="N968" s="132"/>
      <c r="O968" s="133"/>
      <c r="P968" s="238"/>
      <c r="Q968" s="190"/>
      <c r="R968" s="239"/>
      <c r="S968" s="190"/>
      <c r="T968" s="240"/>
      <c r="U968" s="241"/>
      <c r="V968" s="190"/>
      <c r="W968" s="190"/>
      <c r="X968" s="190"/>
      <c r="Y968" s="56"/>
    </row>
    <row r="969">
      <c r="A969" s="237"/>
      <c r="B969" s="130"/>
      <c r="C969" s="130"/>
      <c r="D969" s="130"/>
      <c r="E969" s="199"/>
      <c r="F969" s="130"/>
      <c r="G969" s="130"/>
      <c r="H969" s="130"/>
      <c r="I969" s="130"/>
      <c r="J969" s="130"/>
      <c r="K969" s="130"/>
      <c r="L969" s="130"/>
      <c r="M969" s="131"/>
      <c r="N969" s="132"/>
      <c r="O969" s="133"/>
      <c r="P969" s="238"/>
      <c r="Q969" s="190"/>
      <c r="R969" s="239"/>
      <c r="S969" s="190"/>
      <c r="T969" s="240"/>
      <c r="U969" s="241"/>
      <c r="V969" s="190"/>
      <c r="W969" s="190"/>
      <c r="X969" s="190"/>
      <c r="Y969" s="56"/>
    </row>
    <row r="970">
      <c r="A970" s="237"/>
      <c r="B970" s="130"/>
      <c r="C970" s="130"/>
      <c r="D970" s="130"/>
      <c r="E970" s="199"/>
      <c r="F970" s="130"/>
      <c r="G970" s="130"/>
      <c r="H970" s="130"/>
      <c r="I970" s="130"/>
      <c r="J970" s="130"/>
      <c r="K970" s="130"/>
      <c r="L970" s="130"/>
      <c r="M970" s="131"/>
      <c r="N970" s="132"/>
      <c r="O970" s="133"/>
      <c r="P970" s="238"/>
      <c r="Q970" s="190"/>
      <c r="R970" s="239"/>
      <c r="S970" s="190"/>
      <c r="T970" s="240"/>
      <c r="U970" s="241"/>
      <c r="V970" s="190"/>
      <c r="W970" s="190"/>
      <c r="X970" s="190"/>
      <c r="Y970" s="56"/>
    </row>
    <row r="971">
      <c r="A971" s="237"/>
      <c r="B971" s="130"/>
      <c r="C971" s="130"/>
      <c r="D971" s="130"/>
      <c r="E971" s="199"/>
      <c r="F971" s="130"/>
      <c r="G971" s="130"/>
      <c r="H971" s="130"/>
      <c r="I971" s="130"/>
      <c r="J971" s="130"/>
      <c r="K971" s="130"/>
      <c r="L971" s="130"/>
      <c r="M971" s="131"/>
      <c r="N971" s="132"/>
      <c r="O971" s="133"/>
      <c r="P971" s="238"/>
      <c r="Q971" s="190"/>
      <c r="R971" s="239"/>
      <c r="S971" s="190"/>
      <c r="T971" s="240"/>
      <c r="U971" s="241"/>
      <c r="V971" s="190"/>
      <c r="W971" s="190"/>
      <c r="X971" s="190"/>
      <c r="Y971" s="56"/>
    </row>
    <row r="972">
      <c r="A972" s="237"/>
      <c r="B972" s="130"/>
      <c r="C972" s="130"/>
      <c r="D972" s="130"/>
      <c r="E972" s="199"/>
      <c r="F972" s="130"/>
      <c r="G972" s="130"/>
      <c r="H972" s="130"/>
      <c r="I972" s="130"/>
      <c r="J972" s="130"/>
      <c r="K972" s="130"/>
      <c r="L972" s="130"/>
      <c r="M972" s="131"/>
      <c r="N972" s="132"/>
      <c r="O972" s="133"/>
      <c r="P972" s="238"/>
      <c r="Q972" s="190"/>
      <c r="R972" s="239"/>
      <c r="S972" s="190"/>
      <c r="T972" s="240"/>
      <c r="U972" s="241"/>
      <c r="V972" s="190"/>
      <c r="W972" s="190"/>
      <c r="X972" s="190"/>
      <c r="Y972" s="56"/>
    </row>
    <row r="973">
      <c r="A973" s="237"/>
      <c r="B973" s="130"/>
      <c r="C973" s="130"/>
      <c r="D973" s="130"/>
      <c r="E973" s="199"/>
      <c r="F973" s="130"/>
      <c r="G973" s="130"/>
      <c r="H973" s="130"/>
      <c r="I973" s="130"/>
      <c r="J973" s="130"/>
      <c r="K973" s="130"/>
      <c r="L973" s="130"/>
      <c r="M973" s="131"/>
      <c r="N973" s="132"/>
      <c r="O973" s="133"/>
      <c r="P973" s="238"/>
      <c r="Q973" s="190"/>
      <c r="R973" s="239"/>
      <c r="S973" s="190"/>
      <c r="T973" s="240"/>
      <c r="U973" s="241"/>
      <c r="V973" s="190"/>
      <c r="W973" s="190"/>
      <c r="X973" s="190"/>
      <c r="Y973" s="56"/>
    </row>
    <row r="974">
      <c r="A974" s="237"/>
      <c r="B974" s="130"/>
      <c r="C974" s="130"/>
      <c r="D974" s="130"/>
      <c r="E974" s="199"/>
      <c r="F974" s="130"/>
      <c r="G974" s="130"/>
      <c r="H974" s="130"/>
      <c r="I974" s="130"/>
      <c r="J974" s="130"/>
      <c r="K974" s="130"/>
      <c r="L974" s="130"/>
      <c r="M974" s="131"/>
      <c r="N974" s="132"/>
      <c r="O974" s="133"/>
      <c r="P974" s="238"/>
      <c r="Q974" s="190"/>
      <c r="R974" s="239"/>
      <c r="S974" s="190"/>
      <c r="T974" s="240"/>
      <c r="U974" s="241"/>
      <c r="V974" s="190"/>
      <c r="W974" s="190"/>
      <c r="X974" s="190"/>
      <c r="Y974" s="56"/>
    </row>
    <row r="975">
      <c r="A975" s="237"/>
      <c r="B975" s="130"/>
      <c r="C975" s="130"/>
      <c r="D975" s="130"/>
      <c r="E975" s="199"/>
      <c r="F975" s="130"/>
      <c r="G975" s="130"/>
      <c r="H975" s="130"/>
      <c r="I975" s="130"/>
      <c r="J975" s="130"/>
      <c r="K975" s="130"/>
      <c r="L975" s="130"/>
      <c r="M975" s="131"/>
      <c r="N975" s="132"/>
      <c r="O975" s="133"/>
      <c r="P975" s="238"/>
      <c r="Q975" s="190"/>
      <c r="R975" s="239"/>
      <c r="S975" s="190"/>
      <c r="T975" s="240"/>
      <c r="U975" s="241"/>
      <c r="V975" s="190"/>
      <c r="W975" s="190"/>
      <c r="X975" s="190"/>
      <c r="Y975" s="56"/>
    </row>
    <row r="976">
      <c r="A976" s="237"/>
      <c r="B976" s="130"/>
      <c r="C976" s="130"/>
      <c r="D976" s="130"/>
      <c r="E976" s="199"/>
      <c r="F976" s="130"/>
      <c r="G976" s="130"/>
      <c r="H976" s="130"/>
      <c r="I976" s="130"/>
      <c r="J976" s="130"/>
      <c r="K976" s="130"/>
      <c r="L976" s="130"/>
      <c r="M976" s="131"/>
      <c r="N976" s="132"/>
      <c r="O976" s="133"/>
      <c r="P976" s="238"/>
      <c r="Q976" s="190"/>
      <c r="R976" s="239"/>
      <c r="S976" s="190"/>
      <c r="T976" s="240"/>
      <c r="U976" s="241"/>
      <c r="V976" s="190"/>
      <c r="W976" s="190"/>
      <c r="X976" s="190"/>
      <c r="Y976" s="56"/>
    </row>
    <row r="977">
      <c r="A977" s="237"/>
      <c r="B977" s="130"/>
      <c r="C977" s="130"/>
      <c r="D977" s="130"/>
      <c r="E977" s="199"/>
      <c r="F977" s="130"/>
      <c r="G977" s="130"/>
      <c r="H977" s="130"/>
      <c r="I977" s="130"/>
      <c r="J977" s="130"/>
      <c r="K977" s="130"/>
      <c r="L977" s="130"/>
      <c r="M977" s="131"/>
      <c r="N977" s="132"/>
      <c r="O977" s="133"/>
      <c r="P977" s="238"/>
      <c r="Q977" s="190"/>
      <c r="R977" s="239"/>
      <c r="S977" s="190"/>
      <c r="T977" s="240"/>
      <c r="U977" s="241"/>
      <c r="V977" s="190"/>
      <c r="W977" s="190"/>
      <c r="X977" s="190"/>
      <c r="Y977" s="56"/>
    </row>
    <row r="978">
      <c r="A978" s="237"/>
      <c r="B978" s="130"/>
      <c r="C978" s="130"/>
      <c r="D978" s="130"/>
      <c r="E978" s="199"/>
      <c r="F978" s="130"/>
      <c r="G978" s="130"/>
      <c r="H978" s="130"/>
      <c r="I978" s="130"/>
      <c r="J978" s="130"/>
      <c r="K978" s="130"/>
      <c r="L978" s="130"/>
      <c r="M978" s="131"/>
      <c r="N978" s="132"/>
      <c r="O978" s="133"/>
      <c r="P978" s="238"/>
      <c r="Q978" s="190"/>
      <c r="R978" s="239"/>
      <c r="S978" s="190"/>
      <c r="T978" s="240"/>
      <c r="U978" s="241"/>
      <c r="V978" s="190"/>
      <c r="W978" s="190"/>
      <c r="X978" s="190"/>
      <c r="Y978" s="56"/>
    </row>
    <row r="979">
      <c r="A979" s="237"/>
      <c r="B979" s="130"/>
      <c r="C979" s="130"/>
      <c r="D979" s="130"/>
      <c r="E979" s="199"/>
      <c r="F979" s="130"/>
      <c r="G979" s="130"/>
      <c r="H979" s="130"/>
      <c r="I979" s="130"/>
      <c r="J979" s="130"/>
      <c r="K979" s="130"/>
      <c r="L979" s="130"/>
      <c r="M979" s="131"/>
      <c r="N979" s="132"/>
      <c r="O979" s="133"/>
      <c r="P979" s="238"/>
      <c r="Q979" s="190"/>
      <c r="R979" s="239"/>
      <c r="S979" s="190"/>
      <c r="T979" s="240"/>
      <c r="U979" s="241"/>
      <c r="V979" s="190"/>
      <c r="W979" s="190"/>
      <c r="X979" s="190"/>
      <c r="Y979" s="56"/>
    </row>
    <row r="980">
      <c r="A980" s="237"/>
      <c r="B980" s="130"/>
      <c r="C980" s="130"/>
      <c r="D980" s="130"/>
      <c r="E980" s="199"/>
      <c r="F980" s="130"/>
      <c r="G980" s="130"/>
      <c r="H980" s="130"/>
      <c r="I980" s="130"/>
      <c r="J980" s="130"/>
      <c r="K980" s="130"/>
      <c r="L980" s="130"/>
      <c r="M980" s="131"/>
      <c r="N980" s="132"/>
      <c r="O980" s="133"/>
      <c r="P980" s="238"/>
      <c r="Q980" s="190"/>
      <c r="R980" s="239"/>
      <c r="S980" s="190"/>
      <c r="T980" s="240"/>
      <c r="U980" s="241"/>
      <c r="V980" s="190"/>
      <c r="W980" s="190"/>
      <c r="X980" s="190"/>
      <c r="Y980" s="56"/>
    </row>
    <row r="981">
      <c r="A981" s="237"/>
      <c r="B981" s="130"/>
      <c r="C981" s="130"/>
      <c r="D981" s="130"/>
      <c r="E981" s="199"/>
      <c r="F981" s="130"/>
      <c r="G981" s="130"/>
      <c r="H981" s="130"/>
      <c r="I981" s="130"/>
      <c r="J981" s="130"/>
      <c r="K981" s="130"/>
      <c r="L981" s="130"/>
      <c r="M981" s="131"/>
      <c r="N981" s="132"/>
      <c r="O981" s="133"/>
      <c r="P981" s="238"/>
      <c r="Q981" s="190"/>
      <c r="R981" s="239"/>
      <c r="S981" s="190"/>
      <c r="T981" s="240"/>
      <c r="U981" s="241"/>
      <c r="V981" s="190"/>
      <c r="W981" s="190"/>
      <c r="X981" s="190"/>
      <c r="Y981" s="56"/>
    </row>
    <row r="982">
      <c r="A982" s="237"/>
      <c r="B982" s="130"/>
      <c r="C982" s="130"/>
      <c r="D982" s="130"/>
      <c r="E982" s="199"/>
      <c r="F982" s="130"/>
      <c r="G982" s="130"/>
      <c r="H982" s="130"/>
      <c r="I982" s="130"/>
      <c r="J982" s="130"/>
      <c r="K982" s="130"/>
      <c r="L982" s="130"/>
      <c r="M982" s="131"/>
      <c r="N982" s="132"/>
      <c r="O982" s="133"/>
      <c r="P982" s="238"/>
      <c r="Q982" s="190"/>
      <c r="R982" s="239"/>
      <c r="S982" s="190"/>
      <c r="T982" s="240"/>
      <c r="U982" s="241"/>
      <c r="V982" s="190"/>
      <c r="W982" s="190"/>
      <c r="X982" s="190"/>
      <c r="Y982" s="56"/>
    </row>
    <row r="983">
      <c r="A983" s="237"/>
      <c r="B983" s="130"/>
      <c r="C983" s="130"/>
      <c r="D983" s="130"/>
      <c r="E983" s="199"/>
      <c r="F983" s="130"/>
      <c r="G983" s="130"/>
      <c r="H983" s="130"/>
      <c r="I983" s="130"/>
      <c r="J983" s="130"/>
      <c r="K983" s="130"/>
      <c r="L983" s="130"/>
      <c r="M983" s="131"/>
      <c r="N983" s="132"/>
      <c r="O983" s="133"/>
      <c r="P983" s="238"/>
      <c r="Q983" s="190"/>
      <c r="R983" s="239"/>
      <c r="S983" s="190"/>
      <c r="T983" s="240"/>
      <c r="U983" s="241"/>
      <c r="V983" s="190"/>
      <c r="W983" s="190"/>
      <c r="X983" s="190"/>
      <c r="Y983" s="56"/>
    </row>
    <row r="984">
      <c r="A984" s="237"/>
      <c r="B984" s="130"/>
      <c r="C984" s="130"/>
      <c r="D984" s="130"/>
      <c r="E984" s="199"/>
      <c r="F984" s="130"/>
      <c r="G984" s="130"/>
      <c r="H984" s="130"/>
      <c r="I984" s="130"/>
      <c r="J984" s="130"/>
      <c r="K984" s="130"/>
      <c r="L984" s="130"/>
      <c r="M984" s="131"/>
      <c r="N984" s="132"/>
      <c r="O984" s="133"/>
      <c r="P984" s="238"/>
      <c r="Q984" s="190"/>
      <c r="R984" s="239"/>
      <c r="S984" s="190"/>
      <c r="T984" s="240"/>
      <c r="U984" s="241"/>
      <c r="V984" s="190"/>
      <c r="W984" s="190"/>
      <c r="X984" s="190"/>
      <c r="Y984" s="56"/>
    </row>
    <row r="985">
      <c r="A985" s="237"/>
      <c r="B985" s="130"/>
      <c r="C985" s="130"/>
      <c r="D985" s="130"/>
      <c r="E985" s="199"/>
      <c r="F985" s="130"/>
      <c r="G985" s="130"/>
      <c r="H985" s="130"/>
      <c r="I985" s="130"/>
      <c r="J985" s="130"/>
      <c r="K985" s="130"/>
      <c r="L985" s="130"/>
      <c r="M985" s="131"/>
      <c r="N985" s="132"/>
      <c r="O985" s="133"/>
      <c r="P985" s="238"/>
      <c r="Q985" s="190"/>
      <c r="R985" s="239"/>
      <c r="S985" s="190"/>
      <c r="T985" s="240"/>
      <c r="U985" s="241"/>
      <c r="V985" s="190"/>
      <c r="W985" s="190"/>
      <c r="X985" s="190"/>
      <c r="Y985" s="56"/>
    </row>
    <row r="986">
      <c r="A986" s="237"/>
      <c r="B986" s="130"/>
      <c r="C986" s="130"/>
      <c r="D986" s="130"/>
      <c r="E986" s="199"/>
      <c r="F986" s="130"/>
      <c r="G986" s="130"/>
      <c r="H986" s="130"/>
      <c r="I986" s="130"/>
      <c r="J986" s="130"/>
      <c r="K986" s="130"/>
      <c r="L986" s="130"/>
      <c r="M986" s="131"/>
      <c r="N986" s="132"/>
      <c r="O986" s="133"/>
      <c r="P986" s="238"/>
      <c r="Q986" s="190"/>
      <c r="R986" s="239"/>
      <c r="S986" s="190"/>
      <c r="T986" s="240"/>
      <c r="U986" s="241"/>
      <c r="V986" s="190"/>
      <c r="W986" s="190"/>
      <c r="X986" s="190"/>
      <c r="Y986" s="56"/>
    </row>
    <row r="987">
      <c r="A987" s="237"/>
      <c r="B987" s="130"/>
      <c r="C987" s="130"/>
      <c r="D987" s="130"/>
      <c r="E987" s="199"/>
      <c r="F987" s="130"/>
      <c r="G987" s="130"/>
      <c r="H987" s="130"/>
      <c r="I987" s="130"/>
      <c r="J987" s="130"/>
      <c r="K987" s="130"/>
      <c r="L987" s="130"/>
      <c r="M987" s="131"/>
      <c r="N987" s="132"/>
      <c r="O987" s="133"/>
      <c r="P987" s="238"/>
      <c r="Q987" s="190"/>
      <c r="R987" s="239"/>
      <c r="S987" s="190"/>
      <c r="T987" s="240"/>
      <c r="U987" s="241"/>
      <c r="V987" s="190"/>
      <c r="W987" s="190"/>
      <c r="X987" s="190"/>
      <c r="Y987" s="56"/>
    </row>
    <row r="988">
      <c r="A988" s="237"/>
      <c r="B988" s="130"/>
      <c r="C988" s="130"/>
      <c r="D988" s="130"/>
      <c r="E988" s="199"/>
      <c r="F988" s="130"/>
      <c r="G988" s="130"/>
      <c r="H988" s="130"/>
      <c r="I988" s="130"/>
      <c r="J988" s="130"/>
      <c r="K988" s="130"/>
      <c r="L988" s="130"/>
      <c r="M988" s="131"/>
      <c r="N988" s="132"/>
      <c r="O988" s="133"/>
      <c r="P988" s="238"/>
      <c r="Q988" s="190"/>
      <c r="R988" s="239"/>
      <c r="S988" s="190"/>
      <c r="T988" s="240"/>
      <c r="U988" s="241"/>
      <c r="V988" s="190"/>
      <c r="W988" s="190"/>
      <c r="X988" s="190"/>
      <c r="Y988" s="56"/>
    </row>
    <row r="989">
      <c r="A989" s="237"/>
      <c r="B989" s="130"/>
      <c r="C989" s="130"/>
      <c r="D989" s="130"/>
      <c r="E989" s="199"/>
      <c r="F989" s="130"/>
      <c r="G989" s="130"/>
      <c r="H989" s="130"/>
      <c r="I989" s="130"/>
      <c r="J989" s="130"/>
      <c r="K989" s="130"/>
      <c r="L989" s="130"/>
      <c r="M989" s="131"/>
      <c r="N989" s="132"/>
      <c r="O989" s="133"/>
      <c r="P989" s="238"/>
      <c r="Q989" s="190"/>
      <c r="R989" s="239"/>
      <c r="S989" s="190"/>
      <c r="T989" s="240"/>
      <c r="U989" s="241"/>
      <c r="V989" s="190"/>
      <c r="W989" s="190"/>
      <c r="X989" s="190"/>
      <c r="Y989" s="56"/>
    </row>
    <row r="990">
      <c r="A990" s="237"/>
      <c r="B990" s="130"/>
      <c r="C990" s="130"/>
      <c r="D990" s="130"/>
      <c r="E990" s="199"/>
      <c r="F990" s="130"/>
      <c r="G990" s="130"/>
      <c r="H990" s="130"/>
      <c r="I990" s="130"/>
      <c r="J990" s="130"/>
      <c r="K990" s="130"/>
      <c r="L990" s="130"/>
      <c r="M990" s="131"/>
      <c r="N990" s="132"/>
      <c r="O990" s="133"/>
      <c r="P990" s="238"/>
      <c r="Q990" s="190"/>
      <c r="R990" s="239"/>
      <c r="S990" s="190"/>
      <c r="T990" s="240"/>
      <c r="U990" s="241"/>
      <c r="V990" s="190"/>
      <c r="W990" s="190"/>
      <c r="X990" s="190"/>
      <c r="Y990" s="56"/>
    </row>
    <row r="991">
      <c r="A991" s="237"/>
      <c r="B991" s="130"/>
      <c r="C991" s="130"/>
      <c r="D991" s="130"/>
      <c r="E991" s="199"/>
      <c r="F991" s="130"/>
      <c r="G991" s="130"/>
      <c r="H991" s="130"/>
      <c r="I991" s="130"/>
      <c r="J991" s="130"/>
      <c r="K991" s="130"/>
      <c r="L991" s="130"/>
      <c r="M991" s="131"/>
      <c r="N991" s="132"/>
      <c r="O991" s="133"/>
      <c r="P991" s="238"/>
      <c r="Q991" s="190"/>
      <c r="R991" s="239"/>
      <c r="S991" s="190"/>
      <c r="T991" s="240"/>
      <c r="U991" s="241"/>
      <c r="V991" s="190"/>
      <c r="W991" s="190"/>
      <c r="X991" s="190"/>
      <c r="Y991" s="56"/>
    </row>
    <row r="992">
      <c r="A992" s="237"/>
      <c r="B992" s="130"/>
      <c r="C992" s="130"/>
      <c r="D992" s="130"/>
      <c r="E992" s="199"/>
      <c r="F992" s="130"/>
      <c r="G992" s="130"/>
      <c r="H992" s="130"/>
      <c r="I992" s="130"/>
      <c r="J992" s="130"/>
      <c r="K992" s="130"/>
      <c r="L992" s="130"/>
      <c r="M992" s="131"/>
      <c r="N992" s="132"/>
      <c r="O992" s="133"/>
      <c r="P992" s="238"/>
      <c r="Q992" s="190"/>
      <c r="R992" s="239"/>
      <c r="S992" s="190"/>
      <c r="T992" s="240"/>
      <c r="U992" s="241"/>
      <c r="V992" s="190"/>
      <c r="W992" s="190"/>
      <c r="X992" s="190"/>
      <c r="Y992" s="56"/>
    </row>
    <row r="993">
      <c r="A993" s="237"/>
      <c r="B993" s="130"/>
      <c r="C993" s="130"/>
      <c r="D993" s="130"/>
      <c r="E993" s="199"/>
      <c r="F993" s="130"/>
      <c r="G993" s="130"/>
      <c r="H993" s="130"/>
      <c r="I993" s="130"/>
      <c r="J993" s="130"/>
      <c r="K993" s="130"/>
      <c r="L993" s="130"/>
      <c r="M993" s="131"/>
      <c r="N993" s="132"/>
      <c r="O993" s="133"/>
      <c r="P993" s="238"/>
      <c r="Q993" s="190"/>
      <c r="R993" s="239"/>
      <c r="S993" s="190"/>
      <c r="T993" s="240"/>
      <c r="U993" s="241"/>
      <c r="V993" s="190"/>
      <c r="W993" s="190"/>
      <c r="X993" s="190"/>
      <c r="Y993" s="56"/>
    </row>
    <row r="994">
      <c r="A994" s="237"/>
      <c r="B994" s="130"/>
      <c r="C994" s="130"/>
      <c r="D994" s="130"/>
      <c r="E994" s="199"/>
      <c r="F994" s="130"/>
      <c r="G994" s="130"/>
      <c r="H994" s="130"/>
      <c r="I994" s="130"/>
      <c r="J994" s="130"/>
      <c r="K994" s="130"/>
      <c r="L994" s="130"/>
      <c r="M994" s="131"/>
      <c r="N994" s="132"/>
      <c r="O994" s="133"/>
      <c r="P994" s="238"/>
      <c r="Q994" s="190"/>
      <c r="R994" s="239"/>
      <c r="S994" s="190"/>
      <c r="T994" s="240"/>
      <c r="U994" s="241"/>
      <c r="V994" s="190"/>
      <c r="W994" s="190"/>
      <c r="X994" s="190"/>
      <c r="Y994" s="56"/>
    </row>
    <row r="995">
      <c r="A995" s="237"/>
      <c r="B995" s="130"/>
      <c r="C995" s="130"/>
      <c r="D995" s="130"/>
      <c r="E995" s="199"/>
      <c r="F995" s="130"/>
      <c r="G995" s="130"/>
      <c r="H995" s="130"/>
      <c r="I995" s="130"/>
      <c r="J995" s="130"/>
      <c r="K995" s="130"/>
      <c r="L995" s="130"/>
      <c r="M995" s="131"/>
      <c r="N995" s="132"/>
      <c r="O995" s="133"/>
      <c r="P995" s="238"/>
      <c r="Q995" s="190"/>
      <c r="R995" s="239"/>
      <c r="S995" s="190"/>
      <c r="T995" s="240"/>
      <c r="U995" s="241"/>
      <c r="V995" s="190"/>
      <c r="W995" s="190"/>
      <c r="X995" s="190"/>
      <c r="Y995" s="56"/>
    </row>
    <row r="996">
      <c r="A996" s="237"/>
      <c r="B996" s="130"/>
      <c r="C996" s="130"/>
      <c r="D996" s="130"/>
      <c r="E996" s="199"/>
      <c r="F996" s="130"/>
      <c r="G996" s="130"/>
      <c r="H996" s="130"/>
      <c r="I996" s="130"/>
      <c r="J996" s="130"/>
      <c r="K996" s="130"/>
      <c r="L996" s="130"/>
      <c r="M996" s="131"/>
      <c r="N996" s="132"/>
      <c r="O996" s="133"/>
      <c r="P996" s="238"/>
      <c r="Q996" s="190"/>
      <c r="R996" s="239"/>
      <c r="S996" s="190"/>
      <c r="T996" s="240"/>
      <c r="U996" s="241"/>
      <c r="V996" s="190"/>
      <c r="W996" s="190"/>
      <c r="X996" s="190"/>
      <c r="Y996" s="56"/>
    </row>
    <row r="997">
      <c r="A997" s="237"/>
      <c r="B997" s="130"/>
      <c r="C997" s="130"/>
      <c r="D997" s="130"/>
      <c r="E997" s="199"/>
      <c r="F997" s="130"/>
      <c r="G997" s="130"/>
      <c r="H997" s="130"/>
      <c r="I997" s="130"/>
      <c r="J997" s="130"/>
      <c r="K997" s="130"/>
      <c r="L997" s="130"/>
      <c r="M997" s="131"/>
      <c r="N997" s="132"/>
      <c r="O997" s="133"/>
      <c r="P997" s="238"/>
      <c r="Q997" s="190"/>
      <c r="R997" s="239"/>
      <c r="S997" s="190"/>
      <c r="T997" s="240"/>
      <c r="U997" s="241"/>
      <c r="V997" s="190"/>
      <c r="W997" s="190"/>
      <c r="X997" s="190"/>
      <c r="Y997" s="56"/>
    </row>
    <row r="998">
      <c r="A998" s="237"/>
      <c r="B998" s="130"/>
      <c r="C998" s="130"/>
      <c r="D998" s="130"/>
      <c r="E998" s="199"/>
      <c r="F998" s="130"/>
      <c r="G998" s="130"/>
      <c r="H998" s="130"/>
      <c r="I998" s="130"/>
      <c r="J998" s="130"/>
      <c r="K998" s="130"/>
      <c r="L998" s="130"/>
      <c r="M998" s="131"/>
      <c r="N998" s="132"/>
      <c r="O998" s="133"/>
      <c r="P998" s="238"/>
      <c r="Q998" s="190"/>
      <c r="R998" s="239"/>
      <c r="S998" s="190"/>
      <c r="T998" s="240"/>
      <c r="U998" s="241"/>
      <c r="V998" s="190"/>
      <c r="W998" s="190"/>
      <c r="X998" s="190"/>
      <c r="Y998" s="56"/>
    </row>
    <row r="999">
      <c r="A999" s="237"/>
      <c r="B999" s="130"/>
      <c r="C999" s="130"/>
      <c r="D999" s="130"/>
      <c r="E999" s="199"/>
      <c r="F999" s="130"/>
      <c r="G999" s="130"/>
      <c r="H999" s="130"/>
      <c r="I999" s="130"/>
      <c r="J999" s="130"/>
      <c r="K999" s="130"/>
      <c r="L999" s="130"/>
      <c r="M999" s="131"/>
      <c r="N999" s="132"/>
      <c r="O999" s="133"/>
      <c r="P999" s="238"/>
      <c r="Q999" s="190"/>
      <c r="R999" s="239"/>
      <c r="S999" s="190"/>
      <c r="T999" s="240"/>
      <c r="U999" s="241"/>
      <c r="V999" s="190"/>
      <c r="W999" s="190"/>
      <c r="X999" s="190"/>
      <c r="Y999" s="56"/>
    </row>
    <row r="1000">
      <c r="A1000" s="237"/>
      <c r="B1000" s="130"/>
      <c r="C1000" s="130"/>
      <c r="D1000" s="130"/>
      <c r="E1000" s="199"/>
      <c r="F1000" s="130"/>
      <c r="G1000" s="130"/>
      <c r="H1000" s="130"/>
      <c r="I1000" s="130"/>
      <c r="J1000" s="130"/>
      <c r="K1000" s="130"/>
      <c r="L1000" s="130"/>
      <c r="M1000" s="131"/>
      <c r="N1000" s="132"/>
      <c r="O1000" s="133"/>
      <c r="P1000" s="238"/>
      <c r="Q1000" s="190"/>
      <c r="R1000" s="239"/>
      <c r="S1000" s="190"/>
      <c r="T1000" s="240"/>
      <c r="U1000" s="241"/>
      <c r="V1000" s="190"/>
      <c r="W1000" s="190"/>
      <c r="X1000" s="190"/>
      <c r="Y1000" s="56"/>
    </row>
    <row r="1001">
      <c r="A1001" s="237"/>
      <c r="B1001" s="130"/>
      <c r="C1001" s="130"/>
      <c r="D1001" s="130"/>
      <c r="E1001" s="199"/>
      <c r="F1001" s="130"/>
      <c r="G1001" s="130"/>
      <c r="H1001" s="130"/>
      <c r="I1001" s="130"/>
      <c r="J1001" s="130"/>
      <c r="K1001" s="130"/>
      <c r="L1001" s="130"/>
      <c r="M1001" s="131"/>
      <c r="N1001" s="132"/>
      <c r="O1001" s="133"/>
      <c r="P1001" s="238"/>
      <c r="Q1001" s="190"/>
      <c r="R1001" s="239"/>
      <c r="S1001" s="190"/>
      <c r="T1001" s="240"/>
      <c r="U1001" s="241"/>
      <c r="V1001" s="190"/>
      <c r="W1001" s="190"/>
      <c r="X1001" s="190"/>
      <c r="Y1001" s="56"/>
    </row>
    <row r="1002">
      <c r="A1002" s="237"/>
      <c r="B1002" s="130"/>
      <c r="C1002" s="130"/>
      <c r="D1002" s="130"/>
      <c r="E1002" s="199"/>
      <c r="F1002" s="130"/>
      <c r="G1002" s="130"/>
      <c r="H1002" s="130"/>
      <c r="I1002" s="130"/>
      <c r="J1002" s="130"/>
      <c r="K1002" s="130"/>
      <c r="L1002" s="130"/>
      <c r="M1002" s="131"/>
      <c r="N1002" s="132"/>
      <c r="O1002" s="133"/>
      <c r="P1002" s="238"/>
      <c r="Q1002" s="190"/>
      <c r="R1002" s="239"/>
      <c r="S1002" s="190"/>
      <c r="T1002" s="240"/>
      <c r="U1002" s="241"/>
      <c r="V1002" s="190"/>
      <c r="W1002" s="190"/>
      <c r="X1002" s="190"/>
      <c r="Y1002" s="56"/>
    </row>
    <row r="1003">
      <c r="A1003" s="237"/>
      <c r="B1003" s="130"/>
      <c r="C1003" s="130"/>
      <c r="D1003" s="130"/>
      <c r="E1003" s="199"/>
      <c r="F1003" s="130"/>
      <c r="G1003" s="130"/>
      <c r="H1003" s="130"/>
      <c r="I1003" s="130"/>
      <c r="J1003" s="130"/>
      <c r="K1003" s="130"/>
      <c r="L1003" s="130"/>
      <c r="M1003" s="131"/>
      <c r="N1003" s="132"/>
      <c r="O1003" s="133"/>
      <c r="P1003" s="238"/>
      <c r="Q1003" s="190"/>
      <c r="R1003" s="239"/>
      <c r="S1003" s="190"/>
      <c r="T1003" s="240"/>
      <c r="U1003" s="241"/>
      <c r="V1003" s="190"/>
      <c r="W1003" s="190"/>
      <c r="X1003" s="190"/>
      <c r="Y1003" s="56"/>
    </row>
    <row r="1004">
      <c r="A1004" s="237"/>
      <c r="B1004" s="130"/>
      <c r="C1004" s="130"/>
      <c r="D1004" s="130"/>
      <c r="E1004" s="199"/>
      <c r="F1004" s="130"/>
      <c r="G1004" s="130"/>
      <c r="H1004" s="130"/>
      <c r="I1004" s="130"/>
      <c r="J1004" s="130"/>
      <c r="K1004" s="130"/>
      <c r="L1004" s="130"/>
      <c r="M1004" s="131"/>
      <c r="N1004" s="132"/>
      <c r="O1004" s="133"/>
      <c r="P1004" s="238"/>
      <c r="Q1004" s="190"/>
      <c r="R1004" s="239"/>
      <c r="S1004" s="190"/>
      <c r="T1004" s="240"/>
      <c r="U1004" s="241"/>
      <c r="V1004" s="190"/>
      <c r="W1004" s="190"/>
      <c r="X1004" s="190"/>
      <c r="Y1004" s="56"/>
    </row>
    <row r="1005">
      <c r="A1005" s="237"/>
      <c r="B1005" s="130"/>
      <c r="C1005" s="130"/>
      <c r="D1005" s="130"/>
      <c r="E1005" s="199"/>
      <c r="F1005" s="130"/>
      <c r="G1005" s="130"/>
      <c r="H1005" s="130"/>
      <c r="I1005" s="130"/>
      <c r="J1005" s="130"/>
      <c r="K1005" s="130"/>
      <c r="L1005" s="130"/>
      <c r="M1005" s="131"/>
      <c r="N1005" s="132"/>
      <c r="O1005" s="133"/>
      <c r="P1005" s="238"/>
      <c r="Q1005" s="190"/>
      <c r="R1005" s="239"/>
      <c r="S1005" s="190"/>
      <c r="T1005" s="240"/>
      <c r="U1005" s="241"/>
      <c r="V1005" s="190"/>
      <c r="W1005" s="190"/>
      <c r="X1005" s="190"/>
      <c r="Y1005" s="56"/>
    </row>
    <row r="1006">
      <c r="A1006" s="237"/>
      <c r="B1006" s="130"/>
      <c r="C1006" s="130"/>
      <c r="D1006" s="130"/>
      <c r="E1006" s="199"/>
      <c r="F1006" s="130"/>
      <c r="G1006" s="130"/>
      <c r="H1006" s="130"/>
      <c r="I1006" s="130"/>
      <c r="J1006" s="130"/>
      <c r="K1006" s="130"/>
      <c r="L1006" s="130"/>
      <c r="M1006" s="131"/>
      <c r="N1006" s="132"/>
      <c r="O1006" s="133"/>
      <c r="P1006" s="238"/>
      <c r="Q1006" s="190"/>
      <c r="R1006" s="239"/>
      <c r="S1006" s="190"/>
      <c r="T1006" s="240"/>
      <c r="U1006" s="241"/>
      <c r="V1006" s="190"/>
      <c r="W1006" s="190"/>
      <c r="X1006" s="190"/>
      <c r="Y1006" s="56"/>
    </row>
    <row r="1007">
      <c r="A1007" s="237"/>
      <c r="B1007" s="130"/>
      <c r="C1007" s="130"/>
      <c r="D1007" s="130"/>
      <c r="E1007" s="199"/>
      <c r="F1007" s="130"/>
      <c r="G1007" s="130"/>
      <c r="H1007" s="130"/>
      <c r="I1007" s="130"/>
      <c r="J1007" s="130"/>
      <c r="K1007" s="130"/>
      <c r="L1007" s="130"/>
      <c r="M1007" s="131"/>
      <c r="N1007" s="132"/>
      <c r="O1007" s="133"/>
      <c r="P1007" s="238"/>
      <c r="Q1007" s="190"/>
      <c r="R1007" s="239"/>
      <c r="S1007" s="190"/>
      <c r="T1007" s="240"/>
      <c r="U1007" s="241"/>
      <c r="V1007" s="190"/>
      <c r="W1007" s="190"/>
      <c r="X1007" s="190"/>
      <c r="Y1007" s="56"/>
    </row>
    <row r="1008">
      <c r="A1008" s="237"/>
      <c r="B1008" s="130"/>
      <c r="C1008" s="130"/>
      <c r="D1008" s="130"/>
      <c r="E1008" s="199"/>
      <c r="F1008" s="130"/>
      <c r="G1008" s="130"/>
      <c r="H1008" s="130"/>
      <c r="I1008" s="130"/>
      <c r="J1008" s="130"/>
      <c r="K1008" s="130"/>
      <c r="L1008" s="130"/>
      <c r="M1008" s="131"/>
      <c r="N1008" s="132"/>
      <c r="O1008" s="133"/>
      <c r="P1008" s="238"/>
      <c r="Q1008" s="190"/>
      <c r="R1008" s="239"/>
      <c r="S1008" s="190"/>
      <c r="T1008" s="240"/>
      <c r="U1008" s="241"/>
      <c r="V1008" s="190"/>
      <c r="W1008" s="190"/>
      <c r="X1008" s="190"/>
      <c r="Y1008" s="56"/>
    </row>
    <row r="1009">
      <c r="A1009" s="237"/>
      <c r="B1009" s="130"/>
      <c r="C1009" s="130"/>
      <c r="D1009" s="130"/>
      <c r="E1009" s="199"/>
      <c r="F1009" s="130"/>
      <c r="G1009" s="130"/>
      <c r="H1009" s="130"/>
      <c r="I1009" s="130"/>
      <c r="J1009" s="130"/>
      <c r="K1009" s="130"/>
      <c r="L1009" s="130"/>
      <c r="M1009" s="131"/>
      <c r="N1009" s="132"/>
      <c r="O1009" s="133"/>
      <c r="P1009" s="238"/>
      <c r="Q1009" s="190"/>
      <c r="R1009" s="239"/>
      <c r="S1009" s="190"/>
      <c r="T1009" s="240"/>
      <c r="U1009" s="241"/>
      <c r="V1009" s="190"/>
      <c r="W1009" s="190"/>
      <c r="X1009" s="190"/>
      <c r="Y1009" s="56"/>
    </row>
    <row r="1010">
      <c r="A1010" s="237"/>
      <c r="B1010" s="130"/>
      <c r="C1010" s="130"/>
      <c r="D1010" s="130"/>
      <c r="E1010" s="199"/>
      <c r="F1010" s="130"/>
      <c r="G1010" s="130"/>
      <c r="H1010" s="130"/>
      <c r="I1010" s="130"/>
      <c r="J1010" s="130"/>
      <c r="K1010" s="130"/>
      <c r="L1010" s="130"/>
      <c r="M1010" s="131"/>
      <c r="N1010" s="132"/>
      <c r="O1010" s="133"/>
      <c r="P1010" s="238"/>
      <c r="Q1010" s="190"/>
      <c r="R1010" s="239"/>
      <c r="S1010" s="190"/>
      <c r="T1010" s="240"/>
      <c r="U1010" s="241"/>
      <c r="V1010" s="190"/>
      <c r="W1010" s="190"/>
      <c r="X1010" s="190"/>
      <c r="Y1010" s="56"/>
    </row>
    <row r="1011">
      <c r="A1011" s="237"/>
      <c r="B1011" s="130"/>
      <c r="C1011" s="130"/>
      <c r="D1011" s="130"/>
      <c r="E1011" s="199"/>
      <c r="F1011" s="130"/>
      <c r="G1011" s="130"/>
      <c r="H1011" s="130"/>
      <c r="I1011" s="130"/>
      <c r="J1011" s="130"/>
      <c r="K1011" s="130"/>
      <c r="L1011" s="130"/>
      <c r="M1011" s="131"/>
      <c r="N1011" s="132"/>
      <c r="O1011" s="133"/>
      <c r="P1011" s="238"/>
      <c r="Q1011" s="190"/>
      <c r="R1011" s="239"/>
      <c r="S1011" s="190"/>
      <c r="T1011" s="240"/>
      <c r="U1011" s="241"/>
      <c r="V1011" s="190"/>
      <c r="W1011" s="190"/>
      <c r="X1011" s="190"/>
      <c r="Y1011" s="56"/>
    </row>
    <row r="1012">
      <c r="A1012" s="237"/>
      <c r="B1012" s="130"/>
      <c r="C1012" s="130"/>
      <c r="D1012" s="130"/>
      <c r="E1012" s="199"/>
      <c r="F1012" s="130"/>
      <c r="G1012" s="130"/>
      <c r="H1012" s="130"/>
      <c r="I1012" s="130"/>
      <c r="J1012" s="130"/>
      <c r="K1012" s="130"/>
      <c r="L1012" s="130"/>
      <c r="M1012" s="131"/>
      <c r="N1012" s="132"/>
      <c r="O1012" s="133"/>
      <c r="P1012" s="238"/>
      <c r="Q1012" s="190"/>
      <c r="R1012" s="239"/>
      <c r="S1012" s="190"/>
      <c r="T1012" s="240"/>
      <c r="U1012" s="241"/>
      <c r="V1012" s="190"/>
      <c r="W1012" s="190"/>
      <c r="X1012" s="190"/>
      <c r="Y1012" s="56"/>
    </row>
    <row r="1013">
      <c r="A1013" s="237"/>
      <c r="B1013" s="130"/>
      <c r="C1013" s="130"/>
      <c r="D1013" s="130"/>
      <c r="E1013" s="199"/>
      <c r="F1013" s="130"/>
      <c r="G1013" s="130"/>
      <c r="H1013" s="130"/>
      <c r="I1013" s="130"/>
      <c r="J1013" s="130"/>
      <c r="K1013" s="130"/>
      <c r="L1013" s="130"/>
      <c r="M1013" s="131"/>
      <c r="N1013" s="132"/>
      <c r="O1013" s="133"/>
      <c r="P1013" s="238"/>
      <c r="Q1013" s="190"/>
      <c r="R1013" s="239"/>
      <c r="S1013" s="190"/>
      <c r="T1013" s="240"/>
      <c r="U1013" s="241"/>
      <c r="V1013" s="190"/>
      <c r="W1013" s="190"/>
      <c r="X1013" s="190"/>
      <c r="Y1013" s="56"/>
    </row>
    <row r="1014">
      <c r="A1014" s="237"/>
      <c r="B1014" s="130"/>
      <c r="C1014" s="130"/>
      <c r="D1014" s="130"/>
      <c r="E1014" s="199"/>
      <c r="F1014" s="130"/>
      <c r="G1014" s="130"/>
      <c r="H1014" s="130"/>
      <c r="I1014" s="130"/>
      <c r="J1014" s="130"/>
      <c r="K1014" s="130"/>
      <c r="L1014" s="130"/>
      <c r="M1014" s="131"/>
      <c r="N1014" s="132"/>
      <c r="O1014" s="133"/>
      <c r="P1014" s="238"/>
      <c r="Q1014" s="190"/>
      <c r="R1014" s="239"/>
      <c r="S1014" s="190"/>
      <c r="T1014" s="240"/>
      <c r="U1014" s="241"/>
      <c r="V1014" s="190"/>
      <c r="W1014" s="190"/>
      <c r="X1014" s="190"/>
      <c r="Y1014" s="56"/>
    </row>
    <row r="1015">
      <c r="A1015" s="237"/>
      <c r="B1015" s="130"/>
      <c r="C1015" s="130"/>
      <c r="D1015" s="130"/>
      <c r="E1015" s="199"/>
      <c r="F1015" s="130"/>
      <c r="G1015" s="130"/>
      <c r="H1015" s="130"/>
      <c r="I1015" s="130"/>
      <c r="J1015" s="130"/>
      <c r="K1015" s="130"/>
      <c r="L1015" s="130"/>
      <c r="M1015" s="131"/>
      <c r="N1015" s="132"/>
      <c r="O1015" s="133"/>
      <c r="P1015" s="238"/>
      <c r="Q1015" s="190"/>
      <c r="R1015" s="239"/>
      <c r="S1015" s="190"/>
      <c r="T1015" s="240"/>
      <c r="U1015" s="241"/>
      <c r="V1015" s="190"/>
      <c r="W1015" s="190"/>
      <c r="X1015" s="190"/>
      <c r="Y1015" s="56"/>
    </row>
    <row r="1016">
      <c r="A1016" s="237"/>
      <c r="B1016" s="130"/>
      <c r="C1016" s="130"/>
      <c r="D1016" s="130"/>
      <c r="E1016" s="199"/>
      <c r="F1016" s="130"/>
      <c r="G1016" s="130"/>
      <c r="H1016" s="130"/>
      <c r="I1016" s="130"/>
      <c r="J1016" s="130"/>
      <c r="K1016" s="130"/>
      <c r="L1016" s="130"/>
      <c r="M1016" s="131"/>
      <c r="N1016" s="132"/>
      <c r="O1016" s="133"/>
      <c r="P1016" s="238"/>
      <c r="Q1016" s="190"/>
      <c r="R1016" s="239"/>
      <c r="S1016" s="190"/>
      <c r="T1016" s="240"/>
      <c r="U1016" s="241"/>
      <c r="V1016" s="190"/>
      <c r="W1016" s="190"/>
      <c r="X1016" s="190"/>
      <c r="Y1016" s="56"/>
    </row>
    <row r="1017">
      <c r="A1017" s="237"/>
      <c r="B1017" s="130"/>
      <c r="C1017" s="130"/>
      <c r="D1017" s="130"/>
      <c r="E1017" s="199"/>
      <c r="F1017" s="130"/>
      <c r="G1017" s="130"/>
      <c r="H1017" s="130"/>
      <c r="I1017" s="130"/>
      <c r="J1017" s="130"/>
      <c r="K1017" s="130"/>
      <c r="L1017" s="130"/>
      <c r="M1017" s="131"/>
      <c r="N1017" s="132"/>
      <c r="O1017" s="133"/>
      <c r="P1017" s="238"/>
      <c r="Q1017" s="190"/>
      <c r="R1017" s="239"/>
      <c r="S1017" s="190"/>
      <c r="T1017" s="240"/>
      <c r="U1017" s="241"/>
      <c r="V1017" s="190"/>
      <c r="W1017" s="190"/>
      <c r="X1017" s="190"/>
      <c r="Y1017" s="56"/>
    </row>
    <row r="1018">
      <c r="A1018" s="237"/>
      <c r="B1018" s="130"/>
      <c r="C1018" s="130"/>
      <c r="D1018" s="130"/>
      <c r="E1018" s="199"/>
      <c r="F1018" s="130"/>
      <c r="G1018" s="130"/>
      <c r="H1018" s="130"/>
      <c r="I1018" s="130"/>
      <c r="J1018" s="130"/>
      <c r="K1018" s="130"/>
      <c r="L1018" s="130"/>
      <c r="M1018" s="131"/>
      <c r="N1018" s="132"/>
      <c r="O1018" s="133"/>
      <c r="P1018" s="238"/>
      <c r="Q1018" s="190"/>
      <c r="R1018" s="239"/>
      <c r="S1018" s="190"/>
      <c r="T1018" s="240"/>
      <c r="U1018" s="241"/>
      <c r="V1018" s="190"/>
      <c r="W1018" s="190"/>
      <c r="X1018" s="190"/>
      <c r="Y1018" s="56"/>
    </row>
    <row r="1019">
      <c r="A1019" s="237"/>
      <c r="B1019" s="130"/>
      <c r="C1019" s="130"/>
      <c r="D1019" s="130"/>
      <c r="E1019" s="199"/>
      <c r="F1019" s="130"/>
      <c r="G1019" s="130"/>
      <c r="H1019" s="130"/>
      <c r="I1019" s="130"/>
      <c r="J1019" s="130"/>
      <c r="K1019" s="130"/>
      <c r="L1019" s="130"/>
      <c r="M1019" s="131"/>
      <c r="N1019" s="132"/>
      <c r="O1019" s="133"/>
      <c r="P1019" s="238"/>
      <c r="Q1019" s="190"/>
      <c r="R1019" s="239"/>
      <c r="S1019" s="190"/>
      <c r="T1019" s="240"/>
      <c r="U1019" s="241"/>
      <c r="V1019" s="190"/>
      <c r="W1019" s="190"/>
      <c r="X1019" s="190"/>
      <c r="Y1019" s="56"/>
    </row>
    <row r="1020">
      <c r="A1020" s="237"/>
      <c r="B1020" s="130"/>
      <c r="C1020" s="130"/>
      <c r="D1020" s="130"/>
      <c r="E1020" s="199"/>
      <c r="F1020" s="130"/>
      <c r="G1020" s="130"/>
      <c r="H1020" s="130"/>
      <c r="I1020" s="130"/>
      <c r="J1020" s="130"/>
      <c r="K1020" s="130"/>
      <c r="L1020" s="130"/>
      <c r="M1020" s="131"/>
      <c r="N1020" s="132"/>
      <c r="O1020" s="133"/>
      <c r="P1020" s="238"/>
      <c r="Q1020" s="190"/>
      <c r="R1020" s="239"/>
      <c r="S1020" s="190"/>
      <c r="T1020" s="240"/>
      <c r="U1020" s="241"/>
      <c r="V1020" s="190"/>
      <c r="W1020" s="190"/>
      <c r="X1020" s="190"/>
      <c r="Y1020" s="56"/>
    </row>
    <row r="1021">
      <c r="A1021" s="237"/>
      <c r="B1021" s="130"/>
      <c r="C1021" s="130"/>
      <c r="D1021" s="130"/>
      <c r="E1021" s="199"/>
      <c r="F1021" s="130"/>
      <c r="G1021" s="130"/>
      <c r="H1021" s="130"/>
      <c r="I1021" s="130"/>
      <c r="J1021" s="130"/>
      <c r="K1021" s="130"/>
      <c r="L1021" s="130"/>
      <c r="M1021" s="131"/>
      <c r="N1021" s="132"/>
      <c r="O1021" s="133"/>
      <c r="P1021" s="238"/>
      <c r="Q1021" s="190"/>
      <c r="R1021" s="239"/>
      <c r="S1021" s="190"/>
      <c r="T1021" s="240"/>
      <c r="U1021" s="241"/>
      <c r="V1021" s="190"/>
      <c r="W1021" s="190"/>
      <c r="X1021" s="190"/>
      <c r="Y1021" s="56"/>
    </row>
    <row r="1022">
      <c r="A1022" s="237"/>
      <c r="B1022" s="130"/>
      <c r="C1022" s="130"/>
      <c r="D1022" s="130"/>
      <c r="E1022" s="199"/>
      <c r="F1022" s="130"/>
      <c r="G1022" s="130"/>
      <c r="H1022" s="130"/>
      <c r="I1022" s="130"/>
      <c r="J1022" s="130"/>
      <c r="K1022" s="130"/>
      <c r="L1022" s="130"/>
      <c r="M1022" s="131"/>
      <c r="N1022" s="132"/>
      <c r="O1022" s="133"/>
      <c r="P1022" s="238"/>
      <c r="Q1022" s="190"/>
      <c r="R1022" s="239"/>
      <c r="S1022" s="190"/>
      <c r="T1022" s="240"/>
      <c r="U1022" s="241"/>
      <c r="V1022" s="190"/>
      <c r="W1022" s="190"/>
      <c r="X1022" s="190"/>
      <c r="Y1022" s="56"/>
    </row>
    <row r="1023">
      <c r="A1023" s="237"/>
      <c r="B1023" s="130"/>
      <c r="C1023" s="130"/>
      <c r="D1023" s="130"/>
      <c r="E1023" s="199"/>
      <c r="F1023" s="130"/>
      <c r="G1023" s="130"/>
      <c r="H1023" s="130"/>
      <c r="I1023" s="130"/>
      <c r="J1023" s="130"/>
      <c r="K1023" s="130"/>
      <c r="L1023" s="130"/>
      <c r="M1023" s="131"/>
      <c r="N1023" s="132"/>
      <c r="O1023" s="133"/>
      <c r="P1023" s="238"/>
      <c r="Q1023" s="190"/>
      <c r="R1023" s="239"/>
      <c r="S1023" s="190"/>
      <c r="T1023" s="240"/>
      <c r="U1023" s="241"/>
      <c r="V1023" s="190"/>
      <c r="W1023" s="190"/>
      <c r="X1023" s="190"/>
      <c r="Y1023" s="56"/>
    </row>
    <row r="1024">
      <c r="A1024" s="237"/>
      <c r="B1024" s="130"/>
      <c r="C1024" s="130"/>
      <c r="D1024" s="130"/>
      <c r="E1024" s="199"/>
      <c r="F1024" s="130"/>
      <c r="G1024" s="130"/>
      <c r="H1024" s="130"/>
      <c r="I1024" s="130"/>
      <c r="J1024" s="130"/>
      <c r="K1024" s="130"/>
      <c r="L1024" s="130"/>
      <c r="M1024" s="131"/>
      <c r="N1024" s="132"/>
      <c r="O1024" s="133"/>
      <c r="P1024" s="238"/>
      <c r="Q1024" s="190"/>
      <c r="R1024" s="239"/>
      <c r="S1024" s="190"/>
      <c r="T1024" s="240"/>
      <c r="U1024" s="241"/>
      <c r="V1024" s="190"/>
      <c r="W1024" s="190"/>
      <c r="X1024" s="190"/>
      <c r="Y1024" s="56"/>
    </row>
    <row r="1025">
      <c r="A1025" s="237"/>
      <c r="B1025" s="130"/>
      <c r="C1025" s="130"/>
      <c r="D1025" s="130"/>
      <c r="E1025" s="199"/>
      <c r="F1025" s="130"/>
      <c r="G1025" s="130"/>
      <c r="H1025" s="130"/>
      <c r="I1025" s="130"/>
      <c r="J1025" s="130"/>
      <c r="K1025" s="130"/>
      <c r="L1025" s="130"/>
      <c r="M1025" s="131"/>
      <c r="N1025" s="132"/>
      <c r="O1025" s="133"/>
      <c r="P1025" s="238"/>
      <c r="Q1025" s="190"/>
      <c r="R1025" s="239"/>
      <c r="S1025" s="190"/>
      <c r="T1025" s="240"/>
      <c r="U1025" s="241"/>
      <c r="V1025" s="190"/>
      <c r="W1025" s="190"/>
      <c r="X1025" s="190"/>
      <c r="Y1025" s="56"/>
    </row>
    <row r="1026">
      <c r="A1026" s="237"/>
      <c r="B1026" s="130"/>
      <c r="C1026" s="130"/>
      <c r="D1026" s="130"/>
      <c r="E1026" s="199"/>
      <c r="F1026" s="130"/>
      <c r="G1026" s="130"/>
      <c r="H1026" s="130"/>
      <c r="I1026" s="130"/>
      <c r="J1026" s="130"/>
      <c r="K1026" s="130"/>
      <c r="L1026" s="130"/>
      <c r="M1026" s="131"/>
      <c r="N1026" s="132"/>
      <c r="O1026" s="133"/>
      <c r="P1026" s="238"/>
      <c r="Q1026" s="190"/>
      <c r="R1026" s="239"/>
      <c r="S1026" s="190"/>
      <c r="T1026" s="240"/>
      <c r="U1026" s="241"/>
      <c r="V1026" s="190"/>
      <c r="W1026" s="190"/>
      <c r="X1026" s="190"/>
      <c r="Y1026" s="56"/>
    </row>
    <row r="1027">
      <c r="A1027" s="237"/>
      <c r="B1027" s="130"/>
      <c r="C1027" s="130"/>
      <c r="D1027" s="130"/>
      <c r="E1027" s="199"/>
      <c r="F1027" s="130"/>
      <c r="G1027" s="130"/>
      <c r="H1027" s="130"/>
      <c r="I1027" s="130"/>
      <c r="J1027" s="130"/>
      <c r="K1027" s="130"/>
      <c r="L1027" s="130"/>
      <c r="M1027" s="131"/>
      <c r="N1027" s="132"/>
      <c r="O1027" s="133"/>
      <c r="P1027" s="238"/>
      <c r="Q1027" s="190"/>
      <c r="R1027" s="239"/>
      <c r="S1027" s="190"/>
      <c r="T1027" s="240"/>
      <c r="U1027" s="241"/>
      <c r="V1027" s="190"/>
      <c r="W1027" s="190"/>
      <c r="X1027" s="190"/>
      <c r="Y1027" s="56"/>
    </row>
    <row r="1028">
      <c r="A1028" s="237"/>
      <c r="B1028" s="130"/>
      <c r="C1028" s="130"/>
      <c r="D1028" s="130"/>
      <c r="E1028" s="199"/>
      <c r="F1028" s="130"/>
      <c r="G1028" s="130"/>
      <c r="H1028" s="130"/>
      <c r="I1028" s="130"/>
      <c r="J1028" s="130"/>
      <c r="K1028" s="130"/>
      <c r="L1028" s="130"/>
      <c r="M1028" s="131"/>
      <c r="N1028" s="132"/>
      <c r="O1028" s="133"/>
      <c r="P1028" s="238"/>
      <c r="Q1028" s="190"/>
      <c r="R1028" s="239"/>
      <c r="S1028" s="190"/>
      <c r="T1028" s="240"/>
      <c r="U1028" s="241"/>
      <c r="V1028" s="190"/>
      <c r="W1028" s="190"/>
      <c r="X1028" s="190"/>
      <c r="Y1028" s="56"/>
    </row>
    <row r="1029">
      <c r="A1029" s="237"/>
      <c r="B1029" s="130"/>
      <c r="C1029" s="130"/>
      <c r="D1029" s="130"/>
      <c r="E1029" s="199"/>
      <c r="F1029" s="130"/>
      <c r="G1029" s="130"/>
      <c r="H1029" s="130"/>
      <c r="I1029" s="130"/>
      <c r="J1029" s="130"/>
      <c r="K1029" s="130"/>
      <c r="L1029" s="130"/>
      <c r="M1029" s="131"/>
      <c r="N1029" s="132"/>
      <c r="O1029" s="133"/>
      <c r="P1029" s="238"/>
      <c r="Q1029" s="190"/>
      <c r="R1029" s="239"/>
      <c r="S1029" s="190"/>
      <c r="T1029" s="240"/>
      <c r="U1029" s="241"/>
      <c r="V1029" s="190"/>
      <c r="W1029" s="190"/>
      <c r="X1029" s="190"/>
      <c r="Y1029" s="56"/>
    </row>
    <row r="1030">
      <c r="A1030" s="237"/>
      <c r="B1030" s="130"/>
      <c r="C1030" s="130"/>
      <c r="D1030" s="130"/>
      <c r="E1030" s="199"/>
      <c r="F1030" s="130"/>
      <c r="G1030" s="130"/>
      <c r="H1030" s="130"/>
      <c r="I1030" s="130"/>
      <c r="J1030" s="130"/>
      <c r="K1030" s="130"/>
      <c r="L1030" s="130"/>
      <c r="M1030" s="131"/>
      <c r="N1030" s="132"/>
      <c r="O1030" s="133"/>
      <c r="P1030" s="238"/>
      <c r="Q1030" s="190"/>
      <c r="R1030" s="239"/>
      <c r="S1030" s="190"/>
      <c r="T1030" s="240"/>
      <c r="U1030" s="241"/>
      <c r="V1030" s="190"/>
      <c r="W1030" s="190"/>
      <c r="X1030" s="190"/>
      <c r="Y1030" s="56"/>
    </row>
    <row r="1031">
      <c r="A1031" s="237"/>
      <c r="B1031" s="130"/>
      <c r="C1031" s="130"/>
      <c r="D1031" s="130"/>
      <c r="E1031" s="199"/>
      <c r="F1031" s="130"/>
      <c r="G1031" s="130"/>
      <c r="H1031" s="130"/>
      <c r="I1031" s="130"/>
      <c r="J1031" s="130"/>
      <c r="K1031" s="130"/>
      <c r="L1031" s="130"/>
      <c r="M1031" s="131"/>
      <c r="N1031" s="132"/>
      <c r="O1031" s="133"/>
      <c r="P1031" s="238"/>
      <c r="Q1031" s="190"/>
      <c r="R1031" s="239"/>
      <c r="S1031" s="190"/>
      <c r="T1031" s="240"/>
      <c r="U1031" s="241"/>
      <c r="V1031" s="190"/>
      <c r="W1031" s="190"/>
      <c r="X1031" s="190"/>
      <c r="Y1031" s="56"/>
    </row>
    <row r="1032">
      <c r="A1032" s="237"/>
      <c r="B1032" s="130"/>
      <c r="C1032" s="130"/>
      <c r="D1032" s="130"/>
      <c r="E1032" s="199"/>
      <c r="F1032" s="130"/>
      <c r="G1032" s="130"/>
      <c r="H1032" s="130"/>
      <c r="I1032" s="130"/>
      <c r="J1032" s="130"/>
      <c r="K1032" s="130"/>
      <c r="L1032" s="130"/>
      <c r="M1032" s="131"/>
      <c r="N1032" s="132"/>
      <c r="O1032" s="133"/>
      <c r="P1032" s="238"/>
      <c r="Q1032" s="190"/>
      <c r="R1032" s="239"/>
      <c r="S1032" s="190"/>
      <c r="T1032" s="240"/>
      <c r="U1032" s="241"/>
      <c r="V1032" s="190"/>
      <c r="W1032" s="190"/>
      <c r="X1032" s="190"/>
      <c r="Y1032" s="56"/>
    </row>
    <row r="1033">
      <c r="A1033" s="237"/>
      <c r="B1033" s="130"/>
      <c r="C1033" s="130"/>
      <c r="D1033" s="130"/>
      <c r="E1033" s="199"/>
      <c r="F1033" s="130"/>
      <c r="G1033" s="130"/>
      <c r="H1033" s="130"/>
      <c r="I1033" s="130"/>
      <c r="J1033" s="130"/>
      <c r="K1033" s="130"/>
      <c r="L1033" s="130"/>
      <c r="M1033" s="131"/>
      <c r="N1033" s="132"/>
      <c r="O1033" s="133"/>
      <c r="P1033" s="238"/>
      <c r="Q1033" s="190"/>
      <c r="R1033" s="239"/>
      <c r="S1033" s="190"/>
      <c r="T1033" s="240"/>
      <c r="U1033" s="241"/>
      <c r="V1033" s="190"/>
      <c r="W1033" s="190"/>
      <c r="X1033" s="190"/>
      <c r="Y1033" s="56"/>
    </row>
    <row r="1034">
      <c r="A1034" s="245"/>
      <c r="B1034" s="130"/>
      <c r="C1034" s="130"/>
      <c r="D1034" s="130"/>
      <c r="E1034" s="199"/>
      <c r="F1034" s="130"/>
      <c r="G1034" s="130"/>
      <c r="H1034" s="130"/>
      <c r="I1034" s="130"/>
      <c r="J1034" s="130"/>
      <c r="K1034" s="130"/>
      <c r="L1034" s="130"/>
      <c r="M1034" s="131"/>
      <c r="N1034" s="132"/>
      <c r="O1034" s="133"/>
      <c r="P1034" s="238"/>
      <c r="Q1034" s="190"/>
      <c r="R1034" s="239"/>
      <c r="S1034" s="190"/>
      <c r="T1034" s="240"/>
      <c r="U1034" s="241"/>
      <c r="V1034" s="190"/>
      <c r="W1034" s="190"/>
      <c r="X1034" s="190"/>
      <c r="Y1034" s="56"/>
    </row>
    <row r="1035">
      <c r="A1035" s="245"/>
      <c r="B1035" s="130"/>
      <c r="C1035" s="130"/>
      <c r="D1035" s="130"/>
      <c r="E1035" s="199"/>
      <c r="F1035" s="130"/>
      <c r="G1035" s="130"/>
      <c r="H1035" s="130"/>
      <c r="I1035" s="130"/>
      <c r="J1035" s="130"/>
      <c r="K1035" s="130"/>
      <c r="L1035" s="130"/>
      <c r="M1035" s="131"/>
      <c r="N1035" s="132"/>
      <c r="O1035" s="133"/>
      <c r="P1035" s="238"/>
      <c r="Q1035" s="190"/>
      <c r="R1035" s="239"/>
      <c r="S1035" s="190"/>
      <c r="T1035" s="240"/>
      <c r="U1035" s="241"/>
      <c r="V1035" s="190"/>
      <c r="W1035" s="190"/>
      <c r="X1035" s="190"/>
      <c r="Y1035" s="56"/>
    </row>
    <row r="1036">
      <c r="A1036" s="245"/>
      <c r="B1036" s="130"/>
      <c r="C1036" s="130"/>
      <c r="D1036" s="130"/>
      <c r="E1036" s="199"/>
      <c r="F1036" s="130"/>
      <c r="G1036" s="130"/>
      <c r="H1036" s="130"/>
      <c r="I1036" s="130"/>
      <c r="J1036" s="130"/>
      <c r="K1036" s="130"/>
      <c r="L1036" s="130"/>
      <c r="M1036" s="131"/>
      <c r="N1036" s="132"/>
      <c r="O1036" s="133"/>
      <c r="P1036" s="238"/>
      <c r="Q1036" s="190"/>
      <c r="R1036" s="239"/>
      <c r="S1036" s="190"/>
      <c r="T1036" s="240"/>
      <c r="U1036" s="241"/>
      <c r="V1036" s="190"/>
      <c r="W1036" s="190"/>
      <c r="X1036" s="190"/>
      <c r="Y1036" s="56"/>
    </row>
    <row r="1037">
      <c r="A1037" s="245"/>
      <c r="B1037" s="130"/>
      <c r="C1037" s="130"/>
      <c r="D1037" s="130"/>
      <c r="E1037" s="199"/>
      <c r="F1037" s="130"/>
      <c r="G1037" s="130"/>
      <c r="H1037" s="130"/>
      <c r="I1037" s="130"/>
      <c r="J1037" s="130"/>
      <c r="K1037" s="130"/>
      <c r="L1037" s="130"/>
      <c r="M1037" s="131"/>
      <c r="N1037" s="132"/>
      <c r="O1037" s="133"/>
      <c r="P1037" s="238"/>
      <c r="Q1037" s="190"/>
      <c r="R1037" s="239"/>
      <c r="S1037" s="190"/>
      <c r="T1037" s="240"/>
      <c r="U1037" s="241"/>
      <c r="V1037" s="190"/>
      <c r="W1037" s="190"/>
      <c r="X1037" s="190"/>
      <c r="Y1037" s="56"/>
    </row>
    <row r="1038">
      <c r="A1038" s="245"/>
      <c r="B1038" s="130"/>
      <c r="C1038" s="130"/>
      <c r="D1038" s="130"/>
      <c r="E1038" s="199"/>
      <c r="F1038" s="130"/>
      <c r="G1038" s="130"/>
      <c r="H1038" s="130"/>
      <c r="I1038" s="130"/>
      <c r="J1038" s="130"/>
      <c r="K1038" s="130"/>
      <c r="L1038" s="130"/>
      <c r="M1038" s="131"/>
      <c r="N1038" s="132"/>
      <c r="O1038" s="133"/>
      <c r="P1038" s="238"/>
      <c r="Q1038" s="190"/>
      <c r="R1038" s="239"/>
      <c r="S1038" s="190"/>
      <c r="T1038" s="240"/>
      <c r="U1038" s="241"/>
      <c r="V1038" s="190"/>
      <c r="W1038" s="190"/>
      <c r="X1038" s="190"/>
      <c r="Y1038" s="56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</row>
    <row r="2">
      <c r="A2" t="inlineStr" s="6">
        <is>
          <t>Maximum_Return_After_Date_Identified source: NSE_daily_ohlcv (1).csv. Uses the highest high after Date_Identified through 2026-09-23 relative to Price_Asof.</t>
        </is>
      </c>
    </row>
    <row r="3">
      <c r="A3" t="inlineStr" s="6">
        <is>
          <t>Promoter_Holdings source: data/instruments/promoter_holdings.csv from NSE corporate-share-holdings-master.</t>
        </is>
      </c>
    </row>
    <row r="4">
      <c r="A4" t="inlineStr" s="6">
        <is>
          <t>ROCE source: matching Screener export workbooks on Desktop. Computed as latest annual (Profit before tax + Interest) divided by average capital employed; 99 Screener exports were available.</t>
        </is>
      </c>
    </row>
    <row r="5">
      <c r="A5" t="inlineStr" s="6">
        <is>
          <t>DMA75 source: NSE_daily_ohlcv (1).csv. Uses the 75-trading-day moving average of close and compares it with the close on the latest available trading date on or before Date_Identified.</t>
        </is>
      </c>
    </row>
  </sheetData>
  <hyperlinks>
    <hyperlink r:id="rId1" ref="A1"/>
  </hyperlinks>
  <drawing r:id="rId2"/>
</worksheet>
</file>